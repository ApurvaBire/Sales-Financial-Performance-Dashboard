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autoCompressPictures="0"/>
  <bookViews>
    <workbookView xWindow="0" yWindow="0" windowWidth="16380" windowHeight="8200" tabRatio="500"/>
  </bookViews>
  <sheets>
    <sheet name="Dashboard" sheetId="1" r:id="rId1"/>
  </sheets>
  <calcPr calcId="140001" iterateDelta="1E-4" concurrentCalc="0"/>
  <extLs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5" i="1" l="1"/>
  <c r="G44" i="1"/>
  <c r="G43" i="1"/>
  <c r="G42" i="1"/>
  <c r="G41" i="1"/>
  <c r="G40" i="1"/>
  <c r="G39" i="1"/>
  <c r="B39" i="1"/>
  <c r="G38" i="1"/>
  <c r="B38" i="1"/>
  <c r="G37" i="1"/>
  <c r="B37" i="1"/>
  <c r="G36" i="1"/>
  <c r="B36" i="1"/>
  <c r="G22" i="1"/>
  <c r="G21" i="1"/>
  <c r="G20" i="1"/>
  <c r="G19" i="1"/>
  <c r="G18" i="1"/>
  <c r="G17" i="1"/>
  <c r="G16" i="1"/>
  <c r="G15" i="1"/>
  <c r="G14" i="1"/>
  <c r="B14" i="1"/>
  <c r="G13" i="1"/>
  <c r="B13" i="1"/>
  <c r="G12" i="1"/>
  <c r="B12" i="1"/>
  <c r="G11" i="1"/>
  <c r="B11" i="1"/>
  <c r="M7" i="1"/>
  <c r="I7" i="1"/>
  <c r="E7" i="1"/>
  <c r="A7" i="1"/>
</calcChain>
</file>

<file path=xl/sharedStrings.xml><?xml version="1.0" encoding="utf-8"?>
<sst xmlns="http://schemas.openxmlformats.org/spreadsheetml/2006/main" count="129" uniqueCount="58">
  <si>
    <t>SALES &amp; FINANCIAL PERFORMANCE DASHBOARD</t>
  </si>
  <si>
    <t>REFERENCE DATA — powers the filter above (do not delete)</t>
  </si>
  <si>
    <t>FY 2024 – FY 2025  |  All figures in INR  |  Data-driven Excel Dashboard</t>
  </si>
  <si>
    <t>Region</t>
  </si>
  <si>
    <t>Electronics</t>
  </si>
  <si>
    <t>Furniture</t>
  </si>
  <si>
    <t>Apparel</t>
  </si>
  <si>
    <t>Home Appliances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</si>
  <si>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</si>
  <si>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</si>
  <si>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</si>
  <si>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</si>
  <si>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</si>
  <si>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</si>
  <si>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</si>
  <si>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</si>
  <si>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</si>
  <si>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</si>
  <si>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</si>
  <si>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</si>
  <si>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Aarav Shah</t>
  </si>
  <si>
    <t>Priya Nair</t>
  </si>
  <si>
    <t>Rohan Mehta</t>
  </si>
  <si>
    <t>Sneha Kulkarni</t>
  </si>
  <si>
    <t>Vikram Rao</t>
  </si>
  <si>
    <t>Ananya Iyer</t>
  </si>
  <si>
    <t>Karan Malhotra</t>
  </si>
  <si>
    <t>Divya Reddy</t>
  </si>
  <si>
    <t>Arjun Kapoor</t>
  </si>
  <si>
    <t>Neha Joshi</t>
  </si>
  <si>
    <t>Revenue</t>
  </si>
  <si>
    <t>Profit</t>
  </si>
  <si>
    <t>Margin</t>
  </si>
  <si>
    <t>Units</t>
  </si>
  <si>
    <t>Total Revenue</t>
  </si>
  <si>
    <t>Filter by Region:</t>
  </si>
  <si>
    <t>All</t>
  </si>
  <si>
    <t>North</t>
  </si>
  <si>
    <t>South</t>
  </si>
  <si>
    <t>TOTAL REVENUE</t>
  </si>
  <si>
    <t>TOTAL PROFIT</t>
  </si>
  <si>
    <t>AVG PROFIT MARGIN</t>
  </si>
  <si>
    <t>TOTAL UNITS SOLD</t>
  </si>
  <si>
    <t>West</t>
  </si>
  <si>
    <t>East</t>
  </si>
  <si>
    <t>Revenue Share by Category</t>
  </si>
  <si>
    <t>Monthly Revenue Trend</t>
  </si>
  <si>
    <t>Category</t>
  </si>
  <si>
    <t>Month</t>
  </si>
  <si>
    <t>Regional Revenue Comparison</t>
  </si>
  <si>
    <t>Salesperson</t>
  </si>
  <si>
    <t>Column1</t>
  </si>
  <si>
    <t>Column2</t>
  </si>
  <si>
    <t>Column3</t>
  </si>
  <si>
    <t>Column4</t>
  </si>
  <si>
    <t>Column5</t>
  </si>
  <si>
    <t>Column6</t>
  </si>
  <si>
    <t>Top Salespeople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</si>
</sst>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\₹#,##0,,\L"/>
    <numFmt numFmtId="165" formatCode="0.0%"/>
    <numFmt numFmtId="166" formatCode="\₹#,##0"/>
  </numFmts>
  <fonts count="12" x14ac:knownFonts="1">
    <font>
      <sz val="11"/>
      <color theme="1"/>
      <name val="Calibri"/>
      <family val="2"/>
      <charset val="1"/>
    </font>
    <font>
      <sz val="12"/>
      <color theme="1"/>
      <name val="Calibri"/>
      <family val="2"/>
      <scheme val="minor"/>
    </font>
    <font>
      <b/>
      <i/>
      <sz val="9"/>
      <color rgb="FF808080"/>
      <name val="Arial"/>
      <charset val="1"/>
    </font>
    <font>
      <b/>
      <sz val="16"/>
      <color rgb="FFFFFFFF"/>
      <name val="Arial"/>
      <charset val="1"/>
    </font>
    <font>
      <sz val="16"/>
      <color theme="1"/>
      <name val="Calibri"/>
      <family val="2"/>
      <charset val="1"/>
    </font>
    <font>
      <b/>
      <sz val="16"/>
      <name val="Arial"/>
    </font>
    <font>
      <sz val="16"/>
      <color theme="1"/>
      <name val="Arial"/>
    </font>
    <font>
      <sz val="8"/>
      <name val="Calibri"/>
      <family val="2"/>
      <charset val="1"/>
    </font>
    <font>
      <b/>
      <sz val="11"/>
      <color theme="0"/>
      <name val="Arial"/>
    </font>
    <font>
      <sz val="26"/>
      <color theme="1"/>
      <name val="Calisto MT"/>
    </font>
    <font>
      <sz val="16"/>
      <color theme="1"/>
      <name val="Calibri"/>
      <scheme val="minor"/>
    </font>
    <font>
      <sz val="16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E75B6"/>
        <bgColor rgb="FF4A7EBB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7" tint="-0.249977111117893"/>
        <bgColor rgb="FF4A7EB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5">
    <xf numFmtId="0" fontId="0" fillId="0" borderId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0" fillId="0" borderId="0" xfId="0" applyFont="1"/>
    <xf numFmtId="0" fontId="5" fillId="0" borderId="0" xfId="0" applyFont="1"/>
    <xf numFmtId="0" fontId="6" fillId="0" borderId="0" xfId="0" applyNumberFormat="1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166" fontId="4" fillId="0" borderId="0" xfId="0" applyNumberFormat="1" applyFont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/>
    <xf numFmtId="0" fontId="3" fillId="2" borderId="0" xfId="0" applyNumberFormat="1" applyFont="1" applyFill="1" applyBorder="1" applyAlignment="1">
      <alignment horizontal="center"/>
    </xf>
    <xf numFmtId="0" fontId="8" fillId="7" borderId="0" xfId="0" applyFont="1" applyFill="1" applyBorder="1" applyAlignment="1">
      <alignment horizontal="center" vertical="center"/>
    </xf>
    <xf numFmtId="0" fontId="9" fillId="5" borderId="0" xfId="3" applyFont="1" applyBorder="1" applyAlignment="1">
      <alignment horizontal="center" vertical="center"/>
    </xf>
    <xf numFmtId="0" fontId="10" fillId="3" borderId="0" xfId="1" applyNumberFormat="1" applyFont="1" applyBorder="1" applyAlignment="1">
      <alignment horizontal="center"/>
    </xf>
    <xf numFmtId="0" fontId="10" fillId="3" borderId="0" xfId="1" applyFont="1" applyBorder="1" applyAlignment="1">
      <alignment horizontal="center"/>
    </xf>
    <xf numFmtId="0" fontId="11" fillId="6" borderId="0" xfId="4" applyNumberFormat="1" applyFont="1" applyAlignment="1">
      <alignment horizontal="center"/>
    </xf>
    <xf numFmtId="0" fontId="11" fillId="4" borderId="0" xfId="2" applyFont="1" applyAlignment="1">
      <alignment horizontal="center"/>
    </xf>
    <xf numFmtId="0" fontId="11" fillId="3" borderId="0" xfId="1" applyFont="1" applyBorder="1" applyAlignment="1">
      <alignment horizontal="center"/>
    </xf>
    <xf numFmtId="0" fontId="1" fillId="3" borderId="0" xfId="1" applyBorder="1" applyAlignment="1">
      <alignment horizontal="center" vertical="center"/>
    </xf>
    <xf numFmtId="164" fontId="10" fillId="3" borderId="0" xfId="1" applyNumberFormat="1" applyFont="1" applyBorder="1" applyAlignment="1">
      <alignment horizontal="center" vertical="center"/>
    </xf>
    <xf numFmtId="165" fontId="10" fillId="3" borderId="0" xfId="1" applyNumberFormat="1" applyFont="1" applyBorder="1" applyAlignment="1">
      <alignment horizontal="center" vertical="center"/>
    </xf>
    <xf numFmtId="3" fontId="10" fillId="3" borderId="0" xfId="1" applyNumberFormat="1" applyFont="1" applyBorder="1" applyAlignment="1">
      <alignment horizontal="center" vertical="center"/>
    </xf>
    <xf numFmtId="0" fontId="10" fillId="6" borderId="1" xfId="4" applyFont="1" applyBorder="1" applyAlignment="1">
      <alignment horizontal="center"/>
    </xf>
  </cellXfs>
  <cellStyles count="5">
    <cellStyle name="20% - Accent1" xfId="1" builtinId="30"/>
    <cellStyle name="20% - Accent2" xfId="2" builtinId="34"/>
    <cellStyle name="20% - Accent6" xfId="4" builtinId="50"/>
    <cellStyle name="40% - Accent4" xfId="3" builtinId="43"/>
    <cellStyle name="Normal" xfId="0" builtinId="0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numFmt numFmtId="166" formatCode="\₹#,##0"/>
      <alignment horizontal="center" vertical="bottom" textRotation="0" wrapText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alignment horizontal="center" vertical="bottom" textRotation="0" wrapText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numFmt numFmtId="166" formatCode="\₹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alignment horizontal="center" vertical="bottom"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FF"/>
        <name val="Arial"/>
        <scheme val="none"/>
      </font>
      <fill>
        <patternFill patternType="solid">
          <fgColor rgb="FF4A7EBB"/>
          <bgColor rgb="FF2E75B6"/>
        </patternFill>
      </fill>
      <alignment horizontal="center" vertical="bottom" textRotation="0" wrapText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alignment horizontal="center" vertical="bottom" textRotation="0" wrapText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alignment horizontal="center" vertical="bottom" textRotation="0" wrapText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alignment horizontal="center" vertical="bottom" textRotation="0" wrapText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alignment horizontal="center" vertical="bottom" textRotation="0" wrapText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alignment horizontal="center" vertical="bottom" textRotation="0" wrapText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numFmt numFmtId="166" formatCode="\₹#,##0"/>
      <alignment horizontal="center" vertical="bottom" textRotation="0" wrapText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alignment horizontal="center" vertical="bottom"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FF"/>
        <name val="Arial"/>
        <scheme val="none"/>
      </font>
      <numFmt numFmtId="0" formatCode="General"/>
      <fill>
        <patternFill patternType="solid">
          <fgColor rgb="FF4A7EBB"/>
          <bgColor rgb="FF2E75B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FF"/>
        <name val="Arial"/>
        <scheme val="none"/>
      </font>
      <fill>
        <patternFill patternType="solid">
          <fgColor rgb="FF4A7EBB"/>
          <bgColor rgb="FF2E75B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FF"/>
        <name val="Arial"/>
        <scheme val="none"/>
      </font>
      <fill>
        <patternFill patternType="solid">
          <fgColor rgb="FF4A7EBB"/>
          <bgColor rgb="FF2E75B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FBFBF"/>
      <rgbColor rgb="FF808080"/>
      <rgbColor rgb="FF9999FF"/>
      <rgbColor rgb="FFC0504D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FF6600"/>
      <rgbColor rgb="FF8064A2"/>
      <rgbColor rgb="FF878787"/>
      <rgbColor rgb="FF003366"/>
      <rgbColor rgb="FF4A7EBB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 rot="0"/>
          <a:lstStyle/>
          <a:p>
            <a:pPr>
              <a:defRPr sz="1600"/>
            </a:pPr>
            <a:r>
              <a:rPr lang="en-US" sz="1600"/>
              <a:t>Category Revenue Mix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Dashboard!$B$10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chemeClr val="tx1">
                  <a:alpha val="99000"/>
                </a:schemeClr>
              </a:solidFill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solidFill>
                  <a:schemeClr val="tx1">
                    <a:alpha val="99000"/>
                  </a:schemeClr>
                </a:solidFill>
              </a:ln>
            </c:spPr>
          </c:dPt>
          <c:dPt>
            <c:idx val="1"/>
            <c:bubble3D val="0"/>
            <c:spPr>
              <a:solidFill>
                <a:srgbClr val="C0504D"/>
              </a:solidFill>
              <a:ln w="0">
                <a:solidFill>
                  <a:schemeClr val="tx1">
                    <a:alpha val="99000"/>
                  </a:schemeClr>
                </a:solidFill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0">
                <a:solidFill>
                  <a:schemeClr val="tx1">
                    <a:alpha val="99000"/>
                  </a:schemeClr>
                </a:solidFill>
              </a:ln>
            </c:spPr>
          </c:dPt>
          <c:dPt>
            <c:idx val="3"/>
            <c:bubble3D val="0"/>
            <c:spPr>
              <a:solidFill>
                <a:srgbClr val="8064A2"/>
              </a:solidFill>
              <a:ln w="0">
                <a:solidFill>
                  <a:schemeClr val="tx1">
                    <a:alpha val="99000"/>
                  </a:schemeClr>
                </a:solidFill>
              </a:ln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</c:dLbls>
          <c:cat>
            <c:strRef>
              <c:f>Dashboard!$A$11:$A$14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Apparel</c:v>
                </c:pt>
                <c:pt idx="3">
                  <c:v>Home Appliances</c:v>
                </c:pt>
              </c:strCache>
            </c:strRef>
          </c:cat>
          <c:val>
            <c:numRef>
              <c:f>Dashboard!$B$11:$B$14</c:f>
              <c:numCache>
                <c:formatCode>General</c:formatCode>
                <c:ptCount val="4"/>
                <c:pt idx="0">
                  <c:v>6.86090505604999E7</c:v>
                </c:pt>
                <c:pt idx="1">
                  <c:v>2.61543265585E7</c:v>
                </c:pt>
                <c:pt idx="2">
                  <c:v>8.103017418E6</c:v>
                </c:pt>
                <c:pt idx="3">
                  <c:v>3.30172062085E7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chemeClr val="lt1"/>
        </a:solidFill>
        <a:ln w="25400" cap="flat" cmpd="sng" algn="ctr">
          <a:prstDash val="solid"/>
        </a:ln>
        <a:effectLst/>
      </c:spPr>
    </c:plotArea>
    <c:legend>
      <c:legendPos val="r"/>
      <c:layout>
        <c:manualLayout>
          <c:xMode val="edge"/>
          <c:yMode val="edge"/>
          <c:x val="0.633636087657717"/>
          <c:y val="0.244785238755027"/>
          <c:w val="0.343248983190078"/>
          <c:h val="0.615613869081815"/>
        </c:manualLayout>
      </c:layout>
      <c:overlay val="0"/>
      <c:spPr>
        <a:noFill/>
        <a:ln w="0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/>
        <a:lstStyle/>
        <a:p>
          <a:pPr>
            <a:defRPr sz="1600" b="0"/>
          </a:pPr>
          <a:endParaRPr lang="en-US"/>
        </a:p>
      </c:txPr>
    </c:legend>
    <c:plotVisOnly val="1"/>
    <c:dispBlanksAs val="gap"/>
    <c:showDLblsOverMax val="1"/>
  </c:chart>
  <c:spPr>
    <a:solidFill>
      <a:srgbClr val="FFFFFF">
        <a:alpha val="27000"/>
      </a:srgbClr>
    </a:solidFill>
    <a:ln w="9360">
      <a:solidFill>
        <a:schemeClr val="tx1"/>
      </a:solidFill>
      <a:round/>
    </a:ln>
  </c:spPr>
  <c:txPr>
    <a:bodyPr/>
    <a:lstStyle/>
    <a:p>
      <a:pPr>
        <a:defRPr sz="1050" b="1"/>
      </a:pPr>
      <a:endParaRPr lang="en-US"/>
    </a:p>
  </c:txPr>
  <c:printSettings>
    <c:headerFooter/>
    <c:pageMargins b="1.0" l="0.75" r="0.75" t="1.0" header="0.5" footer="0.5"/>
    <c:pageSetup paperSize="9" orientation="portrait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Revenue (₹)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7841417669124"/>
          <c:y val="0.327246246919113"/>
          <c:w val="0.701533048764713"/>
          <c:h val="0.582286998655613"/>
        </c:manualLayout>
      </c:layout>
      <c:lineChart>
        <c:grouping val="standard"/>
        <c:varyColors val="0"/>
        <c:ser>
          <c:idx val="0"/>
          <c:order val="0"/>
          <c:tx>
            <c:strRef>
              <c:f>Dashboard!$G$10</c:f>
              <c:strCache>
                <c:ptCount val="1"/>
                <c:pt idx="0">
                  <c:v>Revenue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Dashboard!$F$11:$F$22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Dashboard!$G$11:$G$22</c:f>
              <c:numCache>
                <c:formatCode>\₹#,##0</c:formatCode>
                <c:ptCount val="12"/>
                <c:pt idx="0">
                  <c:v>1.2226300742E7</c:v>
                </c:pt>
                <c:pt idx="1">
                  <c:v>9.18898976E6</c:v>
                </c:pt>
                <c:pt idx="2">
                  <c:v>1.0586382446E7</c:v>
                </c:pt>
                <c:pt idx="3">
                  <c:v>1.1765836588E7</c:v>
                </c:pt>
                <c:pt idx="4">
                  <c:v>1.37425339395E7</c:v>
                </c:pt>
                <c:pt idx="5">
                  <c:v>1.27509327725E7</c:v>
                </c:pt>
                <c:pt idx="6">
                  <c:v>1.24227858025E7</c:v>
                </c:pt>
                <c:pt idx="7">
                  <c:v>9.9056660835E6</c:v>
                </c:pt>
                <c:pt idx="8">
                  <c:v>1.01705617355E7</c:v>
                </c:pt>
                <c:pt idx="9">
                  <c:v>1.10651285605E7</c:v>
                </c:pt>
                <c:pt idx="10">
                  <c:v>1.14404611875E7</c:v>
                </c:pt>
                <c:pt idx="11">
                  <c:v>1.0618021128E7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077705432"/>
        <c:axId val="2077821464"/>
      </c:lineChart>
      <c:catAx>
        <c:axId val="20777054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77821464"/>
        <c:crosses val="autoZero"/>
        <c:auto val="1"/>
        <c:lblAlgn val="ctr"/>
        <c:lblOffset val="100"/>
        <c:noMultiLvlLbl val="0"/>
      </c:catAx>
      <c:valAx>
        <c:axId val="2077821464"/>
        <c:scaling>
          <c:orientation val="minMax"/>
        </c:scaling>
        <c:delete val="0"/>
        <c:axPos val="l"/>
        <c:majorGridlines>
          <c:spPr>
            <a:ln w="6223">
              <a:solidFill>
                <a:schemeClr val="tx1"/>
              </a:solidFill>
              <a:round/>
              <a:headEnd type="none"/>
              <a:tailEnd type="triangle" w="sm" len="sm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777054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tx1"/>
      </a:solidFill>
      <a:round/>
    </a:ln>
  </c:spPr>
  <c:printSettings>
    <c:headerFooter/>
    <c:pageMargins b="1.0" l="0.75" r="0.75" t="1.0" header="0.5" footer="0.5"/>
    <c:pageSetup paperSize="9" orientation="portrait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 rot="0"/>
          <a:lstStyle/>
          <a:p>
            <a:pPr>
              <a:defRPr sz="1600"/>
            </a:pPr>
            <a:r>
              <a:rPr lang="en-US" sz="1600"/>
              <a:t>Revenue by Region (All Data)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Dashboard!$B$35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Dashboard!$A$36:$A$39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  <c:pt idx="3">
                  <c:v>East</c:v>
                </c:pt>
              </c:strCache>
            </c:strRef>
          </c:cat>
          <c:val>
            <c:numRef>
              <c:f>Dashboard!$B$36:$B$39</c:f>
              <c:numCache>
                <c:formatCode>\₹#,##0</c:formatCode>
                <c:ptCount val="4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0208728"/>
        <c:axId val="2074604520"/>
      </c:barChart>
      <c:catAx>
        <c:axId val="2080208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2074604520"/>
        <c:crosses val="autoZero"/>
        <c:auto val="1"/>
        <c:lblAlgn val="ctr"/>
        <c:lblOffset val="100"/>
        <c:noMultiLvlLbl val="0"/>
      </c:catAx>
      <c:valAx>
        <c:axId val="20746045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en-US" sz="1400"/>
                  <a:t>Revenue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20802087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100" b="1"/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tx1"/>
      </a:solidFill>
      <a:round/>
    </a:ln>
  </c:spPr>
  <c:txPr>
    <a:bodyPr/>
    <a:lstStyle/>
    <a:p>
      <a:pPr>
        <a:defRPr sz="1050"/>
      </a:pPr>
      <a:endParaRPr lang="en-US"/>
    </a:p>
  </c:txPr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8"/>
    </mc:Choice>
    <mc:Fallback>
      <c:style val="38"/>
    </mc:Fallback>
  </mc:AlternateContent>
  <c:chart>
    <c:title>
      <c:tx>
        <c:rich>
          <a:bodyPr rot="0"/>
          <a:lstStyle/>
          <a:p>
            <a:pPr>
              <a:defRPr sz="1600"/>
            </a:pPr>
            <a:r>
              <a:rPr lang="en-US" sz="1600"/>
              <a:t>Profit by Salesperson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Dashboard!$G$35</c:f>
              <c:strCache>
                <c:ptCount val="1"/>
                <c:pt idx="0">
                  <c:v>Profit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Dashboard!$F$36:$F$45</c:f>
              <c:strCache>
                <c:ptCount val="10"/>
                <c:pt idx="0">
                  <c:v>Aarav Shah</c:v>
                </c:pt>
                <c:pt idx="1">
                  <c:v>Priya Nair</c:v>
                </c:pt>
                <c:pt idx="2">
                  <c:v>Rohan Mehta</c:v>
                </c:pt>
                <c:pt idx="3">
                  <c:v>Sneha Kulkarni</c:v>
                </c:pt>
                <c:pt idx="4">
                  <c:v>Vikram Rao</c:v>
                </c:pt>
                <c:pt idx="5">
                  <c:v>Ananya Iyer</c:v>
                </c:pt>
                <c:pt idx="6">
                  <c:v>Karan Malhotra</c:v>
                </c:pt>
                <c:pt idx="7">
                  <c:v>Divya Reddy</c:v>
                </c:pt>
                <c:pt idx="8">
                  <c:v>Arjun Kapoor</c:v>
                </c:pt>
                <c:pt idx="9">
                  <c:v>Neha Joshi</c:v>
                </c:pt>
              </c:strCache>
            </c:strRef>
          </c:cat>
          <c:val>
            <c:numRef>
              <c:f>Dashboard!$G$36:$G$45</c:f>
              <c:numCache>
                <c:formatCode>\₹#,##0</c:formatCode>
                <c:ptCount val="10"/>
                <c:pt idx="0">
                  <c:v>4.85092108887552E6</c:v>
                </c:pt>
                <c:pt idx="1">
                  <c:v>4.83303145096957E6</c:v>
                </c:pt>
                <c:pt idx="2">
                  <c:v>5.59119275867642E6</c:v>
                </c:pt>
                <c:pt idx="3">
                  <c:v>4.78760336775887E6</c:v>
                </c:pt>
                <c:pt idx="4">
                  <c:v>4.09403379299525E6</c:v>
                </c:pt>
                <c:pt idx="5">
                  <c:v>4.31472766131414E6</c:v>
                </c:pt>
                <c:pt idx="6">
                  <c:v>4.70316875113507E6</c:v>
                </c:pt>
                <c:pt idx="7">
                  <c:v>4.52162579808413E6</c:v>
                </c:pt>
                <c:pt idx="8">
                  <c:v>5.18542616207948E6</c:v>
                </c:pt>
                <c:pt idx="9">
                  <c:v>4.6698760534265E6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3015960"/>
        <c:axId val="2075112936"/>
      </c:barChart>
      <c:catAx>
        <c:axId val="2073015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075112936"/>
        <c:crosses val="autoZero"/>
        <c:auto val="1"/>
        <c:lblAlgn val="ctr"/>
        <c:lblOffset val="100"/>
        <c:noMultiLvlLbl val="0"/>
      </c:catAx>
      <c:valAx>
        <c:axId val="2075112936"/>
        <c:scaling>
          <c:orientation val="minMax"/>
        </c:scaling>
        <c:delete val="0"/>
        <c:axPos val="l"/>
        <c:majorGridlines/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en-US" sz="1400"/>
                  <a:t>Profit</a:t>
                </a:r>
              </a:p>
            </c:rich>
          </c:tx>
          <c:layout/>
          <c:overlay val="0"/>
        </c:title>
        <c:numFmt formatCode="\₹#,##0" sourceLinked="1"/>
        <c:majorTickMark val="none"/>
        <c:minorTickMark val="none"/>
        <c:tickLblPos val="nextTo"/>
        <c:crossAx val="2073015960"/>
        <c:crosses val="autoZero"/>
        <c:crossBetween val="between"/>
      </c:valAx>
      <c:spPr>
        <a:noFill/>
        <a:ln>
          <a:noFill/>
        </a:ln>
      </c:spPr>
    </c:plotArea>
    <c:legend>
      <c:legendPos val="r"/>
      <c:layout/>
      <c:overlay val="0"/>
    </c:legend>
    <c:plotVisOnly val="1"/>
    <c:dispBlanksAs val="gap"/>
    <c:showDLblsOverMax val="1"/>
  </c:chart>
  <c:spPr>
    <a:ln>
      <a:solidFill>
        <a:srgbClr val="000000"/>
      </a:solidFill>
    </a:ln>
  </c:spPr>
  <c:printSettings>
    <c:headerFooter/>
    <c:pageMargins b="1.0" l="0.75" r="0.75" t="1.0" header="0.5" footer="0.5"/>
    <c:pageSetup paperSize="9" orientation="portrait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15</xdr:row>
      <xdr:rowOff>12700</xdr:rowOff>
    </xdr:from>
    <xdr:to>
      <xdr:col>4</xdr:col>
      <xdr:colOff>63500</xdr:colOff>
      <xdr:row>28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203200</xdr:colOff>
      <xdr:row>8</xdr:row>
      <xdr:rowOff>12700</xdr:rowOff>
    </xdr:from>
    <xdr:to>
      <xdr:col>60</xdr:col>
      <xdr:colOff>63500</xdr:colOff>
      <xdr:row>21</xdr:row>
      <xdr:rowOff>139700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139700</xdr:colOff>
      <xdr:row>40</xdr:row>
      <xdr:rowOff>101600</xdr:rowOff>
    </xdr:from>
    <xdr:to>
      <xdr:col>4</xdr:col>
      <xdr:colOff>63500</xdr:colOff>
      <xdr:row>53</xdr:row>
      <xdr:rowOff>138520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228600</xdr:colOff>
      <xdr:row>33</xdr:row>
      <xdr:rowOff>63500</xdr:rowOff>
    </xdr:from>
    <xdr:to>
      <xdr:col>60</xdr:col>
      <xdr:colOff>139700</xdr:colOff>
      <xdr:row>46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F34:L45" headerRowDxfId="31" dataDxfId="32">
  <autoFilter ref="F34:L45"/>
  <tableColumns count="7">
    <tableColumn id="1" name="Top Salespeople" totalsRowLabel="Total" dataDxfId="5" totalsRowDxfId="24"/>
    <tableColumn id="2" name="Column1" dataDxfId="3" totalsRowDxfId="25"/>
    <tableColumn id="3" name="Column2" dataDxfId="4" totalsRowDxfId="26"/>
    <tableColumn id="4" name="Column3" dataDxfId="36" totalsRowDxfId="27"/>
    <tableColumn id="5" name="Column4" dataDxfId="35" totalsRowDxfId="28"/>
    <tableColumn id="6" name="Column5" dataDxfId="34" totalsRowDxfId="29"/>
    <tableColumn id="7" name="Column6" totalsRowFunction="count" dataDxfId="33" totalsRowDxfId="30"/>
  </tableColumns>
  <tableStyleInfo name="TableStyleLight19" showFirstColumn="0" showLastColumn="1" showRowStripes="1" showColumnStripes="0"/>
</table>
</file>

<file path=xl/tables/table2.xml><?xml version="1.0" encoding="utf-8"?>
<table xmlns="http://schemas.openxmlformats.org/spreadsheetml/2006/main" id="2" name="Table2" displayName="Table2" ref="A34:D39" totalsRowShown="0" headerRowDxfId="21" dataDxfId="22">
  <autoFilter ref="A34:D39"/>
  <tableColumns count="4">
    <tableColumn id="1" name="Regional Revenue Comparison" dataDxfId="2"/>
    <tableColumn id="2" name="Column1" dataDxfId="0">
      <calculatedColumnFormula>BG3</calculatedColumnFormula>
    </tableColumn>
    <tableColumn id="3" name="Column2" dataDxfId="1"/>
    <tableColumn id="4" name="Column3" dataDxfId="23"/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9:D14" totalsRowShown="0" headerRowDxfId="15" dataDxfId="16">
  <autoFilter ref="A9:D14"/>
  <tableColumns count="4">
    <tableColumn id="1" name="Revenue Share by Category" dataDxfId="20"/>
    <tableColumn id="2" name="Column1" dataDxfId="19"/>
    <tableColumn id="3" name="Column2" dataDxfId="18"/>
    <tableColumn id="4" name="Column3" dataDxfId="17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F9:L22" totalsRowShown="0" headerRowDxfId="7" dataDxfId="6">
  <autoFilter ref="F9:L22"/>
  <tableColumns count="7">
    <tableColumn id="1" name="Monthly Revenue Trend" dataDxfId="14"/>
    <tableColumn id="2" name="Column1" dataDxfId="13"/>
    <tableColumn id="3" name="Column2" dataDxfId="12"/>
    <tableColumn id="4" name="Column3" dataDxfId="11"/>
    <tableColumn id="5" name="Column4" dataDxfId="10"/>
    <tableColumn id="6" name="Column5" dataDxfId="9"/>
    <tableColumn id="7" name="Column6" dataDxfId="8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5"/>
  <sheetViews>
    <sheetView showGridLines="0" tabSelected="1" workbookViewId="0">
      <selection activeCell="P23" sqref="P23"/>
    </sheetView>
  </sheetViews>
  <sheetFormatPr baseColWidth="10" defaultColWidth="8.6640625" defaultRowHeight="14" x14ac:dyDescent="0"/>
  <cols>
    <col min="1" max="1" width="40.5" customWidth="1"/>
    <col min="2" max="2" width="31.33203125" customWidth="1"/>
    <col min="3" max="3" width="2" hidden="1" customWidth="1"/>
    <col min="4" max="4" width="4" hidden="1" customWidth="1"/>
    <col min="5" max="5" width="3" customWidth="1"/>
    <col min="6" max="6" width="38.6640625" customWidth="1"/>
    <col min="7" max="7" width="16.5" customWidth="1"/>
    <col min="8" max="8" width="10" hidden="1" customWidth="1"/>
    <col min="9" max="9" width="0.5" hidden="1" customWidth="1"/>
    <col min="10" max="10" width="10" hidden="1" customWidth="1"/>
    <col min="11" max="11" width="0.1640625" hidden="1" customWidth="1"/>
    <col min="12" max="12" width="10" hidden="1" customWidth="1"/>
    <col min="13" max="17" width="10" customWidth="1"/>
    <col min="18" max="18" width="42.83203125" customWidth="1"/>
    <col min="21" max="60" width="13" hidden="1" customWidth="1"/>
  </cols>
  <sheetData>
    <row r="1" spans="1:60" ht="30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U1" s="1" t="s">
        <v>1</v>
      </c>
    </row>
    <row r="2" spans="1:60" ht="19.5" customHeight="1">
      <c r="A2" s="18" t="s">
        <v>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60" ht="8" customHeight="1">
      <c r="U3" t="s">
        <v>3</v>
      </c>
      <c r="V3" t="s">
        <v>4</v>
      </c>
      <c r="W3" t="s">
        <v>5</v>
      </c>
      <c r="X3" t="s">
        <v>6</v>
      </c>
      <c r="Y3" t="s">
        <v>7</v>
      </c>
      <c r="AA3" t="s">
        <v>3</v>
      </c>
      <c r="AB3" t="s">
        <v>8</v>
      </c>
      <c r="AC3" t="s">
        <v>9</v>
      </c>
      <c r="AD3" t="s">
        <v>10</v>
      </c>
      <c r="AE3" t="s">
        <v>11</v>
      </c>
      <c r="AF3" t="s">
        <v>12</v>
      </c>
      <c r="AG3" t="s">
        <v>13</v>
      </c>
      <c r="AH3" t="s">
        <v>14</v>
      </c>
      <c r="AI3" t="s">
        <v>15</v>
      </c>
      <c r="AJ3" t="s">
        <v>16</v>
      </c>
      <c r="AK3" t="s">
        <v>17</v>
      </c>
      <c r="AL3" t="s">
        <v>18</v>
      </c>
      <c r="AM3" t="s">
        <v>19</v>
      </c>
      <c r="AO3" t="s">
        <v>3</v>
      </c>
      <c r="AP3" t="s">
        <v>20</v>
      </c>
      <c r="AQ3" t="s">
        <v>21</v>
      </c>
      <c r="AR3" t="s">
        <v>22</v>
      </c>
      <c r="AS3" t="s">
        <v>23</v>
      </c>
      <c r="AT3" t="s">
        <v>24</v>
      </c>
      <c r="AU3" t="s">
        <v>25</v>
      </c>
      <c r="AV3" t="s">
        <v>26</v>
      </c>
      <c r="AW3" t="s">
        <v>27</v>
      </c>
      <c r="AX3" t="s">
        <v>28</v>
      </c>
      <c r="AY3" t="s">
        <v>29</v>
      </c>
      <c r="BA3" t="s">
        <v>3</v>
      </c>
      <c r="BB3" t="s">
        <v>30</v>
      </c>
      <c r="BC3" t="s">
        <v>31</v>
      </c>
      <c r="BD3" t="s">
        <v>32</v>
      </c>
      <c r="BE3" t="s">
        <v>33</v>
      </c>
      <c r="BG3" t="s">
        <v>3</v>
      </c>
      <c r="BH3" t="s">
        <v>34</v>
      </c>
    </row>
    <row r="4" spans="1:60" ht="20">
      <c r="A4" s="3" t="s">
        <v>35</v>
      </c>
      <c r="B4" s="22" t="s">
        <v>36</v>
      </c>
      <c r="U4" s="2" t="s">
        <v>36</v>
      </c>
      <c r="V4">
        <v>68609050.560499907</v>
      </c>
      <c r="W4">
        <v>26154326.558499999</v>
      </c>
      <c r="X4">
        <v>8103017.4179999996</v>
      </c>
      <c r="Y4">
        <v>33017206.208500002</v>
      </c>
      <c r="AA4" s="2" t="s">
        <v>36</v>
      </c>
      <c r="AB4">
        <v>12226300.742000001</v>
      </c>
      <c r="AC4">
        <v>9188989.7599999998</v>
      </c>
      <c r="AD4">
        <v>10586382.446</v>
      </c>
      <c r="AE4">
        <v>11765836.588</v>
      </c>
      <c r="AF4">
        <v>13742533.9395</v>
      </c>
      <c r="AG4">
        <v>12750932.772500001</v>
      </c>
      <c r="AH4">
        <v>12422785.8025</v>
      </c>
      <c r="AI4">
        <v>9905666.0834999997</v>
      </c>
      <c r="AJ4">
        <v>10170561.7355</v>
      </c>
      <c r="AK4">
        <v>11065128.5605</v>
      </c>
      <c r="AL4">
        <v>11440461.1875</v>
      </c>
      <c r="AM4">
        <v>10618021.128</v>
      </c>
      <c r="AO4" s="2" t="s">
        <v>36</v>
      </c>
      <c r="AP4">
        <v>4850921.08887552</v>
      </c>
      <c r="AQ4">
        <v>4833031.4509695703</v>
      </c>
      <c r="AR4">
        <v>5591192.75867642</v>
      </c>
      <c r="AS4">
        <v>4787603.3677588701</v>
      </c>
      <c r="AT4">
        <v>4094033.7929952499</v>
      </c>
      <c r="AU4">
        <v>4314727.6613141401</v>
      </c>
      <c r="AV4">
        <v>4703168.7511350699</v>
      </c>
      <c r="AW4">
        <v>4521625.7980841296</v>
      </c>
      <c r="AX4">
        <v>5185426.1620794795</v>
      </c>
      <c r="AY4">
        <v>4669876.0534265004</v>
      </c>
      <c r="BA4" s="2" t="s">
        <v>36</v>
      </c>
      <c r="BB4">
        <v>135883600.7455</v>
      </c>
      <c r="BC4">
        <v>47551606.885315001</v>
      </c>
      <c r="BD4">
        <v>0.349943676973762</v>
      </c>
      <c r="BE4">
        <v>16305</v>
      </c>
      <c r="BG4" s="2" t="s">
        <v>37</v>
      </c>
      <c r="BH4">
        <v>32656135.592999998</v>
      </c>
    </row>
    <row r="5" spans="1:60">
      <c r="U5" t="s">
        <v>37</v>
      </c>
      <c r="V5">
        <v>14856621.079500001</v>
      </c>
      <c r="W5">
        <v>6478510.9835000001</v>
      </c>
      <c r="X5">
        <v>2004672.0045</v>
      </c>
      <c r="Y5">
        <v>9316331.5254999995</v>
      </c>
      <c r="AA5" t="s">
        <v>37</v>
      </c>
      <c r="AB5">
        <v>2518029.8735000002</v>
      </c>
      <c r="AC5">
        <v>1954595.0970000001</v>
      </c>
      <c r="AD5">
        <v>2785361.6765000001</v>
      </c>
      <c r="AE5">
        <v>2603516.4515</v>
      </c>
      <c r="AF5">
        <v>3166832.9870000002</v>
      </c>
      <c r="AG5">
        <v>3208416.8905000002</v>
      </c>
      <c r="AH5">
        <v>4137140.3064999999</v>
      </c>
      <c r="AI5">
        <v>3214881.1669999999</v>
      </c>
      <c r="AJ5">
        <v>2077191.0155</v>
      </c>
      <c r="AK5">
        <v>2765529.9569999999</v>
      </c>
      <c r="AL5">
        <v>2193022.6475</v>
      </c>
      <c r="AM5">
        <v>2031617.5234999999</v>
      </c>
      <c r="AO5" t="s">
        <v>37</v>
      </c>
      <c r="AP5">
        <v>1526033.7872110801</v>
      </c>
      <c r="AQ5">
        <v>966846.24903520395</v>
      </c>
      <c r="AR5">
        <v>1777465.2813442301</v>
      </c>
      <c r="AS5">
        <v>1207911.9188179499</v>
      </c>
      <c r="AT5">
        <v>771714.67353953805</v>
      </c>
      <c r="AU5">
        <v>1323128.75473308</v>
      </c>
      <c r="AV5">
        <v>928192.65579388198</v>
      </c>
      <c r="AW5">
        <v>984190.79068272805</v>
      </c>
      <c r="AX5">
        <v>1124902.54960551</v>
      </c>
      <c r="AY5">
        <v>961426.40827931103</v>
      </c>
      <c r="BA5" t="s">
        <v>37</v>
      </c>
      <c r="BB5">
        <v>32656135.592999998</v>
      </c>
      <c r="BC5">
        <v>11571813.0690425</v>
      </c>
      <c r="BD5">
        <v>0.35435341196718301</v>
      </c>
      <c r="BE5">
        <v>4011</v>
      </c>
      <c r="BG5" t="s">
        <v>38</v>
      </c>
      <c r="BH5">
        <v>33845972.002499998</v>
      </c>
    </row>
    <row r="6" spans="1:60" ht="23" customHeight="1">
      <c r="A6" s="11" t="s">
        <v>39</v>
      </c>
      <c r="B6" s="11"/>
      <c r="C6" s="11"/>
      <c r="D6" s="11"/>
      <c r="E6" s="11" t="s">
        <v>40</v>
      </c>
      <c r="F6" s="11"/>
      <c r="G6" s="11"/>
      <c r="H6" s="11"/>
      <c r="I6" s="11" t="s">
        <v>41</v>
      </c>
      <c r="J6" s="11"/>
      <c r="K6" s="11"/>
      <c r="L6" s="11"/>
      <c r="M6" s="11" t="s">
        <v>42</v>
      </c>
      <c r="N6" s="11"/>
      <c r="O6" s="11"/>
      <c r="P6" s="11"/>
      <c r="U6" s="2" t="s">
        <v>38</v>
      </c>
      <c r="V6">
        <v>17181602.548500001</v>
      </c>
      <c r="W6">
        <v>6260393.5345000001</v>
      </c>
      <c r="X6">
        <v>2394259.8505000002</v>
      </c>
      <c r="Y6">
        <v>8009716.0690000001</v>
      </c>
      <c r="AA6" s="2" t="s">
        <v>38</v>
      </c>
      <c r="AB6">
        <v>2429974.923</v>
      </c>
      <c r="AC6">
        <v>2603152.9125000001</v>
      </c>
      <c r="AD6">
        <v>2383125.3445000001</v>
      </c>
      <c r="AE6">
        <v>3201273.747</v>
      </c>
      <c r="AF6">
        <v>3621474.9454999999</v>
      </c>
      <c r="AG6">
        <v>2238555.199</v>
      </c>
      <c r="AH6">
        <v>2119718.7149999999</v>
      </c>
      <c r="AI6">
        <v>1850680.186</v>
      </c>
      <c r="AJ6">
        <v>2611441.1069999998</v>
      </c>
      <c r="AK6">
        <v>3787092.3330000001</v>
      </c>
      <c r="AL6">
        <v>3631922.7174999998</v>
      </c>
      <c r="AM6">
        <v>3367559.8725000001</v>
      </c>
      <c r="AO6" s="2" t="s">
        <v>38</v>
      </c>
      <c r="AP6">
        <v>614792.06695164496</v>
      </c>
      <c r="AQ6">
        <v>1613014.78374472</v>
      </c>
      <c r="AR6">
        <v>920954.83117879997</v>
      </c>
      <c r="AS6">
        <v>1400708.8261871601</v>
      </c>
      <c r="AT6">
        <v>1123754.6938717</v>
      </c>
      <c r="AU6">
        <v>878333.20266858803</v>
      </c>
      <c r="AV6">
        <v>1419073.07749967</v>
      </c>
      <c r="AW6">
        <v>1184365.0332902099</v>
      </c>
      <c r="AX6">
        <v>1593977.2786640001</v>
      </c>
      <c r="AY6">
        <v>1099309.8437199499</v>
      </c>
      <c r="BA6" s="2" t="s">
        <v>38</v>
      </c>
      <c r="BB6">
        <v>33845972.002499998</v>
      </c>
      <c r="BC6">
        <v>11848283.6377765</v>
      </c>
      <c r="BD6">
        <v>0.350064806438453</v>
      </c>
      <c r="BE6">
        <v>4183</v>
      </c>
      <c r="BG6" s="2" t="s">
        <v>43</v>
      </c>
      <c r="BH6">
        <v>31415684.425999999</v>
      </c>
    </row>
    <row r="7" spans="1:60" ht="27.75" customHeight="1">
      <c r="A7" s="19">
        <f>INDEX(BB$4:BB$8,MATCH($B$4,$BA$4:$BA$8,0))</f>
        <v>135883600.7455</v>
      </c>
      <c r="B7" s="19"/>
      <c r="C7" s="19"/>
      <c r="D7" s="19"/>
      <c r="E7" s="19">
        <f>INDEX(BC$4:BC$8,MATCH($B$4,$BA$4:$BA$8,0))</f>
        <v>47551606.885315001</v>
      </c>
      <c r="F7" s="19"/>
      <c r="G7" s="19"/>
      <c r="H7" s="19"/>
      <c r="I7" s="20">
        <f>INDEX(BD$4:BD$8,MATCH($B$4,$BA$4:$BA$8,0))</f>
        <v>0.349943676973762</v>
      </c>
      <c r="J7" s="20"/>
      <c r="K7" s="20"/>
      <c r="L7" s="20"/>
      <c r="M7" s="21">
        <f>INDEX(BE$4:BE$8,MATCH($B$4,$BA$4:$BA$8,0))</f>
        <v>16305</v>
      </c>
      <c r="N7" s="21"/>
      <c r="O7" s="21"/>
      <c r="P7" s="21"/>
      <c r="U7" s="2" t="s">
        <v>43</v>
      </c>
      <c r="V7">
        <v>15872481.866</v>
      </c>
      <c r="W7">
        <v>6650096.6749999998</v>
      </c>
      <c r="X7">
        <v>1568547.317</v>
      </c>
      <c r="Y7">
        <v>7324558.568</v>
      </c>
      <c r="AA7" s="2" t="s">
        <v>43</v>
      </c>
      <c r="AB7">
        <v>2966603.6675</v>
      </c>
      <c r="AC7">
        <v>1964747.808</v>
      </c>
      <c r="AD7">
        <v>2876302.5225</v>
      </c>
      <c r="AE7">
        <v>2549499.557</v>
      </c>
      <c r="AF7">
        <v>3150527.0074999998</v>
      </c>
      <c r="AG7">
        <v>2772635.0520000001</v>
      </c>
      <c r="AH7">
        <v>2522903.6505</v>
      </c>
      <c r="AI7">
        <v>1677074.1850000001</v>
      </c>
      <c r="AJ7">
        <v>2848521.0375000001</v>
      </c>
      <c r="AK7">
        <v>2353349.2845000001</v>
      </c>
      <c r="AL7">
        <v>2225003.1205000002</v>
      </c>
      <c r="AM7">
        <v>3508517.5334999999</v>
      </c>
      <c r="AO7" s="2" t="s">
        <v>43</v>
      </c>
      <c r="AP7">
        <v>886315.142387753</v>
      </c>
      <c r="AQ7">
        <v>1455450.59025847</v>
      </c>
      <c r="AR7">
        <v>1608594.0534352099</v>
      </c>
      <c r="AS7">
        <v>889837.89727515599</v>
      </c>
      <c r="AT7">
        <v>924959.52802798199</v>
      </c>
      <c r="AU7">
        <v>728258.44504329702</v>
      </c>
      <c r="AV7">
        <v>967437.19272207201</v>
      </c>
      <c r="AW7">
        <v>826227.81578737102</v>
      </c>
      <c r="AX7">
        <v>1113240.36169069</v>
      </c>
      <c r="AY7">
        <v>1543134.0395033199</v>
      </c>
      <c r="BA7" s="2" t="s">
        <v>43</v>
      </c>
      <c r="BB7">
        <v>31415684.425999999</v>
      </c>
      <c r="BC7">
        <v>10943455.066131299</v>
      </c>
      <c r="BD7">
        <v>0.34834367820025602</v>
      </c>
      <c r="BE7">
        <v>3853</v>
      </c>
      <c r="BG7" s="2" t="s">
        <v>44</v>
      </c>
      <c r="BH7">
        <v>37965808.723999999</v>
      </c>
    </row>
    <row r="8" spans="1:60" ht="19" customHeight="1">
      <c r="U8" t="s">
        <v>44</v>
      </c>
      <c r="V8">
        <v>20698345.066500001</v>
      </c>
      <c r="W8">
        <v>6765325.3655000003</v>
      </c>
      <c r="X8">
        <v>2135538.2459999998</v>
      </c>
      <c r="Y8">
        <v>8366600.0460000001</v>
      </c>
      <c r="AA8" t="s">
        <v>44</v>
      </c>
      <c r="AB8">
        <v>4311692.2779999999</v>
      </c>
      <c r="AC8">
        <v>2666493.9424999999</v>
      </c>
      <c r="AD8">
        <v>2541592.9024999999</v>
      </c>
      <c r="AE8">
        <v>3411546.8325</v>
      </c>
      <c r="AF8">
        <v>3803698.9994999999</v>
      </c>
      <c r="AG8">
        <v>4531325.6310000001</v>
      </c>
      <c r="AH8">
        <v>3643023.1305</v>
      </c>
      <c r="AI8">
        <v>3163030.5455</v>
      </c>
      <c r="AJ8">
        <v>2633408.5754999998</v>
      </c>
      <c r="AK8">
        <v>2159156.986</v>
      </c>
      <c r="AL8">
        <v>3390512.702</v>
      </c>
      <c r="AM8">
        <v>1710326.1984999999</v>
      </c>
      <c r="AO8" t="s">
        <v>44</v>
      </c>
      <c r="AP8">
        <v>1823780.0923250399</v>
      </c>
      <c r="AQ8">
        <v>797719.82793117105</v>
      </c>
      <c r="AR8">
        <v>1284178.59271818</v>
      </c>
      <c r="AS8">
        <v>1289144.72547861</v>
      </c>
      <c r="AT8">
        <v>1273604.89755603</v>
      </c>
      <c r="AU8">
        <v>1385007.25886918</v>
      </c>
      <c r="AV8">
        <v>1388465.82511944</v>
      </c>
      <c r="AW8">
        <v>1526842.15832382</v>
      </c>
      <c r="AX8">
        <v>1353305.9721192699</v>
      </c>
      <c r="AY8">
        <v>1066005.7619239199</v>
      </c>
      <c r="BA8" t="s">
        <v>44</v>
      </c>
      <c r="BB8">
        <v>37965808.723999999</v>
      </c>
      <c r="BC8">
        <v>13188055.1123647</v>
      </c>
      <c r="BD8">
        <v>0.34736663212517999</v>
      </c>
      <c r="BE8">
        <v>4258</v>
      </c>
    </row>
    <row r="9" spans="1:60" ht="26" customHeight="1">
      <c r="A9" s="13" t="s">
        <v>45</v>
      </c>
      <c r="B9" s="13" t="s">
        <v>51</v>
      </c>
      <c r="C9" s="10" t="s">
        <v>52</v>
      </c>
      <c r="D9" s="10" t="s">
        <v>53</v>
      </c>
      <c r="F9" s="14" t="s">
        <v>46</v>
      </c>
      <c r="G9" s="14" t="s">
        <v>51</v>
      </c>
      <c r="H9" s="8" t="s">
        <v>52</v>
      </c>
      <c r="I9" s="8" t="s">
        <v>53</v>
      </c>
      <c r="J9" s="8" t="s">
        <v>54</v>
      </c>
      <c r="K9" s="8" t="s">
        <v>55</v>
      </c>
      <c r="L9" s="8" t="s">
        <v>56</v>
      </c>
    </row>
    <row r="10" spans="1:60" ht="20">
      <c r="A10" s="15" t="s">
        <v>47</v>
      </c>
      <c r="B10" s="15" t="s">
        <v>30</v>
      </c>
      <c r="C10" s="4"/>
      <c r="D10" s="4"/>
      <c r="F10" s="16" t="s">
        <v>48</v>
      </c>
      <c r="G10" s="16" t="s">
        <v>30</v>
      </c>
      <c r="H10" s="6"/>
      <c r="I10" s="6"/>
      <c r="J10" s="6"/>
      <c r="K10" s="6"/>
      <c r="L10" s="6"/>
    </row>
    <row r="11" spans="1:60" ht="20">
      <c r="A11" s="4" t="s">
        <v>4</v>
      </c>
      <c r="B11" s="4">
        <f>INDEX(V$4:V$8,MATCH($B$4,$U$4:$U$8,0))</f>
        <v>68609050.560499907</v>
      </c>
      <c r="C11" s="4"/>
      <c r="D11" s="4"/>
      <c r="F11" s="6" t="s">
        <v>8</v>
      </c>
      <c r="G11" s="7">
        <f>INDEX(AB$4:AB$8,MATCH($B$4,$U$4:$U$8,0))</f>
        <v>12226300.742000001</v>
      </c>
      <c r="H11" s="6"/>
      <c r="I11" s="6"/>
      <c r="J11" s="6"/>
      <c r="K11" s="6"/>
      <c r="L11" s="6"/>
    </row>
    <row r="12" spans="1:60" ht="20">
      <c r="A12" s="4" t="s">
        <v>5</v>
      </c>
      <c r="B12" s="4">
        <f>INDEX(W$4:W$8,MATCH($B$4,$U$4:$U$8,0))</f>
        <v>26154326.558499999</v>
      </c>
      <c r="C12" s="4"/>
      <c r="D12" s="4"/>
      <c r="F12" s="6" t="s">
        <v>9</v>
      </c>
      <c r="G12" s="7">
        <f>INDEX(AC$4:AC$8,MATCH($B$4,$U$4:$U$8,0))</f>
        <v>9188989.7599999998</v>
      </c>
      <c r="H12" s="6"/>
      <c r="I12" s="6"/>
      <c r="J12" s="6"/>
      <c r="K12" s="6"/>
      <c r="L12" s="6"/>
    </row>
    <row r="13" spans="1:60" ht="20">
      <c r="A13" s="4" t="s">
        <v>6</v>
      </c>
      <c r="B13" s="4">
        <f>INDEX(X$4:X$8,MATCH($B$4,$U$4:$U$8,0))</f>
        <v>8103017.4179999996</v>
      </c>
      <c r="C13" s="4"/>
      <c r="D13" s="4"/>
      <c r="F13" s="6" t="s">
        <v>10</v>
      </c>
      <c r="G13" s="7">
        <f>INDEX(AD$4:AD$8,MATCH($B$4,$U$4:$U$8,0))</f>
        <v>10586382.446</v>
      </c>
      <c r="H13" s="6"/>
      <c r="I13" s="6"/>
      <c r="J13" s="6"/>
      <c r="K13" s="6"/>
      <c r="L13" s="6"/>
    </row>
    <row r="14" spans="1:60" ht="20">
      <c r="A14" s="4" t="s">
        <v>7</v>
      </c>
      <c r="B14" s="4">
        <f>INDEX(Y$4:Y$8,MATCH($B$4,$U$4:$U$8,0))</f>
        <v>33017206.208500002</v>
      </c>
      <c r="C14" s="4"/>
      <c r="D14" s="4"/>
      <c r="F14" s="6" t="s">
        <v>11</v>
      </c>
      <c r="G14" s="7">
        <f>INDEX(AE$4:AE$8,MATCH($B$4,$U$4:$U$8,0))</f>
        <v>11765836.588</v>
      </c>
      <c r="H14" s="6"/>
      <c r="I14" s="6"/>
      <c r="J14" s="6"/>
      <c r="K14" s="6"/>
      <c r="L14" s="6"/>
    </row>
    <row r="15" spans="1:60" ht="20">
      <c r="F15" s="6" t="s">
        <v>12</v>
      </c>
      <c r="G15" s="7">
        <f>INDEX(AF$4:AF$8,MATCH($B$4,$U$4:$U$8,0))</f>
        <v>13742533.9395</v>
      </c>
      <c r="H15" s="6"/>
      <c r="I15" s="6"/>
      <c r="J15" s="6"/>
      <c r="K15" s="6"/>
      <c r="L15" s="6"/>
    </row>
    <row r="16" spans="1:60" ht="20">
      <c r="F16" s="6" t="s">
        <v>13</v>
      </c>
      <c r="G16" s="7">
        <f>INDEX(AG$4:AG$8,MATCH($B$4,$U$4:$U$8,0))</f>
        <v>12750932.772500001</v>
      </c>
      <c r="H16" s="6"/>
      <c r="I16" s="6"/>
      <c r="J16" s="6"/>
      <c r="K16" s="6"/>
      <c r="L16" s="6"/>
    </row>
    <row r="17" spans="6:12" ht="20">
      <c r="F17" s="6" t="s">
        <v>14</v>
      </c>
      <c r="G17" s="7">
        <f>INDEX(AH$4:AH$8,MATCH($B$4,$U$4:$U$8,0))</f>
        <v>12422785.8025</v>
      </c>
      <c r="H17" s="6"/>
      <c r="I17" s="6"/>
      <c r="J17" s="6"/>
      <c r="K17" s="6"/>
      <c r="L17" s="6"/>
    </row>
    <row r="18" spans="6:12" ht="20">
      <c r="F18" s="6" t="s">
        <v>15</v>
      </c>
      <c r="G18" s="7">
        <f>INDEX(AI$4:AI$8,MATCH($B$4,$U$4:$U$8,0))</f>
        <v>9905666.0834999997</v>
      </c>
      <c r="H18" s="6"/>
      <c r="I18" s="6"/>
      <c r="J18" s="6"/>
      <c r="K18" s="6"/>
      <c r="L18" s="6"/>
    </row>
    <row r="19" spans="6:12" ht="20">
      <c r="F19" s="6" t="s">
        <v>16</v>
      </c>
      <c r="G19" s="7">
        <f>INDEX(AJ$4:AJ$8,MATCH($B$4,$U$4:$U$8,0))</f>
        <v>10170561.7355</v>
      </c>
      <c r="H19" s="6"/>
      <c r="I19" s="6"/>
      <c r="J19" s="6"/>
      <c r="K19" s="6"/>
      <c r="L19" s="6"/>
    </row>
    <row r="20" spans="6:12" ht="20">
      <c r="F20" s="6" t="s">
        <v>17</v>
      </c>
      <c r="G20" s="7">
        <f>INDEX(AK$4:AK$8,MATCH($B$4,$U$4:$U$8,0))</f>
        <v>11065128.5605</v>
      </c>
      <c r="H20" s="6"/>
      <c r="I20" s="6"/>
      <c r="J20" s="6"/>
      <c r="K20" s="6"/>
      <c r="L20" s="6"/>
    </row>
    <row r="21" spans="6:12" ht="20">
      <c r="F21" s="6" t="s">
        <v>18</v>
      </c>
      <c r="G21" s="7">
        <f>INDEX(AL$4:AL$8,MATCH($B$4,$U$4:$U$8,0))</f>
        <v>11440461.1875</v>
      </c>
      <c r="H21" s="6"/>
      <c r="I21" s="6"/>
      <c r="J21" s="6"/>
      <c r="K21" s="6"/>
      <c r="L21" s="6"/>
    </row>
    <row r="22" spans="6:12" ht="20">
      <c r="F22" s="6" t="s">
        <v>19</v>
      </c>
      <c r="G22" s="7">
        <f>INDEX(AM$4:AM$8,MATCH($B$4,$U$4:$U$8,0))</f>
        <v>10618021.128</v>
      </c>
      <c r="H22" s="6"/>
      <c r="I22" s="6"/>
      <c r="J22" s="6"/>
      <c r="K22" s="6"/>
      <c r="L22" s="6"/>
    </row>
    <row r="30" spans="6:12" ht="10" customHeight="1"/>
    <row r="31" spans="6:12" hidden="1"/>
    <row r="32" spans="6:12" ht="5" customHeight="1"/>
    <row r="33" spans="1:12" ht="7" customHeight="1"/>
    <row r="34" spans="1:12" ht="26" customHeight="1">
      <c r="A34" s="14" t="s">
        <v>49</v>
      </c>
      <c r="B34" s="14" t="s">
        <v>51</v>
      </c>
      <c r="C34" s="9" t="s">
        <v>52</v>
      </c>
      <c r="D34" s="9" t="s">
        <v>53</v>
      </c>
      <c r="F34" s="17" t="s">
        <v>57</v>
      </c>
      <c r="G34" s="17" t="s">
        <v>51</v>
      </c>
      <c r="H34" s="8" t="s">
        <v>52</v>
      </c>
      <c r="I34" s="8" t="s">
        <v>53</v>
      </c>
      <c r="J34" s="8" t="s">
        <v>54</v>
      </c>
      <c r="K34" s="8" t="s">
        <v>55</v>
      </c>
      <c r="L34" s="8" t="s">
        <v>56</v>
      </c>
    </row>
    <row r="35" spans="1:12" ht="20">
      <c r="A35" s="16" t="s">
        <v>3</v>
      </c>
      <c r="B35" s="16" t="s">
        <v>34</v>
      </c>
      <c r="C35" s="5"/>
      <c r="D35" s="5"/>
      <c r="F35" s="16" t="s">
        <v>50</v>
      </c>
      <c r="G35" s="16" t="s">
        <v>31</v>
      </c>
      <c r="H35" s="6"/>
      <c r="I35" s="6"/>
      <c r="J35" s="6"/>
      <c r="K35" s="6"/>
      <c r="L35" s="6"/>
    </row>
    <row r="36" spans="1:12" ht="20">
      <c r="A36" s="6" t="s">
        <v>37</v>
      </c>
      <c r="B36" s="7" t="str">
        <f>BG4</f>
        <v>North</v>
      </c>
      <c r="C36" s="5"/>
      <c r="D36" s="5"/>
      <c r="F36" s="6" t="s">
        <v>20</v>
      </c>
      <c r="G36" s="7">
        <f>INDEX(AP$4:AP$8,MATCH($B$4,$U$4:$U$8,0))</f>
        <v>4850921.08887552</v>
      </c>
      <c r="H36" s="6"/>
      <c r="I36" s="6"/>
      <c r="J36" s="6"/>
      <c r="K36" s="6"/>
      <c r="L36" s="6"/>
    </row>
    <row r="37" spans="1:12" ht="20">
      <c r="A37" s="6" t="s">
        <v>38</v>
      </c>
      <c r="B37" s="7" t="str">
        <f>BG5</f>
        <v>South</v>
      </c>
      <c r="C37" s="5"/>
      <c r="D37" s="5"/>
      <c r="F37" s="6" t="s">
        <v>21</v>
      </c>
      <c r="G37" s="7">
        <f>INDEX(AQ$4:AQ$8,MATCH($B$4,$U$4:$U$8,0))</f>
        <v>4833031.4509695703</v>
      </c>
      <c r="H37" s="6"/>
      <c r="I37" s="6"/>
      <c r="J37" s="6"/>
      <c r="K37" s="6"/>
      <c r="L37" s="6"/>
    </row>
    <row r="38" spans="1:12" ht="20">
      <c r="A38" s="6" t="s">
        <v>43</v>
      </c>
      <c r="B38" s="7" t="str">
        <f>BG6</f>
        <v>West</v>
      </c>
      <c r="C38" s="5"/>
      <c r="D38" s="5"/>
      <c r="F38" s="6" t="s">
        <v>22</v>
      </c>
      <c r="G38" s="7">
        <f>INDEX(AR$4:AR$8,MATCH($B$4,$U$4:$U$8,0))</f>
        <v>5591192.75867642</v>
      </c>
      <c r="H38" s="6"/>
      <c r="I38" s="6"/>
      <c r="J38" s="6"/>
      <c r="K38" s="6"/>
      <c r="L38" s="6"/>
    </row>
    <row r="39" spans="1:12" ht="20">
      <c r="A39" s="6" t="s">
        <v>44</v>
      </c>
      <c r="B39" s="7" t="str">
        <f>BG7</f>
        <v>East</v>
      </c>
      <c r="C39" s="5"/>
      <c r="D39" s="5"/>
      <c r="F39" s="6" t="s">
        <v>23</v>
      </c>
      <c r="G39" s="7">
        <f>INDEX(AS$4:AS$8,MATCH($B$4,$U$4:$U$8,0))</f>
        <v>4787603.3677588701</v>
      </c>
      <c r="H39" s="6"/>
      <c r="I39" s="6"/>
      <c r="J39" s="6"/>
      <c r="K39" s="6"/>
      <c r="L39" s="6"/>
    </row>
    <row r="40" spans="1:12" ht="16" customHeight="1">
      <c r="F40" s="6" t="s">
        <v>24</v>
      </c>
      <c r="G40" s="7">
        <f>INDEX(AT$4:AT$8,MATCH($B$4,$U$4:$U$8,0))</f>
        <v>4094033.7929952499</v>
      </c>
      <c r="H40" s="6"/>
      <c r="I40" s="6"/>
      <c r="J40" s="6"/>
      <c r="K40" s="6"/>
      <c r="L40" s="6"/>
    </row>
    <row r="41" spans="1:12" ht="20">
      <c r="F41" s="6" t="s">
        <v>25</v>
      </c>
      <c r="G41" s="7">
        <f>INDEX(AU$4:AU$8,MATCH($B$4,$U$4:$U$8,0))</f>
        <v>4314727.6613141401</v>
      </c>
      <c r="H41" s="6"/>
      <c r="I41" s="6"/>
      <c r="J41" s="6"/>
      <c r="K41" s="6"/>
      <c r="L41" s="6"/>
    </row>
    <row r="42" spans="1:12" ht="20">
      <c r="F42" s="6" t="s">
        <v>26</v>
      </c>
      <c r="G42" s="7">
        <f>INDEX(AV$4:AV$8,MATCH($B$4,$U$4:$U$8,0))</f>
        <v>4703168.7511350699</v>
      </c>
      <c r="H42" s="6"/>
      <c r="I42" s="6"/>
      <c r="J42" s="6"/>
      <c r="K42" s="6"/>
      <c r="L42" s="6"/>
    </row>
    <row r="43" spans="1:12" ht="20">
      <c r="F43" s="6" t="s">
        <v>27</v>
      </c>
      <c r="G43" s="7">
        <f>INDEX(AW$4:AW$8,MATCH($B$4,$U$4:$U$8,0))</f>
        <v>4521625.7980841296</v>
      </c>
      <c r="H43" s="6"/>
      <c r="I43" s="6"/>
      <c r="J43" s="6"/>
      <c r="K43" s="6"/>
      <c r="L43" s="6"/>
    </row>
    <row r="44" spans="1:12" ht="20">
      <c r="F44" s="6" t="s">
        <v>28</v>
      </c>
      <c r="G44" s="7">
        <f>INDEX(AX$4:AX$8,MATCH($B$4,$U$4:$U$8,0))</f>
        <v>5185426.1620794795</v>
      </c>
      <c r="H44" s="6"/>
      <c r="I44" s="6"/>
      <c r="J44" s="6"/>
      <c r="K44" s="6"/>
      <c r="L44" s="6"/>
    </row>
    <row r="45" spans="1:12" ht="20">
      <c r="F45" s="6" t="s">
        <v>29</v>
      </c>
      <c r="G45" s="7">
        <f>INDEX(AY$4:AY$8,MATCH($B$4,$U$4:$U$8,0))</f>
        <v>4669876.0534265004</v>
      </c>
      <c r="H45" s="6"/>
      <c r="I45" s="6"/>
      <c r="J45" s="6"/>
      <c r="K45" s="6"/>
      <c r="L45" s="6"/>
    </row>
  </sheetData>
  <mergeCells count="10">
    <mergeCell ref="M6:P6"/>
    <mergeCell ref="I6:L6"/>
    <mergeCell ref="E6:H6"/>
    <mergeCell ref="A6:D6"/>
    <mergeCell ref="A7:D7"/>
    <mergeCell ref="E7:H7"/>
    <mergeCell ref="I7:L7"/>
    <mergeCell ref="M7:P7"/>
    <mergeCell ref="A1:R1"/>
    <mergeCell ref="A2:R2"/>
  </mergeCells>
  <phoneticPr fontId="7" type="noConversion"/>
  <conditionalFormatting sqref="B11:B14">
    <cfRule type="colorScale" priority="2">
      <colorScale>
        <cfvo type="min"/>
        <cfvo type="max"/>
        <color rgb="FFFFEB84"/>
        <color rgb="FF63BE7B"/>
      </colorScale>
    </cfRule>
  </conditionalFormatting>
  <dataValidations disablePrompts="1" count="1">
    <dataValidation type="list" sqref="B4">
      <formula1>"All,North,South,West,East"</formula1>
      <formula2>0</formula2>
    </dataValidation>
  </dataValidations>
  <pageMargins left="0.25" right="0.25" top="0.75" bottom="0.75" header="0.3" footer="0.3"/>
  <pageSetup paperSize="9" orientation="portrait" horizontalDpi="300" verticalDpi="300"/>
  <drawing r:id="rId1"/>
  <tableParts count="4">
    <tablePart r:id="rId2"/>
    <tablePart r:id="rId3"/>
    <tablePart r:id="rId4"/>
    <tablePart r:id="rId5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Dashboard!A7:D7</xm:f>
              <xm:sqref>A7</xm:sqref>
            </x14:sparkline>
          </x14:sparklines>
        </x14:sparklineGroup>
      </x14:sparklineGroups>
    </ex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 a</cp:lastModifiedBy>
  <cp:revision>1</cp:revision>
  <dcterms:created xsi:type="dcterms:W3CDTF">2026-07-07T11:56:41Z</dcterms:created>
  <dcterms:modified xsi:type="dcterms:W3CDTF">2026-07-07T13:38:29Z</dcterms:modified>
  <dc:language>en-US</dc:language>
</cp:coreProperties>
</file>