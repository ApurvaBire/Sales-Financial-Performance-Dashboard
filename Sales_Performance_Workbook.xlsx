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autoCompressPictures="0"/>
  <bookViews>
    <workbookView xWindow="0" yWindow="0" windowWidth="25600" windowHeight="14400" tabRatio="500" firstSheet="1" activeTab="1"/>
  </bookViews>
  <sheets>
    <sheet name="README" sheetId="1" r:id="rId1"/>
    <sheet name="Dashboard" sheetId="2" r:id="rId2"/>
    <sheet name="Raw_Sales_Data" sheetId="3" r:id="rId3"/>
    <sheet name="Formulas_Reference" sheetId="4" r:id="rId4"/>
    <sheet name="Pivot_Analysis" sheetId="5" r:id="rId5"/>
    <sheet name="What_If_Analysis" sheetId="6" r:id="rId6"/>
  </sheets>
  <calcPr calcId="140001" iterateDelta="1E-4" concurrentCalc="0"/>
  <extLs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2" i="3" l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182" i="3"/>
  <c r="O2183" i="3"/>
  <c r="O2184" i="3"/>
  <c r="O2185" i="3"/>
  <c r="O2186" i="3"/>
  <c r="O2187" i="3"/>
  <c r="O2188" i="3"/>
  <c r="O2189" i="3"/>
  <c r="O2190" i="3"/>
  <c r="O2191" i="3"/>
  <c r="O2192" i="3"/>
  <c r="O2193" i="3"/>
  <c r="O2194" i="3"/>
  <c r="O2195" i="3"/>
  <c r="O2196" i="3"/>
  <c r="O2197" i="3"/>
  <c r="O2198" i="3"/>
  <c r="O2199" i="3"/>
  <c r="O2200" i="3"/>
  <c r="O2201" i="3"/>
  <c r="O2202" i="3"/>
  <c r="O2203" i="3"/>
  <c r="O2204" i="3"/>
  <c r="O2205" i="3"/>
  <c r="O2206" i="3"/>
  <c r="O2207" i="3"/>
  <c r="O2208" i="3"/>
  <c r="O2209" i="3"/>
  <c r="O2210" i="3"/>
  <c r="O2211" i="3"/>
  <c r="O2212" i="3"/>
  <c r="O2213" i="3"/>
  <c r="O2214" i="3"/>
  <c r="O2215" i="3"/>
  <c r="O2216" i="3"/>
  <c r="O2217" i="3"/>
  <c r="O2218" i="3"/>
  <c r="O2219" i="3"/>
  <c r="O2220" i="3"/>
  <c r="O2221" i="3"/>
  <c r="O2222" i="3"/>
  <c r="O2223" i="3"/>
  <c r="O2224" i="3"/>
  <c r="O2225" i="3"/>
  <c r="O2226" i="3"/>
  <c r="O2227" i="3"/>
  <c r="O2228" i="3"/>
  <c r="O2229" i="3"/>
  <c r="O2230" i="3"/>
  <c r="O2231" i="3"/>
  <c r="O2232" i="3"/>
  <c r="O2233" i="3"/>
  <c r="O2234" i="3"/>
  <c r="O2235" i="3"/>
  <c r="O2236" i="3"/>
  <c r="O2237" i="3"/>
  <c r="O2238" i="3"/>
  <c r="O2239" i="3"/>
  <c r="O2240" i="3"/>
  <c r="O2241" i="3"/>
  <c r="O2242" i="3"/>
  <c r="O2243" i="3"/>
  <c r="O2244" i="3"/>
  <c r="O2245" i="3"/>
  <c r="O2246" i="3"/>
  <c r="O2247" i="3"/>
  <c r="O2248" i="3"/>
  <c r="O2249" i="3"/>
  <c r="O2250" i="3"/>
  <c r="O2251" i="3"/>
  <c r="O2252" i="3"/>
  <c r="O2253" i="3"/>
  <c r="O2254" i="3"/>
  <c r="O2255" i="3"/>
  <c r="O2256" i="3"/>
  <c r="O2257" i="3"/>
  <c r="O2258" i="3"/>
  <c r="O2259" i="3"/>
  <c r="O2260" i="3"/>
  <c r="O2261" i="3"/>
  <c r="O2262" i="3"/>
  <c r="O2263" i="3"/>
  <c r="O2264" i="3"/>
  <c r="O2265" i="3"/>
  <c r="O2266" i="3"/>
  <c r="O2267" i="3"/>
  <c r="O2268" i="3"/>
  <c r="O2269" i="3"/>
  <c r="O2270" i="3"/>
  <c r="O2271" i="3"/>
  <c r="O2272" i="3"/>
  <c r="O2273" i="3"/>
  <c r="O2274" i="3"/>
  <c r="O2275" i="3"/>
  <c r="O2276" i="3"/>
  <c r="O2277" i="3"/>
  <c r="O2278" i="3"/>
  <c r="O2279" i="3"/>
  <c r="O2280" i="3"/>
  <c r="O2281" i="3"/>
  <c r="O2282" i="3"/>
  <c r="O2283" i="3"/>
  <c r="O2284" i="3"/>
  <c r="O2285" i="3"/>
  <c r="O2286" i="3"/>
  <c r="O2287" i="3"/>
  <c r="O2288" i="3"/>
  <c r="O2289" i="3"/>
  <c r="O2290" i="3"/>
  <c r="O2291" i="3"/>
  <c r="O2292" i="3"/>
  <c r="O2293" i="3"/>
  <c r="O2294" i="3"/>
  <c r="O2295" i="3"/>
  <c r="O2296" i="3"/>
  <c r="O2297" i="3"/>
  <c r="O2298" i="3"/>
  <c r="O2299" i="3"/>
  <c r="O2300" i="3"/>
  <c r="O2301" i="3"/>
  <c r="O2302" i="3"/>
  <c r="O2303" i="3"/>
  <c r="O2304" i="3"/>
  <c r="O2305" i="3"/>
  <c r="O2306" i="3"/>
  <c r="O2307" i="3"/>
  <c r="O2308" i="3"/>
  <c r="O2309" i="3"/>
  <c r="O2310" i="3"/>
  <c r="O2311" i="3"/>
  <c r="O2312" i="3"/>
  <c r="O2313" i="3"/>
  <c r="O2314" i="3"/>
  <c r="O2315" i="3"/>
  <c r="O2316" i="3"/>
  <c r="O2317" i="3"/>
  <c r="O2318" i="3"/>
  <c r="O2319" i="3"/>
  <c r="O2320" i="3"/>
  <c r="O2321" i="3"/>
  <c r="O2322" i="3"/>
  <c r="O2323" i="3"/>
  <c r="O2324" i="3"/>
  <c r="O2325" i="3"/>
  <c r="O2326" i="3"/>
  <c r="O2327" i="3"/>
  <c r="O2328" i="3"/>
  <c r="O2329" i="3"/>
  <c r="O2330" i="3"/>
  <c r="O2331" i="3"/>
  <c r="O2332" i="3"/>
  <c r="O2333" i="3"/>
  <c r="O2334" i="3"/>
  <c r="O2335" i="3"/>
  <c r="O2336" i="3"/>
  <c r="O2337" i="3"/>
  <c r="O2338" i="3"/>
  <c r="O2339" i="3"/>
  <c r="O2340" i="3"/>
  <c r="O2341" i="3"/>
  <c r="O2342" i="3"/>
  <c r="O2343" i="3"/>
  <c r="O2344" i="3"/>
  <c r="O2345" i="3"/>
  <c r="O2346" i="3"/>
  <c r="O2347" i="3"/>
  <c r="O2348" i="3"/>
  <c r="O2349" i="3"/>
  <c r="O2350" i="3"/>
  <c r="O2351" i="3"/>
  <c r="O2352" i="3"/>
  <c r="O2353" i="3"/>
  <c r="O2354" i="3"/>
  <c r="O2355" i="3"/>
  <c r="O2356" i="3"/>
  <c r="O2357" i="3"/>
  <c r="O2358" i="3"/>
  <c r="O2359" i="3"/>
  <c r="O2360" i="3"/>
  <c r="O2361" i="3"/>
  <c r="O2362" i="3"/>
  <c r="O2363" i="3"/>
  <c r="O2364" i="3"/>
  <c r="O2365" i="3"/>
  <c r="O2366" i="3"/>
  <c r="O2367" i="3"/>
  <c r="O2368" i="3"/>
  <c r="O2369" i="3"/>
  <c r="O2370" i="3"/>
  <c r="O2371" i="3"/>
  <c r="O2372" i="3"/>
  <c r="O2373" i="3"/>
  <c r="O2374" i="3"/>
  <c r="O2375" i="3"/>
  <c r="O2376" i="3"/>
  <c r="O2377" i="3"/>
  <c r="O2378" i="3"/>
  <c r="O2379" i="3"/>
  <c r="O2380" i="3"/>
  <c r="O2381" i="3"/>
  <c r="O2382" i="3"/>
  <c r="O2383" i="3"/>
  <c r="O2384" i="3"/>
  <c r="O2385" i="3"/>
  <c r="O2386" i="3"/>
  <c r="O2387" i="3"/>
  <c r="O2388" i="3"/>
  <c r="O2389" i="3"/>
  <c r="O2390" i="3"/>
  <c r="O2391" i="3"/>
  <c r="O2392" i="3"/>
  <c r="O2393" i="3"/>
  <c r="O2394" i="3"/>
  <c r="O2395" i="3"/>
  <c r="O2396" i="3"/>
  <c r="O2397" i="3"/>
  <c r="O2398" i="3"/>
  <c r="O2399" i="3"/>
  <c r="O2400" i="3"/>
  <c r="O2401" i="3"/>
  <c r="O2402" i="3"/>
  <c r="O2403" i="3"/>
  <c r="O2404" i="3"/>
  <c r="O2405" i="3"/>
  <c r="O2406" i="3"/>
  <c r="O2407" i="3"/>
  <c r="O2408" i="3"/>
  <c r="O2409" i="3"/>
  <c r="O2410" i="3"/>
  <c r="O2411" i="3"/>
  <c r="O2412" i="3"/>
  <c r="O2413" i="3"/>
  <c r="O2414" i="3"/>
  <c r="O2415" i="3"/>
  <c r="O2416" i="3"/>
  <c r="O2417" i="3"/>
  <c r="O2418" i="3"/>
  <c r="O2419" i="3"/>
  <c r="O2420" i="3"/>
  <c r="O2421" i="3"/>
  <c r="O2422" i="3"/>
  <c r="O2423" i="3"/>
  <c r="O2424" i="3"/>
  <c r="O2425" i="3"/>
  <c r="O2426" i="3"/>
  <c r="O2427" i="3"/>
  <c r="O2428" i="3"/>
  <c r="O2429" i="3"/>
  <c r="O2430" i="3"/>
  <c r="O2431" i="3"/>
  <c r="O2432" i="3"/>
  <c r="O2433" i="3"/>
  <c r="O2434" i="3"/>
  <c r="O2435" i="3"/>
  <c r="O2436" i="3"/>
  <c r="O2437" i="3"/>
  <c r="O2438" i="3"/>
  <c r="O2439" i="3"/>
  <c r="O2440" i="3"/>
  <c r="O2441" i="3"/>
  <c r="O2442" i="3"/>
  <c r="O2443" i="3"/>
  <c r="O2444" i="3"/>
  <c r="O2445" i="3"/>
  <c r="O2446" i="3"/>
  <c r="O2447" i="3"/>
  <c r="O2448" i="3"/>
  <c r="O2449" i="3"/>
  <c r="O2450" i="3"/>
  <c r="O2451" i="3"/>
  <c r="O2452" i="3"/>
  <c r="O2453" i="3"/>
  <c r="O2454" i="3"/>
  <c r="O2455" i="3"/>
  <c r="O2456" i="3"/>
  <c r="O2457" i="3"/>
  <c r="O2458" i="3"/>
  <c r="O2459" i="3"/>
  <c r="O2460" i="3"/>
  <c r="O2461" i="3"/>
  <c r="O2462" i="3"/>
  <c r="O2463" i="3"/>
  <c r="O2464" i="3"/>
  <c r="O2465" i="3"/>
  <c r="O2466" i="3"/>
  <c r="O2467" i="3"/>
  <c r="O2468" i="3"/>
  <c r="O2469" i="3"/>
  <c r="O2470" i="3"/>
  <c r="O2471" i="3"/>
  <c r="O2472" i="3"/>
  <c r="O2473" i="3"/>
  <c r="O2474" i="3"/>
  <c r="O2475" i="3"/>
  <c r="O2476" i="3"/>
  <c r="O2477" i="3"/>
  <c r="O2478" i="3"/>
  <c r="O2479" i="3"/>
  <c r="O2480" i="3"/>
  <c r="O2481" i="3"/>
  <c r="O2482" i="3"/>
  <c r="O2483" i="3"/>
  <c r="O2484" i="3"/>
  <c r="O2485" i="3"/>
  <c r="O2486" i="3"/>
  <c r="O2487" i="3"/>
  <c r="O2488" i="3"/>
  <c r="O2489" i="3"/>
  <c r="O2490" i="3"/>
  <c r="O2491" i="3"/>
  <c r="O2492" i="3"/>
  <c r="O2493" i="3"/>
  <c r="O2494" i="3"/>
  <c r="O2495" i="3"/>
  <c r="O2496" i="3"/>
  <c r="O2497" i="3"/>
  <c r="O2498" i="3"/>
  <c r="O2499" i="3"/>
  <c r="O2500" i="3"/>
  <c r="O2501" i="3"/>
  <c r="O2502" i="3"/>
  <c r="O2503" i="3"/>
  <c r="O2504" i="3"/>
  <c r="O2505" i="3"/>
  <c r="O2506" i="3"/>
  <c r="O2507" i="3"/>
  <c r="O2508" i="3"/>
  <c r="O2509" i="3"/>
  <c r="O2510" i="3"/>
  <c r="O2511" i="3"/>
  <c r="O2512" i="3"/>
  <c r="O2513" i="3"/>
  <c r="O2514" i="3"/>
  <c r="O2515" i="3"/>
  <c r="O2516" i="3"/>
  <c r="O2517" i="3"/>
  <c r="O2518" i="3"/>
  <c r="O2519" i="3"/>
  <c r="O2520" i="3"/>
  <c r="O2521" i="3"/>
  <c r="O2522" i="3"/>
  <c r="O2523" i="3"/>
  <c r="O2524" i="3"/>
  <c r="O2525" i="3"/>
  <c r="O2526" i="3"/>
  <c r="O2527" i="3"/>
  <c r="O2528" i="3"/>
  <c r="B15" i="6"/>
  <c r="B13" i="6"/>
  <c r="B14" i="6"/>
  <c r="B28" i="6"/>
  <c r="B27" i="6"/>
  <c r="B26" i="6"/>
  <c r="B25" i="6"/>
  <c r="B24" i="6"/>
  <c r="B23" i="6"/>
  <c r="B22" i="6"/>
  <c r="B12" i="6"/>
  <c r="B16" i="6"/>
  <c r="B17" i="6"/>
  <c r="B18" i="6"/>
  <c r="P22" i="3"/>
  <c r="Q22" i="3"/>
  <c r="P44" i="3"/>
  <c r="Q44" i="3"/>
  <c r="P45" i="3"/>
  <c r="Q45" i="3"/>
  <c r="P46" i="3"/>
  <c r="Q46" i="3"/>
  <c r="P2" i="3"/>
  <c r="Q2" i="3"/>
  <c r="P3" i="3"/>
  <c r="Q3" i="3"/>
  <c r="P4" i="3"/>
  <c r="Q4" i="3"/>
  <c r="P5" i="3"/>
  <c r="Q5" i="3"/>
  <c r="P6" i="3"/>
  <c r="Q6" i="3"/>
  <c r="P7" i="3"/>
  <c r="Q7" i="3"/>
  <c r="P8" i="3"/>
  <c r="Q8" i="3"/>
  <c r="P9" i="3"/>
  <c r="Q9" i="3"/>
  <c r="P10" i="3"/>
  <c r="Q10" i="3"/>
  <c r="P11" i="3"/>
  <c r="Q11" i="3"/>
  <c r="P12" i="3"/>
  <c r="Q12" i="3"/>
  <c r="P13" i="3"/>
  <c r="Q13" i="3"/>
  <c r="P14" i="3"/>
  <c r="Q14" i="3"/>
  <c r="P15" i="3"/>
  <c r="Q15" i="3"/>
  <c r="P16" i="3"/>
  <c r="Q16" i="3"/>
  <c r="P17" i="3"/>
  <c r="Q17" i="3"/>
  <c r="P18" i="3"/>
  <c r="Q18" i="3"/>
  <c r="P19" i="3"/>
  <c r="Q19" i="3"/>
  <c r="P20" i="3"/>
  <c r="Q20" i="3"/>
  <c r="P21" i="3"/>
  <c r="Q21" i="3"/>
  <c r="P23" i="3"/>
  <c r="Q23" i="3"/>
  <c r="P24" i="3"/>
  <c r="Q24" i="3"/>
  <c r="P25" i="3"/>
  <c r="Q25" i="3"/>
  <c r="P26" i="3"/>
  <c r="Q26" i="3"/>
  <c r="P27" i="3"/>
  <c r="Q27" i="3"/>
  <c r="P28" i="3"/>
  <c r="Q28" i="3"/>
  <c r="P29" i="3"/>
  <c r="Q29" i="3"/>
  <c r="P30" i="3"/>
  <c r="Q30" i="3"/>
  <c r="P31" i="3"/>
  <c r="Q31" i="3"/>
  <c r="P32" i="3"/>
  <c r="Q32" i="3"/>
  <c r="P33" i="3"/>
  <c r="Q33" i="3"/>
  <c r="P34" i="3"/>
  <c r="Q34" i="3"/>
  <c r="P35" i="3"/>
  <c r="Q35" i="3"/>
  <c r="P36" i="3"/>
  <c r="Q36" i="3"/>
  <c r="P37" i="3"/>
  <c r="Q37" i="3"/>
  <c r="P38" i="3"/>
  <c r="Q38" i="3"/>
  <c r="P39" i="3"/>
  <c r="Q39" i="3"/>
  <c r="P40" i="3"/>
  <c r="Q40" i="3"/>
  <c r="P41" i="3"/>
  <c r="Q41" i="3"/>
  <c r="P42" i="3"/>
  <c r="Q42" i="3"/>
  <c r="P43" i="3"/>
  <c r="Q43" i="3"/>
  <c r="P47" i="3"/>
  <c r="Q47" i="3"/>
  <c r="P48" i="3"/>
  <c r="Q48" i="3"/>
  <c r="P49" i="3"/>
  <c r="Q49" i="3"/>
  <c r="P50" i="3"/>
  <c r="Q50" i="3"/>
  <c r="P51" i="3"/>
  <c r="Q51" i="3"/>
  <c r="P52" i="3"/>
  <c r="Q52" i="3"/>
  <c r="P53" i="3"/>
  <c r="Q53" i="3"/>
  <c r="P54" i="3"/>
  <c r="Q54" i="3"/>
  <c r="P55" i="3"/>
  <c r="Q55" i="3"/>
  <c r="P56" i="3"/>
  <c r="Q56" i="3"/>
  <c r="P57" i="3"/>
  <c r="Q57" i="3"/>
  <c r="P58" i="3"/>
  <c r="Q58" i="3"/>
  <c r="P59" i="3"/>
  <c r="Q59" i="3"/>
  <c r="P60" i="3"/>
  <c r="Q60" i="3"/>
  <c r="P61" i="3"/>
  <c r="Q61" i="3"/>
  <c r="P62" i="3"/>
  <c r="Q62" i="3"/>
  <c r="P63" i="3"/>
  <c r="Q63" i="3"/>
  <c r="P64" i="3"/>
  <c r="Q64" i="3"/>
  <c r="P65" i="3"/>
  <c r="Q65" i="3"/>
  <c r="P66" i="3"/>
  <c r="Q66" i="3"/>
  <c r="P67" i="3"/>
  <c r="Q67" i="3"/>
  <c r="P68" i="3"/>
  <c r="Q68" i="3"/>
  <c r="P69" i="3"/>
  <c r="Q69" i="3"/>
  <c r="P70" i="3"/>
  <c r="Q70" i="3"/>
  <c r="P71" i="3"/>
  <c r="Q71" i="3"/>
  <c r="P72" i="3"/>
  <c r="Q72" i="3"/>
  <c r="P73" i="3"/>
  <c r="Q73" i="3"/>
  <c r="P74" i="3"/>
  <c r="Q74" i="3"/>
  <c r="P75" i="3"/>
  <c r="Q75" i="3"/>
  <c r="P76" i="3"/>
  <c r="Q76" i="3"/>
  <c r="P77" i="3"/>
  <c r="Q77" i="3"/>
  <c r="P78" i="3"/>
  <c r="Q78" i="3"/>
  <c r="P79" i="3"/>
  <c r="Q79" i="3"/>
  <c r="P80" i="3"/>
  <c r="Q80" i="3"/>
  <c r="P81" i="3"/>
  <c r="Q81" i="3"/>
  <c r="P82" i="3"/>
  <c r="Q82" i="3"/>
  <c r="P83" i="3"/>
  <c r="Q83" i="3"/>
  <c r="P84" i="3"/>
  <c r="Q84" i="3"/>
  <c r="P85" i="3"/>
  <c r="Q85" i="3"/>
  <c r="P86" i="3"/>
  <c r="Q86" i="3"/>
  <c r="P87" i="3"/>
  <c r="Q87" i="3"/>
  <c r="P88" i="3"/>
  <c r="Q88" i="3"/>
  <c r="P89" i="3"/>
  <c r="Q89" i="3"/>
  <c r="P90" i="3"/>
  <c r="Q90" i="3"/>
  <c r="P91" i="3"/>
  <c r="Q91" i="3"/>
  <c r="P92" i="3"/>
  <c r="Q92" i="3"/>
  <c r="P93" i="3"/>
  <c r="Q93" i="3"/>
  <c r="P94" i="3"/>
  <c r="Q94" i="3"/>
  <c r="P95" i="3"/>
  <c r="Q95" i="3"/>
  <c r="P96" i="3"/>
  <c r="Q96" i="3"/>
  <c r="P97" i="3"/>
  <c r="Q97" i="3"/>
  <c r="P98" i="3"/>
  <c r="Q98" i="3"/>
  <c r="P99" i="3"/>
  <c r="Q99" i="3"/>
  <c r="P100" i="3"/>
  <c r="Q100" i="3"/>
  <c r="P101" i="3"/>
  <c r="Q101" i="3"/>
  <c r="P102" i="3"/>
  <c r="Q102" i="3"/>
  <c r="P103" i="3"/>
  <c r="Q103" i="3"/>
  <c r="P104" i="3"/>
  <c r="Q104" i="3"/>
  <c r="P105" i="3"/>
  <c r="Q105" i="3"/>
  <c r="P106" i="3"/>
  <c r="Q106" i="3"/>
  <c r="P107" i="3"/>
  <c r="Q107" i="3"/>
  <c r="P108" i="3"/>
  <c r="Q108" i="3"/>
  <c r="P109" i="3"/>
  <c r="Q109" i="3"/>
  <c r="P110" i="3"/>
  <c r="Q110" i="3"/>
  <c r="P111" i="3"/>
  <c r="Q111" i="3"/>
  <c r="P112" i="3"/>
  <c r="Q112" i="3"/>
  <c r="P113" i="3"/>
  <c r="Q113" i="3"/>
  <c r="P114" i="3"/>
  <c r="Q114" i="3"/>
  <c r="P115" i="3"/>
  <c r="Q115" i="3"/>
  <c r="P116" i="3"/>
  <c r="Q116" i="3"/>
  <c r="P117" i="3"/>
  <c r="Q117" i="3"/>
  <c r="P118" i="3"/>
  <c r="Q118" i="3"/>
  <c r="P119" i="3"/>
  <c r="Q119" i="3"/>
  <c r="P120" i="3"/>
  <c r="Q120" i="3"/>
  <c r="P121" i="3"/>
  <c r="Q121" i="3"/>
  <c r="P122" i="3"/>
  <c r="Q122" i="3"/>
  <c r="P123" i="3"/>
  <c r="Q123" i="3"/>
  <c r="P124" i="3"/>
  <c r="Q124" i="3"/>
  <c r="P125" i="3"/>
  <c r="Q125" i="3"/>
  <c r="P126" i="3"/>
  <c r="Q126" i="3"/>
  <c r="P127" i="3"/>
  <c r="Q127" i="3"/>
  <c r="P128" i="3"/>
  <c r="Q128" i="3"/>
  <c r="P129" i="3"/>
  <c r="Q129" i="3"/>
  <c r="P130" i="3"/>
  <c r="Q130" i="3"/>
  <c r="P131" i="3"/>
  <c r="Q131" i="3"/>
  <c r="P132" i="3"/>
  <c r="Q132" i="3"/>
  <c r="P133" i="3"/>
  <c r="Q133" i="3"/>
  <c r="P134" i="3"/>
  <c r="Q134" i="3"/>
  <c r="P135" i="3"/>
  <c r="Q135" i="3"/>
  <c r="P136" i="3"/>
  <c r="Q136" i="3"/>
  <c r="P137" i="3"/>
  <c r="Q137" i="3"/>
  <c r="P138" i="3"/>
  <c r="Q138" i="3"/>
  <c r="P139" i="3"/>
  <c r="Q139" i="3"/>
  <c r="P140" i="3"/>
  <c r="Q140" i="3"/>
  <c r="P141" i="3"/>
  <c r="Q141" i="3"/>
  <c r="P142" i="3"/>
  <c r="Q142" i="3"/>
  <c r="P143" i="3"/>
  <c r="Q143" i="3"/>
  <c r="P144" i="3"/>
  <c r="Q144" i="3"/>
  <c r="P145" i="3"/>
  <c r="Q145" i="3"/>
  <c r="P146" i="3"/>
  <c r="Q146" i="3"/>
  <c r="P147" i="3"/>
  <c r="Q147" i="3"/>
  <c r="P148" i="3"/>
  <c r="Q148" i="3"/>
  <c r="P149" i="3"/>
  <c r="Q149" i="3"/>
  <c r="P150" i="3"/>
  <c r="Q150" i="3"/>
  <c r="P151" i="3"/>
  <c r="Q151" i="3"/>
  <c r="P152" i="3"/>
  <c r="Q152" i="3"/>
  <c r="P153" i="3"/>
  <c r="Q153" i="3"/>
  <c r="P154" i="3"/>
  <c r="Q154" i="3"/>
  <c r="P155" i="3"/>
  <c r="Q155" i="3"/>
  <c r="P156" i="3"/>
  <c r="Q156" i="3"/>
  <c r="P157" i="3"/>
  <c r="Q157" i="3"/>
  <c r="P158" i="3"/>
  <c r="Q158" i="3"/>
  <c r="P159" i="3"/>
  <c r="Q159" i="3"/>
  <c r="P160" i="3"/>
  <c r="Q160" i="3"/>
  <c r="P161" i="3"/>
  <c r="Q161" i="3"/>
  <c r="P162" i="3"/>
  <c r="Q162" i="3"/>
  <c r="P163" i="3"/>
  <c r="Q163" i="3"/>
  <c r="P164" i="3"/>
  <c r="Q164" i="3"/>
  <c r="P165" i="3"/>
  <c r="Q165" i="3"/>
  <c r="P166" i="3"/>
  <c r="Q166" i="3"/>
  <c r="P167" i="3"/>
  <c r="Q167" i="3"/>
  <c r="P168" i="3"/>
  <c r="Q168" i="3"/>
  <c r="P169" i="3"/>
  <c r="Q169" i="3"/>
  <c r="P170" i="3"/>
  <c r="Q170" i="3"/>
  <c r="P171" i="3"/>
  <c r="Q171" i="3"/>
  <c r="P172" i="3"/>
  <c r="Q172" i="3"/>
  <c r="P173" i="3"/>
  <c r="Q173" i="3"/>
  <c r="P174" i="3"/>
  <c r="Q174" i="3"/>
  <c r="P175" i="3"/>
  <c r="Q175" i="3"/>
  <c r="P176" i="3"/>
  <c r="Q176" i="3"/>
  <c r="P177" i="3"/>
  <c r="Q177" i="3"/>
  <c r="P178" i="3"/>
  <c r="Q178" i="3"/>
  <c r="P179" i="3"/>
  <c r="Q179" i="3"/>
  <c r="P180" i="3"/>
  <c r="Q180" i="3"/>
  <c r="P181" i="3"/>
  <c r="Q181" i="3"/>
  <c r="P182" i="3"/>
  <c r="Q182" i="3"/>
  <c r="P183" i="3"/>
  <c r="Q183" i="3"/>
  <c r="P184" i="3"/>
  <c r="Q184" i="3"/>
  <c r="P185" i="3"/>
  <c r="Q185" i="3"/>
  <c r="P186" i="3"/>
  <c r="Q186" i="3"/>
  <c r="P187" i="3"/>
  <c r="Q187" i="3"/>
  <c r="P188" i="3"/>
  <c r="Q188" i="3"/>
  <c r="P189" i="3"/>
  <c r="Q189" i="3"/>
  <c r="P190" i="3"/>
  <c r="Q190" i="3"/>
  <c r="P191" i="3"/>
  <c r="Q191" i="3"/>
  <c r="P192" i="3"/>
  <c r="Q192" i="3"/>
  <c r="P193" i="3"/>
  <c r="Q193" i="3"/>
  <c r="P194" i="3"/>
  <c r="Q194" i="3"/>
  <c r="P195" i="3"/>
  <c r="Q195" i="3"/>
  <c r="P196" i="3"/>
  <c r="Q196" i="3"/>
  <c r="P197" i="3"/>
  <c r="Q197" i="3"/>
  <c r="P198" i="3"/>
  <c r="Q198" i="3"/>
  <c r="P199" i="3"/>
  <c r="Q199" i="3"/>
  <c r="P200" i="3"/>
  <c r="Q200" i="3"/>
  <c r="P201" i="3"/>
  <c r="Q201" i="3"/>
  <c r="P202" i="3"/>
  <c r="Q202" i="3"/>
  <c r="P203" i="3"/>
  <c r="Q203" i="3"/>
  <c r="P204" i="3"/>
  <c r="Q204" i="3"/>
  <c r="P205" i="3"/>
  <c r="Q205" i="3"/>
  <c r="P206" i="3"/>
  <c r="Q206" i="3"/>
  <c r="P207" i="3"/>
  <c r="Q207" i="3"/>
  <c r="P208" i="3"/>
  <c r="Q208" i="3"/>
  <c r="P209" i="3"/>
  <c r="Q209" i="3"/>
  <c r="P210" i="3"/>
  <c r="Q210" i="3"/>
  <c r="P211" i="3"/>
  <c r="Q211" i="3"/>
  <c r="P212" i="3"/>
  <c r="Q212" i="3"/>
  <c r="P213" i="3"/>
  <c r="Q213" i="3"/>
  <c r="P214" i="3"/>
  <c r="Q214" i="3"/>
  <c r="P215" i="3"/>
  <c r="Q215" i="3"/>
  <c r="P216" i="3"/>
  <c r="Q216" i="3"/>
  <c r="P217" i="3"/>
  <c r="Q217" i="3"/>
  <c r="P218" i="3"/>
  <c r="Q218" i="3"/>
  <c r="P219" i="3"/>
  <c r="Q219" i="3"/>
  <c r="P220" i="3"/>
  <c r="Q220" i="3"/>
  <c r="P221" i="3"/>
  <c r="Q221" i="3"/>
  <c r="P222" i="3"/>
  <c r="Q222" i="3"/>
  <c r="P223" i="3"/>
  <c r="Q223" i="3"/>
  <c r="P224" i="3"/>
  <c r="Q224" i="3"/>
  <c r="P225" i="3"/>
  <c r="Q225" i="3"/>
  <c r="P226" i="3"/>
  <c r="Q226" i="3"/>
  <c r="P227" i="3"/>
  <c r="Q227" i="3"/>
  <c r="P228" i="3"/>
  <c r="Q228" i="3"/>
  <c r="P229" i="3"/>
  <c r="Q229" i="3"/>
  <c r="P230" i="3"/>
  <c r="Q230" i="3"/>
  <c r="P231" i="3"/>
  <c r="Q231" i="3"/>
  <c r="P232" i="3"/>
  <c r="Q232" i="3"/>
  <c r="P233" i="3"/>
  <c r="Q233" i="3"/>
  <c r="P234" i="3"/>
  <c r="Q234" i="3"/>
  <c r="P235" i="3"/>
  <c r="Q235" i="3"/>
  <c r="P236" i="3"/>
  <c r="Q236" i="3"/>
  <c r="P237" i="3"/>
  <c r="Q237" i="3"/>
  <c r="P238" i="3"/>
  <c r="Q238" i="3"/>
  <c r="P239" i="3"/>
  <c r="Q239" i="3"/>
  <c r="P240" i="3"/>
  <c r="Q240" i="3"/>
  <c r="P241" i="3"/>
  <c r="Q241" i="3"/>
  <c r="P242" i="3"/>
  <c r="Q242" i="3"/>
  <c r="P243" i="3"/>
  <c r="Q243" i="3"/>
  <c r="P244" i="3"/>
  <c r="Q244" i="3"/>
  <c r="P245" i="3"/>
  <c r="Q245" i="3"/>
  <c r="P246" i="3"/>
  <c r="Q246" i="3"/>
  <c r="P247" i="3"/>
  <c r="Q247" i="3"/>
  <c r="P248" i="3"/>
  <c r="Q248" i="3"/>
  <c r="P249" i="3"/>
  <c r="Q249" i="3"/>
  <c r="P250" i="3"/>
  <c r="Q250" i="3"/>
  <c r="P251" i="3"/>
  <c r="Q251" i="3"/>
  <c r="P252" i="3"/>
  <c r="Q252" i="3"/>
  <c r="P253" i="3"/>
  <c r="Q253" i="3"/>
  <c r="P254" i="3"/>
  <c r="Q254" i="3"/>
  <c r="P255" i="3"/>
  <c r="Q255" i="3"/>
  <c r="P256" i="3"/>
  <c r="Q256" i="3"/>
  <c r="P257" i="3"/>
  <c r="Q257" i="3"/>
  <c r="P258" i="3"/>
  <c r="Q258" i="3"/>
  <c r="P259" i="3"/>
  <c r="Q259" i="3"/>
  <c r="P260" i="3"/>
  <c r="Q260" i="3"/>
  <c r="P261" i="3"/>
  <c r="Q261" i="3"/>
  <c r="P262" i="3"/>
  <c r="Q262" i="3"/>
  <c r="P263" i="3"/>
  <c r="Q263" i="3"/>
  <c r="P264" i="3"/>
  <c r="Q264" i="3"/>
  <c r="P265" i="3"/>
  <c r="Q265" i="3"/>
  <c r="P266" i="3"/>
  <c r="Q266" i="3"/>
  <c r="P267" i="3"/>
  <c r="Q267" i="3"/>
  <c r="P268" i="3"/>
  <c r="Q268" i="3"/>
  <c r="P269" i="3"/>
  <c r="Q269" i="3"/>
  <c r="P270" i="3"/>
  <c r="Q270" i="3"/>
  <c r="P271" i="3"/>
  <c r="Q271" i="3"/>
  <c r="P272" i="3"/>
  <c r="Q272" i="3"/>
  <c r="P273" i="3"/>
  <c r="Q273" i="3"/>
  <c r="P274" i="3"/>
  <c r="Q274" i="3"/>
  <c r="P275" i="3"/>
  <c r="Q275" i="3"/>
  <c r="P276" i="3"/>
  <c r="Q276" i="3"/>
  <c r="P277" i="3"/>
  <c r="Q277" i="3"/>
  <c r="P278" i="3"/>
  <c r="Q278" i="3"/>
  <c r="P279" i="3"/>
  <c r="Q279" i="3"/>
  <c r="P280" i="3"/>
  <c r="Q280" i="3"/>
  <c r="P281" i="3"/>
  <c r="Q281" i="3"/>
  <c r="P282" i="3"/>
  <c r="Q282" i="3"/>
  <c r="P283" i="3"/>
  <c r="Q283" i="3"/>
  <c r="P284" i="3"/>
  <c r="Q284" i="3"/>
  <c r="P285" i="3"/>
  <c r="Q285" i="3"/>
  <c r="P286" i="3"/>
  <c r="Q286" i="3"/>
  <c r="P287" i="3"/>
  <c r="Q287" i="3"/>
  <c r="P288" i="3"/>
  <c r="Q288" i="3"/>
  <c r="P289" i="3"/>
  <c r="Q289" i="3"/>
  <c r="P290" i="3"/>
  <c r="Q290" i="3"/>
  <c r="P291" i="3"/>
  <c r="Q291" i="3"/>
  <c r="P292" i="3"/>
  <c r="Q292" i="3"/>
  <c r="P293" i="3"/>
  <c r="Q293" i="3"/>
  <c r="P294" i="3"/>
  <c r="Q294" i="3"/>
  <c r="P295" i="3"/>
  <c r="Q295" i="3"/>
  <c r="P296" i="3"/>
  <c r="Q296" i="3"/>
  <c r="P297" i="3"/>
  <c r="Q297" i="3"/>
  <c r="P298" i="3"/>
  <c r="Q298" i="3"/>
  <c r="P299" i="3"/>
  <c r="Q299" i="3"/>
  <c r="P300" i="3"/>
  <c r="Q300" i="3"/>
  <c r="P301" i="3"/>
  <c r="Q301" i="3"/>
  <c r="P302" i="3"/>
  <c r="Q302" i="3"/>
  <c r="P303" i="3"/>
  <c r="Q303" i="3"/>
  <c r="P304" i="3"/>
  <c r="Q304" i="3"/>
  <c r="P305" i="3"/>
  <c r="Q305" i="3"/>
  <c r="P306" i="3"/>
  <c r="Q306" i="3"/>
  <c r="P307" i="3"/>
  <c r="Q307" i="3"/>
  <c r="P308" i="3"/>
  <c r="Q308" i="3"/>
  <c r="P309" i="3"/>
  <c r="Q309" i="3"/>
  <c r="P310" i="3"/>
  <c r="Q310" i="3"/>
  <c r="P311" i="3"/>
  <c r="Q311" i="3"/>
  <c r="P312" i="3"/>
  <c r="Q312" i="3"/>
  <c r="P313" i="3"/>
  <c r="Q313" i="3"/>
  <c r="P314" i="3"/>
  <c r="Q314" i="3"/>
  <c r="P315" i="3"/>
  <c r="Q315" i="3"/>
  <c r="P316" i="3"/>
  <c r="Q316" i="3"/>
  <c r="P317" i="3"/>
  <c r="Q317" i="3"/>
  <c r="P318" i="3"/>
  <c r="Q318" i="3"/>
  <c r="P319" i="3"/>
  <c r="Q319" i="3"/>
  <c r="P320" i="3"/>
  <c r="Q320" i="3"/>
  <c r="P321" i="3"/>
  <c r="Q321" i="3"/>
  <c r="P322" i="3"/>
  <c r="Q322" i="3"/>
  <c r="P323" i="3"/>
  <c r="Q323" i="3"/>
  <c r="P324" i="3"/>
  <c r="Q324" i="3"/>
  <c r="P325" i="3"/>
  <c r="Q325" i="3"/>
  <c r="P326" i="3"/>
  <c r="Q326" i="3"/>
  <c r="P327" i="3"/>
  <c r="Q327" i="3"/>
  <c r="P328" i="3"/>
  <c r="Q328" i="3"/>
  <c r="P329" i="3"/>
  <c r="Q329" i="3"/>
  <c r="P330" i="3"/>
  <c r="Q330" i="3"/>
  <c r="P331" i="3"/>
  <c r="Q331" i="3"/>
  <c r="P332" i="3"/>
  <c r="Q332" i="3"/>
  <c r="P333" i="3"/>
  <c r="Q333" i="3"/>
  <c r="P334" i="3"/>
  <c r="Q334" i="3"/>
  <c r="P335" i="3"/>
  <c r="Q335" i="3"/>
  <c r="P336" i="3"/>
  <c r="Q336" i="3"/>
  <c r="P337" i="3"/>
  <c r="Q337" i="3"/>
  <c r="P338" i="3"/>
  <c r="Q338" i="3"/>
  <c r="P339" i="3"/>
  <c r="Q339" i="3"/>
  <c r="P340" i="3"/>
  <c r="Q340" i="3"/>
  <c r="P341" i="3"/>
  <c r="Q341" i="3"/>
  <c r="P342" i="3"/>
  <c r="Q342" i="3"/>
  <c r="P343" i="3"/>
  <c r="Q343" i="3"/>
  <c r="P344" i="3"/>
  <c r="Q344" i="3"/>
  <c r="P345" i="3"/>
  <c r="Q345" i="3"/>
  <c r="P346" i="3"/>
  <c r="Q346" i="3"/>
  <c r="P347" i="3"/>
  <c r="Q347" i="3"/>
  <c r="P348" i="3"/>
  <c r="Q348" i="3"/>
  <c r="P349" i="3"/>
  <c r="Q349" i="3"/>
  <c r="P350" i="3"/>
  <c r="Q350" i="3"/>
  <c r="P351" i="3"/>
  <c r="Q351" i="3"/>
  <c r="P352" i="3"/>
  <c r="Q352" i="3"/>
  <c r="P353" i="3"/>
  <c r="Q353" i="3"/>
  <c r="P354" i="3"/>
  <c r="Q354" i="3"/>
  <c r="P355" i="3"/>
  <c r="Q355" i="3"/>
  <c r="P356" i="3"/>
  <c r="Q356" i="3"/>
  <c r="P357" i="3"/>
  <c r="Q357" i="3"/>
  <c r="P358" i="3"/>
  <c r="Q358" i="3"/>
  <c r="P359" i="3"/>
  <c r="Q359" i="3"/>
  <c r="P360" i="3"/>
  <c r="Q360" i="3"/>
  <c r="P361" i="3"/>
  <c r="Q361" i="3"/>
  <c r="P362" i="3"/>
  <c r="Q362" i="3"/>
  <c r="P363" i="3"/>
  <c r="Q363" i="3"/>
  <c r="P364" i="3"/>
  <c r="Q364" i="3"/>
  <c r="P365" i="3"/>
  <c r="Q365" i="3"/>
  <c r="P366" i="3"/>
  <c r="Q366" i="3"/>
  <c r="P367" i="3"/>
  <c r="Q367" i="3"/>
  <c r="P368" i="3"/>
  <c r="Q368" i="3"/>
  <c r="P369" i="3"/>
  <c r="Q369" i="3"/>
  <c r="P370" i="3"/>
  <c r="Q370" i="3"/>
  <c r="P371" i="3"/>
  <c r="Q371" i="3"/>
  <c r="P372" i="3"/>
  <c r="Q372" i="3"/>
  <c r="P373" i="3"/>
  <c r="Q373" i="3"/>
  <c r="P374" i="3"/>
  <c r="Q374" i="3"/>
  <c r="P375" i="3"/>
  <c r="Q375" i="3"/>
  <c r="P376" i="3"/>
  <c r="Q376" i="3"/>
  <c r="P377" i="3"/>
  <c r="Q377" i="3"/>
  <c r="P378" i="3"/>
  <c r="Q378" i="3"/>
  <c r="P379" i="3"/>
  <c r="Q379" i="3"/>
  <c r="P380" i="3"/>
  <c r="Q380" i="3"/>
  <c r="P381" i="3"/>
  <c r="Q381" i="3"/>
  <c r="P382" i="3"/>
  <c r="Q382" i="3"/>
  <c r="P383" i="3"/>
  <c r="Q383" i="3"/>
  <c r="P384" i="3"/>
  <c r="Q384" i="3"/>
  <c r="P385" i="3"/>
  <c r="Q385" i="3"/>
  <c r="P386" i="3"/>
  <c r="Q386" i="3"/>
  <c r="P387" i="3"/>
  <c r="Q387" i="3"/>
  <c r="P388" i="3"/>
  <c r="Q388" i="3"/>
  <c r="P389" i="3"/>
  <c r="Q389" i="3"/>
  <c r="P390" i="3"/>
  <c r="Q390" i="3"/>
  <c r="P391" i="3"/>
  <c r="Q391" i="3"/>
  <c r="P392" i="3"/>
  <c r="Q392" i="3"/>
  <c r="P393" i="3"/>
  <c r="Q393" i="3"/>
  <c r="P394" i="3"/>
  <c r="Q394" i="3"/>
  <c r="P395" i="3"/>
  <c r="Q395" i="3"/>
  <c r="P396" i="3"/>
  <c r="Q396" i="3"/>
  <c r="P397" i="3"/>
  <c r="Q397" i="3"/>
  <c r="P398" i="3"/>
  <c r="Q398" i="3"/>
  <c r="P399" i="3"/>
  <c r="Q399" i="3"/>
  <c r="P400" i="3"/>
  <c r="Q400" i="3"/>
  <c r="P401" i="3"/>
  <c r="Q401" i="3"/>
  <c r="P402" i="3"/>
  <c r="Q402" i="3"/>
  <c r="P403" i="3"/>
  <c r="Q403" i="3"/>
  <c r="P404" i="3"/>
  <c r="Q404" i="3"/>
  <c r="P405" i="3"/>
  <c r="Q405" i="3"/>
  <c r="P406" i="3"/>
  <c r="Q406" i="3"/>
  <c r="P407" i="3"/>
  <c r="Q407" i="3"/>
  <c r="P408" i="3"/>
  <c r="Q408" i="3"/>
  <c r="P409" i="3"/>
  <c r="Q409" i="3"/>
  <c r="P410" i="3"/>
  <c r="Q410" i="3"/>
  <c r="P411" i="3"/>
  <c r="Q411" i="3"/>
  <c r="P412" i="3"/>
  <c r="Q412" i="3"/>
  <c r="P413" i="3"/>
  <c r="Q413" i="3"/>
  <c r="P414" i="3"/>
  <c r="Q414" i="3"/>
  <c r="P415" i="3"/>
  <c r="Q415" i="3"/>
  <c r="P416" i="3"/>
  <c r="Q416" i="3"/>
  <c r="P417" i="3"/>
  <c r="Q417" i="3"/>
  <c r="P418" i="3"/>
  <c r="Q418" i="3"/>
  <c r="P419" i="3"/>
  <c r="Q419" i="3"/>
  <c r="P420" i="3"/>
  <c r="Q420" i="3"/>
  <c r="P421" i="3"/>
  <c r="Q421" i="3"/>
  <c r="P422" i="3"/>
  <c r="Q422" i="3"/>
  <c r="P423" i="3"/>
  <c r="Q423" i="3"/>
  <c r="P424" i="3"/>
  <c r="Q424" i="3"/>
  <c r="P425" i="3"/>
  <c r="Q425" i="3"/>
  <c r="P426" i="3"/>
  <c r="Q426" i="3"/>
  <c r="P427" i="3"/>
  <c r="Q427" i="3"/>
  <c r="P428" i="3"/>
  <c r="Q428" i="3"/>
  <c r="P429" i="3"/>
  <c r="Q429" i="3"/>
  <c r="P430" i="3"/>
  <c r="Q430" i="3"/>
  <c r="P431" i="3"/>
  <c r="Q431" i="3"/>
  <c r="P432" i="3"/>
  <c r="Q432" i="3"/>
  <c r="P433" i="3"/>
  <c r="Q433" i="3"/>
  <c r="P434" i="3"/>
  <c r="Q434" i="3"/>
  <c r="P435" i="3"/>
  <c r="Q435" i="3"/>
  <c r="P436" i="3"/>
  <c r="Q436" i="3"/>
  <c r="P437" i="3"/>
  <c r="Q437" i="3"/>
  <c r="P438" i="3"/>
  <c r="Q438" i="3"/>
  <c r="P439" i="3"/>
  <c r="Q439" i="3"/>
  <c r="P440" i="3"/>
  <c r="Q440" i="3"/>
  <c r="P441" i="3"/>
  <c r="Q441" i="3"/>
  <c r="P442" i="3"/>
  <c r="Q442" i="3"/>
  <c r="P443" i="3"/>
  <c r="Q443" i="3"/>
  <c r="P444" i="3"/>
  <c r="Q444" i="3"/>
  <c r="P445" i="3"/>
  <c r="Q445" i="3"/>
  <c r="P446" i="3"/>
  <c r="Q446" i="3"/>
  <c r="P447" i="3"/>
  <c r="Q447" i="3"/>
  <c r="P448" i="3"/>
  <c r="Q448" i="3"/>
  <c r="P449" i="3"/>
  <c r="Q449" i="3"/>
  <c r="P450" i="3"/>
  <c r="Q450" i="3"/>
  <c r="P451" i="3"/>
  <c r="Q451" i="3"/>
  <c r="P452" i="3"/>
  <c r="Q452" i="3"/>
  <c r="P453" i="3"/>
  <c r="Q453" i="3"/>
  <c r="P454" i="3"/>
  <c r="Q454" i="3"/>
  <c r="P455" i="3"/>
  <c r="Q455" i="3"/>
  <c r="P456" i="3"/>
  <c r="Q456" i="3"/>
  <c r="P457" i="3"/>
  <c r="Q457" i="3"/>
  <c r="P458" i="3"/>
  <c r="Q458" i="3"/>
  <c r="P459" i="3"/>
  <c r="Q459" i="3"/>
  <c r="P460" i="3"/>
  <c r="Q460" i="3"/>
  <c r="P461" i="3"/>
  <c r="Q461" i="3"/>
  <c r="P462" i="3"/>
  <c r="Q462" i="3"/>
  <c r="P463" i="3"/>
  <c r="Q463" i="3"/>
  <c r="P464" i="3"/>
  <c r="Q464" i="3"/>
  <c r="P465" i="3"/>
  <c r="Q465" i="3"/>
  <c r="P466" i="3"/>
  <c r="Q466" i="3"/>
  <c r="P467" i="3"/>
  <c r="Q467" i="3"/>
  <c r="P468" i="3"/>
  <c r="Q468" i="3"/>
  <c r="P469" i="3"/>
  <c r="Q469" i="3"/>
  <c r="P470" i="3"/>
  <c r="Q470" i="3"/>
  <c r="P471" i="3"/>
  <c r="Q471" i="3"/>
  <c r="P472" i="3"/>
  <c r="Q472" i="3"/>
  <c r="P473" i="3"/>
  <c r="Q473" i="3"/>
  <c r="P474" i="3"/>
  <c r="Q474" i="3"/>
  <c r="P475" i="3"/>
  <c r="Q475" i="3"/>
  <c r="P476" i="3"/>
  <c r="Q476" i="3"/>
  <c r="P477" i="3"/>
  <c r="Q477" i="3"/>
  <c r="P478" i="3"/>
  <c r="Q478" i="3"/>
  <c r="P479" i="3"/>
  <c r="Q479" i="3"/>
  <c r="P480" i="3"/>
  <c r="Q480" i="3"/>
  <c r="P481" i="3"/>
  <c r="Q481" i="3"/>
  <c r="P482" i="3"/>
  <c r="Q482" i="3"/>
  <c r="P483" i="3"/>
  <c r="Q483" i="3"/>
  <c r="P484" i="3"/>
  <c r="Q484" i="3"/>
  <c r="P485" i="3"/>
  <c r="Q485" i="3"/>
  <c r="P486" i="3"/>
  <c r="Q486" i="3"/>
  <c r="P487" i="3"/>
  <c r="Q487" i="3"/>
  <c r="P488" i="3"/>
  <c r="Q488" i="3"/>
  <c r="P489" i="3"/>
  <c r="Q489" i="3"/>
  <c r="P490" i="3"/>
  <c r="Q490" i="3"/>
  <c r="P491" i="3"/>
  <c r="Q491" i="3"/>
  <c r="P492" i="3"/>
  <c r="Q492" i="3"/>
  <c r="P493" i="3"/>
  <c r="Q493" i="3"/>
  <c r="P494" i="3"/>
  <c r="Q494" i="3"/>
  <c r="P495" i="3"/>
  <c r="Q495" i="3"/>
  <c r="P496" i="3"/>
  <c r="Q496" i="3"/>
  <c r="P497" i="3"/>
  <c r="Q497" i="3"/>
  <c r="P498" i="3"/>
  <c r="Q498" i="3"/>
  <c r="P499" i="3"/>
  <c r="Q499" i="3"/>
  <c r="P500" i="3"/>
  <c r="Q500" i="3"/>
  <c r="P501" i="3"/>
  <c r="Q501" i="3"/>
  <c r="P502" i="3"/>
  <c r="Q502" i="3"/>
  <c r="P503" i="3"/>
  <c r="Q503" i="3"/>
  <c r="P504" i="3"/>
  <c r="Q504" i="3"/>
  <c r="P505" i="3"/>
  <c r="Q505" i="3"/>
  <c r="P506" i="3"/>
  <c r="Q506" i="3"/>
  <c r="P507" i="3"/>
  <c r="Q507" i="3"/>
  <c r="P508" i="3"/>
  <c r="Q508" i="3"/>
  <c r="P509" i="3"/>
  <c r="Q509" i="3"/>
  <c r="P510" i="3"/>
  <c r="Q510" i="3"/>
  <c r="P511" i="3"/>
  <c r="Q511" i="3"/>
  <c r="P512" i="3"/>
  <c r="Q512" i="3"/>
  <c r="P513" i="3"/>
  <c r="Q513" i="3"/>
  <c r="P514" i="3"/>
  <c r="Q514" i="3"/>
  <c r="P515" i="3"/>
  <c r="Q515" i="3"/>
  <c r="P516" i="3"/>
  <c r="Q516" i="3"/>
  <c r="P517" i="3"/>
  <c r="Q517" i="3"/>
  <c r="P518" i="3"/>
  <c r="Q518" i="3"/>
  <c r="P519" i="3"/>
  <c r="Q519" i="3"/>
  <c r="P520" i="3"/>
  <c r="Q520" i="3"/>
  <c r="P521" i="3"/>
  <c r="Q521" i="3"/>
  <c r="P522" i="3"/>
  <c r="Q522" i="3"/>
  <c r="P523" i="3"/>
  <c r="Q523" i="3"/>
  <c r="P524" i="3"/>
  <c r="Q524" i="3"/>
  <c r="P525" i="3"/>
  <c r="Q525" i="3"/>
  <c r="P526" i="3"/>
  <c r="Q526" i="3"/>
  <c r="P527" i="3"/>
  <c r="Q527" i="3"/>
  <c r="P528" i="3"/>
  <c r="Q528" i="3"/>
  <c r="P529" i="3"/>
  <c r="Q529" i="3"/>
  <c r="P530" i="3"/>
  <c r="Q530" i="3"/>
  <c r="P531" i="3"/>
  <c r="Q531" i="3"/>
  <c r="P532" i="3"/>
  <c r="Q532" i="3"/>
  <c r="P533" i="3"/>
  <c r="Q533" i="3"/>
  <c r="P534" i="3"/>
  <c r="Q534" i="3"/>
  <c r="P535" i="3"/>
  <c r="Q535" i="3"/>
  <c r="P536" i="3"/>
  <c r="Q536" i="3"/>
  <c r="P537" i="3"/>
  <c r="Q537" i="3"/>
  <c r="P538" i="3"/>
  <c r="Q538" i="3"/>
  <c r="P539" i="3"/>
  <c r="Q539" i="3"/>
  <c r="P540" i="3"/>
  <c r="Q540" i="3"/>
  <c r="P541" i="3"/>
  <c r="Q541" i="3"/>
  <c r="P542" i="3"/>
  <c r="Q542" i="3"/>
  <c r="P543" i="3"/>
  <c r="Q543" i="3"/>
  <c r="P544" i="3"/>
  <c r="Q544" i="3"/>
  <c r="P545" i="3"/>
  <c r="Q545" i="3"/>
  <c r="P546" i="3"/>
  <c r="Q546" i="3"/>
  <c r="P547" i="3"/>
  <c r="Q547" i="3"/>
  <c r="P548" i="3"/>
  <c r="Q548" i="3"/>
  <c r="P549" i="3"/>
  <c r="Q549" i="3"/>
  <c r="P550" i="3"/>
  <c r="Q550" i="3"/>
  <c r="P551" i="3"/>
  <c r="Q551" i="3"/>
  <c r="P552" i="3"/>
  <c r="Q552" i="3"/>
  <c r="P553" i="3"/>
  <c r="Q553" i="3"/>
  <c r="P554" i="3"/>
  <c r="Q554" i="3"/>
  <c r="P555" i="3"/>
  <c r="Q555" i="3"/>
  <c r="P556" i="3"/>
  <c r="Q556" i="3"/>
  <c r="P557" i="3"/>
  <c r="Q557" i="3"/>
  <c r="P558" i="3"/>
  <c r="Q558" i="3"/>
  <c r="P559" i="3"/>
  <c r="Q559" i="3"/>
  <c r="P560" i="3"/>
  <c r="Q560" i="3"/>
  <c r="P561" i="3"/>
  <c r="Q561" i="3"/>
  <c r="P562" i="3"/>
  <c r="Q562" i="3"/>
  <c r="P563" i="3"/>
  <c r="Q563" i="3"/>
  <c r="P564" i="3"/>
  <c r="Q564" i="3"/>
  <c r="P565" i="3"/>
  <c r="Q565" i="3"/>
  <c r="P566" i="3"/>
  <c r="Q566" i="3"/>
  <c r="P567" i="3"/>
  <c r="Q567" i="3"/>
  <c r="P568" i="3"/>
  <c r="Q568" i="3"/>
  <c r="P569" i="3"/>
  <c r="Q569" i="3"/>
  <c r="P570" i="3"/>
  <c r="Q570" i="3"/>
  <c r="P571" i="3"/>
  <c r="Q571" i="3"/>
  <c r="P572" i="3"/>
  <c r="Q572" i="3"/>
  <c r="P573" i="3"/>
  <c r="Q573" i="3"/>
  <c r="P574" i="3"/>
  <c r="Q574" i="3"/>
  <c r="P575" i="3"/>
  <c r="Q575" i="3"/>
  <c r="P576" i="3"/>
  <c r="Q576" i="3"/>
  <c r="P577" i="3"/>
  <c r="Q577" i="3"/>
  <c r="P578" i="3"/>
  <c r="Q578" i="3"/>
  <c r="P579" i="3"/>
  <c r="Q579" i="3"/>
  <c r="P580" i="3"/>
  <c r="Q580" i="3"/>
  <c r="P581" i="3"/>
  <c r="Q581" i="3"/>
  <c r="P582" i="3"/>
  <c r="Q582" i="3"/>
  <c r="P583" i="3"/>
  <c r="Q583" i="3"/>
  <c r="P584" i="3"/>
  <c r="Q584" i="3"/>
  <c r="P585" i="3"/>
  <c r="Q585" i="3"/>
  <c r="P586" i="3"/>
  <c r="Q586" i="3"/>
  <c r="P587" i="3"/>
  <c r="Q587" i="3"/>
  <c r="P588" i="3"/>
  <c r="Q588" i="3"/>
  <c r="P589" i="3"/>
  <c r="Q589" i="3"/>
  <c r="P590" i="3"/>
  <c r="Q590" i="3"/>
  <c r="P591" i="3"/>
  <c r="Q591" i="3"/>
  <c r="P592" i="3"/>
  <c r="Q592" i="3"/>
  <c r="P593" i="3"/>
  <c r="Q593" i="3"/>
  <c r="P594" i="3"/>
  <c r="Q594" i="3"/>
  <c r="P595" i="3"/>
  <c r="Q595" i="3"/>
  <c r="P596" i="3"/>
  <c r="Q596" i="3"/>
  <c r="P597" i="3"/>
  <c r="Q597" i="3"/>
  <c r="P598" i="3"/>
  <c r="Q598" i="3"/>
  <c r="P599" i="3"/>
  <c r="Q599" i="3"/>
  <c r="P600" i="3"/>
  <c r="Q600" i="3"/>
  <c r="P601" i="3"/>
  <c r="Q601" i="3"/>
  <c r="P602" i="3"/>
  <c r="Q602" i="3"/>
  <c r="P603" i="3"/>
  <c r="Q603" i="3"/>
  <c r="P604" i="3"/>
  <c r="Q604" i="3"/>
  <c r="P605" i="3"/>
  <c r="Q605" i="3"/>
  <c r="P606" i="3"/>
  <c r="Q606" i="3"/>
  <c r="P607" i="3"/>
  <c r="Q607" i="3"/>
  <c r="P608" i="3"/>
  <c r="Q608" i="3"/>
  <c r="P609" i="3"/>
  <c r="Q609" i="3"/>
  <c r="P610" i="3"/>
  <c r="Q610" i="3"/>
  <c r="P611" i="3"/>
  <c r="Q611" i="3"/>
  <c r="P612" i="3"/>
  <c r="Q612" i="3"/>
  <c r="P613" i="3"/>
  <c r="Q613" i="3"/>
  <c r="P614" i="3"/>
  <c r="Q614" i="3"/>
  <c r="P615" i="3"/>
  <c r="Q615" i="3"/>
  <c r="P616" i="3"/>
  <c r="Q616" i="3"/>
  <c r="P617" i="3"/>
  <c r="Q617" i="3"/>
  <c r="P618" i="3"/>
  <c r="Q618" i="3"/>
  <c r="P619" i="3"/>
  <c r="Q619" i="3"/>
  <c r="P620" i="3"/>
  <c r="Q620" i="3"/>
  <c r="P621" i="3"/>
  <c r="Q621" i="3"/>
  <c r="P622" i="3"/>
  <c r="Q622" i="3"/>
  <c r="P623" i="3"/>
  <c r="Q623" i="3"/>
  <c r="P624" i="3"/>
  <c r="Q624" i="3"/>
  <c r="P625" i="3"/>
  <c r="Q625" i="3"/>
  <c r="P626" i="3"/>
  <c r="Q626" i="3"/>
  <c r="P627" i="3"/>
  <c r="Q627" i="3"/>
  <c r="P628" i="3"/>
  <c r="Q628" i="3"/>
  <c r="P629" i="3"/>
  <c r="Q629" i="3"/>
  <c r="P630" i="3"/>
  <c r="Q630" i="3"/>
  <c r="P631" i="3"/>
  <c r="Q631" i="3"/>
  <c r="P632" i="3"/>
  <c r="Q632" i="3"/>
  <c r="P633" i="3"/>
  <c r="Q633" i="3"/>
  <c r="P634" i="3"/>
  <c r="Q634" i="3"/>
  <c r="P635" i="3"/>
  <c r="Q635" i="3"/>
  <c r="P636" i="3"/>
  <c r="Q636" i="3"/>
  <c r="P637" i="3"/>
  <c r="Q637" i="3"/>
  <c r="P638" i="3"/>
  <c r="Q638" i="3"/>
  <c r="P639" i="3"/>
  <c r="Q639" i="3"/>
  <c r="P640" i="3"/>
  <c r="Q640" i="3"/>
  <c r="P641" i="3"/>
  <c r="Q641" i="3"/>
  <c r="P642" i="3"/>
  <c r="Q642" i="3"/>
  <c r="P643" i="3"/>
  <c r="Q643" i="3"/>
  <c r="P644" i="3"/>
  <c r="Q644" i="3"/>
  <c r="P645" i="3"/>
  <c r="Q645" i="3"/>
  <c r="P646" i="3"/>
  <c r="Q646" i="3"/>
  <c r="P647" i="3"/>
  <c r="Q647" i="3"/>
  <c r="P648" i="3"/>
  <c r="Q648" i="3"/>
  <c r="P649" i="3"/>
  <c r="Q649" i="3"/>
  <c r="P650" i="3"/>
  <c r="Q650" i="3"/>
  <c r="P651" i="3"/>
  <c r="Q651" i="3"/>
  <c r="P652" i="3"/>
  <c r="Q652" i="3"/>
  <c r="P653" i="3"/>
  <c r="Q653" i="3"/>
  <c r="P654" i="3"/>
  <c r="Q654" i="3"/>
  <c r="P655" i="3"/>
  <c r="Q655" i="3"/>
  <c r="P656" i="3"/>
  <c r="Q656" i="3"/>
  <c r="P657" i="3"/>
  <c r="Q657" i="3"/>
  <c r="P658" i="3"/>
  <c r="Q658" i="3"/>
  <c r="P659" i="3"/>
  <c r="Q659" i="3"/>
  <c r="P660" i="3"/>
  <c r="Q660" i="3"/>
  <c r="P661" i="3"/>
  <c r="Q661" i="3"/>
  <c r="P662" i="3"/>
  <c r="Q662" i="3"/>
  <c r="P663" i="3"/>
  <c r="Q663" i="3"/>
  <c r="P664" i="3"/>
  <c r="Q664" i="3"/>
  <c r="P665" i="3"/>
  <c r="Q665" i="3"/>
  <c r="P666" i="3"/>
  <c r="Q666" i="3"/>
  <c r="P667" i="3"/>
  <c r="Q667" i="3"/>
  <c r="P668" i="3"/>
  <c r="Q668" i="3"/>
  <c r="P669" i="3"/>
  <c r="Q669" i="3"/>
  <c r="P670" i="3"/>
  <c r="Q670" i="3"/>
  <c r="P671" i="3"/>
  <c r="Q671" i="3"/>
  <c r="P672" i="3"/>
  <c r="Q672" i="3"/>
  <c r="P673" i="3"/>
  <c r="Q673" i="3"/>
  <c r="P674" i="3"/>
  <c r="Q674" i="3"/>
  <c r="P675" i="3"/>
  <c r="Q675" i="3"/>
  <c r="P676" i="3"/>
  <c r="Q676" i="3"/>
  <c r="P677" i="3"/>
  <c r="Q677" i="3"/>
  <c r="P678" i="3"/>
  <c r="Q678" i="3"/>
  <c r="P679" i="3"/>
  <c r="Q679" i="3"/>
  <c r="P680" i="3"/>
  <c r="Q680" i="3"/>
  <c r="P681" i="3"/>
  <c r="Q681" i="3"/>
  <c r="P682" i="3"/>
  <c r="Q682" i="3"/>
  <c r="P683" i="3"/>
  <c r="Q683" i="3"/>
  <c r="P684" i="3"/>
  <c r="Q684" i="3"/>
  <c r="P685" i="3"/>
  <c r="Q685" i="3"/>
  <c r="P686" i="3"/>
  <c r="Q686" i="3"/>
  <c r="P687" i="3"/>
  <c r="Q687" i="3"/>
  <c r="P688" i="3"/>
  <c r="Q688" i="3"/>
  <c r="P689" i="3"/>
  <c r="Q689" i="3"/>
  <c r="P690" i="3"/>
  <c r="Q690" i="3"/>
  <c r="P691" i="3"/>
  <c r="Q691" i="3"/>
  <c r="P692" i="3"/>
  <c r="Q692" i="3"/>
  <c r="P693" i="3"/>
  <c r="Q693" i="3"/>
  <c r="P694" i="3"/>
  <c r="Q694" i="3"/>
  <c r="P695" i="3"/>
  <c r="Q695" i="3"/>
  <c r="P696" i="3"/>
  <c r="Q696" i="3"/>
  <c r="P697" i="3"/>
  <c r="Q697" i="3"/>
  <c r="P698" i="3"/>
  <c r="Q698" i="3"/>
  <c r="P699" i="3"/>
  <c r="Q699" i="3"/>
  <c r="P700" i="3"/>
  <c r="Q700" i="3"/>
  <c r="P701" i="3"/>
  <c r="Q701" i="3"/>
  <c r="P702" i="3"/>
  <c r="Q702" i="3"/>
  <c r="P703" i="3"/>
  <c r="Q703" i="3"/>
  <c r="P704" i="3"/>
  <c r="Q704" i="3"/>
  <c r="P705" i="3"/>
  <c r="Q705" i="3"/>
  <c r="P706" i="3"/>
  <c r="Q706" i="3"/>
  <c r="P707" i="3"/>
  <c r="Q707" i="3"/>
  <c r="P708" i="3"/>
  <c r="Q708" i="3"/>
  <c r="P709" i="3"/>
  <c r="Q709" i="3"/>
  <c r="P710" i="3"/>
  <c r="Q710" i="3"/>
  <c r="P711" i="3"/>
  <c r="Q711" i="3"/>
  <c r="P712" i="3"/>
  <c r="Q712" i="3"/>
  <c r="P713" i="3"/>
  <c r="Q713" i="3"/>
  <c r="P714" i="3"/>
  <c r="Q714" i="3"/>
  <c r="P715" i="3"/>
  <c r="Q715" i="3"/>
  <c r="P716" i="3"/>
  <c r="Q716" i="3"/>
  <c r="P717" i="3"/>
  <c r="Q717" i="3"/>
  <c r="P718" i="3"/>
  <c r="Q718" i="3"/>
  <c r="P719" i="3"/>
  <c r="Q719" i="3"/>
  <c r="P720" i="3"/>
  <c r="Q720" i="3"/>
  <c r="P721" i="3"/>
  <c r="Q721" i="3"/>
  <c r="P722" i="3"/>
  <c r="Q722" i="3"/>
  <c r="P723" i="3"/>
  <c r="Q723" i="3"/>
  <c r="P724" i="3"/>
  <c r="Q724" i="3"/>
  <c r="P725" i="3"/>
  <c r="Q725" i="3"/>
  <c r="P726" i="3"/>
  <c r="Q726" i="3"/>
  <c r="P727" i="3"/>
  <c r="Q727" i="3"/>
  <c r="P728" i="3"/>
  <c r="Q728" i="3"/>
  <c r="P729" i="3"/>
  <c r="Q729" i="3"/>
  <c r="P730" i="3"/>
  <c r="Q730" i="3"/>
  <c r="P731" i="3"/>
  <c r="Q731" i="3"/>
  <c r="P732" i="3"/>
  <c r="Q732" i="3"/>
  <c r="P733" i="3"/>
  <c r="Q733" i="3"/>
  <c r="P734" i="3"/>
  <c r="Q734" i="3"/>
  <c r="P735" i="3"/>
  <c r="Q735" i="3"/>
  <c r="P736" i="3"/>
  <c r="Q736" i="3"/>
  <c r="P737" i="3"/>
  <c r="Q737" i="3"/>
  <c r="P738" i="3"/>
  <c r="Q738" i="3"/>
  <c r="P739" i="3"/>
  <c r="Q739" i="3"/>
  <c r="P740" i="3"/>
  <c r="Q740" i="3"/>
  <c r="P741" i="3"/>
  <c r="Q741" i="3"/>
  <c r="P742" i="3"/>
  <c r="Q742" i="3"/>
  <c r="P743" i="3"/>
  <c r="Q743" i="3"/>
  <c r="P744" i="3"/>
  <c r="Q744" i="3"/>
  <c r="P745" i="3"/>
  <c r="Q745" i="3"/>
  <c r="P746" i="3"/>
  <c r="Q746" i="3"/>
  <c r="P747" i="3"/>
  <c r="Q747" i="3"/>
  <c r="P748" i="3"/>
  <c r="Q748" i="3"/>
  <c r="P749" i="3"/>
  <c r="Q749" i="3"/>
  <c r="P750" i="3"/>
  <c r="Q750" i="3"/>
  <c r="P751" i="3"/>
  <c r="Q751" i="3"/>
  <c r="P752" i="3"/>
  <c r="Q752" i="3"/>
  <c r="P753" i="3"/>
  <c r="Q753" i="3"/>
  <c r="P754" i="3"/>
  <c r="Q754" i="3"/>
  <c r="P755" i="3"/>
  <c r="Q755" i="3"/>
  <c r="P756" i="3"/>
  <c r="Q756" i="3"/>
  <c r="P757" i="3"/>
  <c r="Q757" i="3"/>
  <c r="P758" i="3"/>
  <c r="Q758" i="3"/>
  <c r="P759" i="3"/>
  <c r="Q759" i="3"/>
  <c r="P760" i="3"/>
  <c r="Q760" i="3"/>
  <c r="P761" i="3"/>
  <c r="Q761" i="3"/>
  <c r="P762" i="3"/>
  <c r="Q762" i="3"/>
  <c r="P763" i="3"/>
  <c r="Q763" i="3"/>
  <c r="P764" i="3"/>
  <c r="Q764" i="3"/>
  <c r="P765" i="3"/>
  <c r="Q765" i="3"/>
  <c r="P766" i="3"/>
  <c r="Q766" i="3"/>
  <c r="P767" i="3"/>
  <c r="Q767" i="3"/>
  <c r="P768" i="3"/>
  <c r="Q768" i="3"/>
  <c r="P769" i="3"/>
  <c r="Q769" i="3"/>
  <c r="P770" i="3"/>
  <c r="Q770" i="3"/>
  <c r="P771" i="3"/>
  <c r="Q771" i="3"/>
  <c r="P772" i="3"/>
  <c r="Q772" i="3"/>
  <c r="P773" i="3"/>
  <c r="Q773" i="3"/>
  <c r="P774" i="3"/>
  <c r="Q774" i="3"/>
  <c r="P775" i="3"/>
  <c r="Q775" i="3"/>
  <c r="P776" i="3"/>
  <c r="Q776" i="3"/>
  <c r="P777" i="3"/>
  <c r="Q777" i="3"/>
  <c r="P778" i="3"/>
  <c r="Q778" i="3"/>
  <c r="P779" i="3"/>
  <c r="Q779" i="3"/>
  <c r="P780" i="3"/>
  <c r="Q780" i="3"/>
  <c r="P781" i="3"/>
  <c r="Q781" i="3"/>
  <c r="P782" i="3"/>
  <c r="Q782" i="3"/>
  <c r="P783" i="3"/>
  <c r="Q783" i="3"/>
  <c r="P784" i="3"/>
  <c r="Q784" i="3"/>
  <c r="P785" i="3"/>
  <c r="Q785" i="3"/>
  <c r="P786" i="3"/>
  <c r="Q786" i="3"/>
  <c r="P787" i="3"/>
  <c r="Q787" i="3"/>
  <c r="P788" i="3"/>
  <c r="Q788" i="3"/>
  <c r="P789" i="3"/>
  <c r="Q789" i="3"/>
  <c r="P790" i="3"/>
  <c r="Q790" i="3"/>
  <c r="P791" i="3"/>
  <c r="Q791" i="3"/>
  <c r="P792" i="3"/>
  <c r="Q792" i="3"/>
  <c r="P793" i="3"/>
  <c r="Q793" i="3"/>
  <c r="P794" i="3"/>
  <c r="Q794" i="3"/>
  <c r="P795" i="3"/>
  <c r="Q795" i="3"/>
  <c r="P796" i="3"/>
  <c r="Q796" i="3"/>
  <c r="P797" i="3"/>
  <c r="Q797" i="3"/>
  <c r="P798" i="3"/>
  <c r="Q798" i="3"/>
  <c r="P799" i="3"/>
  <c r="Q799" i="3"/>
  <c r="P800" i="3"/>
  <c r="Q800" i="3"/>
  <c r="P801" i="3"/>
  <c r="Q801" i="3"/>
  <c r="P802" i="3"/>
  <c r="Q802" i="3"/>
  <c r="P803" i="3"/>
  <c r="Q803" i="3"/>
  <c r="P804" i="3"/>
  <c r="Q804" i="3"/>
  <c r="P805" i="3"/>
  <c r="Q805" i="3"/>
  <c r="P806" i="3"/>
  <c r="Q806" i="3"/>
  <c r="P807" i="3"/>
  <c r="Q807" i="3"/>
  <c r="P808" i="3"/>
  <c r="Q808" i="3"/>
  <c r="P809" i="3"/>
  <c r="Q809" i="3"/>
  <c r="P810" i="3"/>
  <c r="Q810" i="3"/>
  <c r="P811" i="3"/>
  <c r="Q811" i="3"/>
  <c r="P812" i="3"/>
  <c r="Q812" i="3"/>
  <c r="P813" i="3"/>
  <c r="Q813" i="3"/>
  <c r="P814" i="3"/>
  <c r="Q814" i="3"/>
  <c r="P815" i="3"/>
  <c r="Q815" i="3"/>
  <c r="P816" i="3"/>
  <c r="Q816" i="3"/>
  <c r="P817" i="3"/>
  <c r="Q817" i="3"/>
  <c r="P818" i="3"/>
  <c r="Q818" i="3"/>
  <c r="P819" i="3"/>
  <c r="Q819" i="3"/>
  <c r="P820" i="3"/>
  <c r="Q820" i="3"/>
  <c r="P821" i="3"/>
  <c r="Q821" i="3"/>
  <c r="P822" i="3"/>
  <c r="Q822" i="3"/>
  <c r="P823" i="3"/>
  <c r="Q823" i="3"/>
  <c r="P824" i="3"/>
  <c r="Q824" i="3"/>
  <c r="P825" i="3"/>
  <c r="Q825" i="3"/>
  <c r="P826" i="3"/>
  <c r="Q826" i="3"/>
  <c r="P827" i="3"/>
  <c r="Q827" i="3"/>
  <c r="P828" i="3"/>
  <c r="Q828" i="3"/>
  <c r="P829" i="3"/>
  <c r="Q829" i="3"/>
  <c r="P830" i="3"/>
  <c r="Q830" i="3"/>
  <c r="P831" i="3"/>
  <c r="Q831" i="3"/>
  <c r="P832" i="3"/>
  <c r="Q832" i="3"/>
  <c r="P833" i="3"/>
  <c r="Q833" i="3"/>
  <c r="P834" i="3"/>
  <c r="Q834" i="3"/>
  <c r="P835" i="3"/>
  <c r="Q835" i="3"/>
  <c r="P836" i="3"/>
  <c r="Q836" i="3"/>
  <c r="P837" i="3"/>
  <c r="Q837" i="3"/>
  <c r="P838" i="3"/>
  <c r="Q838" i="3"/>
  <c r="P839" i="3"/>
  <c r="Q839" i="3"/>
  <c r="P840" i="3"/>
  <c r="Q840" i="3"/>
  <c r="P841" i="3"/>
  <c r="Q841" i="3"/>
  <c r="P842" i="3"/>
  <c r="Q842" i="3"/>
  <c r="P843" i="3"/>
  <c r="Q843" i="3"/>
  <c r="P844" i="3"/>
  <c r="Q844" i="3"/>
  <c r="P845" i="3"/>
  <c r="Q845" i="3"/>
  <c r="P846" i="3"/>
  <c r="Q846" i="3"/>
  <c r="P847" i="3"/>
  <c r="Q847" i="3"/>
  <c r="P848" i="3"/>
  <c r="Q848" i="3"/>
  <c r="P849" i="3"/>
  <c r="Q849" i="3"/>
  <c r="P850" i="3"/>
  <c r="Q850" i="3"/>
  <c r="P851" i="3"/>
  <c r="Q851" i="3"/>
  <c r="P852" i="3"/>
  <c r="Q852" i="3"/>
  <c r="P853" i="3"/>
  <c r="Q853" i="3"/>
  <c r="P854" i="3"/>
  <c r="Q854" i="3"/>
  <c r="P855" i="3"/>
  <c r="Q855" i="3"/>
  <c r="P856" i="3"/>
  <c r="Q856" i="3"/>
  <c r="P857" i="3"/>
  <c r="Q857" i="3"/>
  <c r="P858" i="3"/>
  <c r="Q858" i="3"/>
  <c r="P859" i="3"/>
  <c r="Q859" i="3"/>
  <c r="P860" i="3"/>
  <c r="Q860" i="3"/>
  <c r="P861" i="3"/>
  <c r="Q861" i="3"/>
  <c r="P862" i="3"/>
  <c r="Q862" i="3"/>
  <c r="P863" i="3"/>
  <c r="Q863" i="3"/>
  <c r="P864" i="3"/>
  <c r="Q864" i="3"/>
  <c r="P865" i="3"/>
  <c r="Q865" i="3"/>
  <c r="P866" i="3"/>
  <c r="Q866" i="3"/>
  <c r="P867" i="3"/>
  <c r="Q867" i="3"/>
  <c r="P868" i="3"/>
  <c r="Q868" i="3"/>
  <c r="P869" i="3"/>
  <c r="Q869" i="3"/>
  <c r="P870" i="3"/>
  <c r="Q870" i="3"/>
  <c r="P871" i="3"/>
  <c r="Q871" i="3"/>
  <c r="P872" i="3"/>
  <c r="Q872" i="3"/>
  <c r="P873" i="3"/>
  <c r="Q873" i="3"/>
  <c r="P874" i="3"/>
  <c r="Q874" i="3"/>
  <c r="P875" i="3"/>
  <c r="Q875" i="3"/>
  <c r="P876" i="3"/>
  <c r="Q876" i="3"/>
  <c r="P877" i="3"/>
  <c r="Q877" i="3"/>
  <c r="P878" i="3"/>
  <c r="Q878" i="3"/>
  <c r="P879" i="3"/>
  <c r="Q879" i="3"/>
  <c r="P880" i="3"/>
  <c r="Q880" i="3"/>
  <c r="P881" i="3"/>
  <c r="Q881" i="3"/>
  <c r="P882" i="3"/>
  <c r="Q882" i="3"/>
  <c r="P883" i="3"/>
  <c r="Q883" i="3"/>
  <c r="P884" i="3"/>
  <c r="Q884" i="3"/>
  <c r="P885" i="3"/>
  <c r="Q885" i="3"/>
  <c r="P886" i="3"/>
  <c r="Q886" i="3"/>
  <c r="P887" i="3"/>
  <c r="Q887" i="3"/>
  <c r="P888" i="3"/>
  <c r="Q888" i="3"/>
  <c r="P889" i="3"/>
  <c r="Q889" i="3"/>
  <c r="P890" i="3"/>
  <c r="Q890" i="3"/>
  <c r="P891" i="3"/>
  <c r="Q891" i="3"/>
  <c r="P892" i="3"/>
  <c r="Q892" i="3"/>
  <c r="P893" i="3"/>
  <c r="Q893" i="3"/>
  <c r="P894" i="3"/>
  <c r="Q894" i="3"/>
  <c r="P895" i="3"/>
  <c r="Q895" i="3"/>
  <c r="P896" i="3"/>
  <c r="Q896" i="3"/>
  <c r="P897" i="3"/>
  <c r="Q897" i="3"/>
  <c r="P898" i="3"/>
  <c r="Q898" i="3"/>
  <c r="P899" i="3"/>
  <c r="Q899" i="3"/>
  <c r="P900" i="3"/>
  <c r="Q900" i="3"/>
  <c r="P901" i="3"/>
  <c r="Q901" i="3"/>
  <c r="P902" i="3"/>
  <c r="Q902" i="3"/>
  <c r="P903" i="3"/>
  <c r="Q903" i="3"/>
  <c r="P904" i="3"/>
  <c r="Q904" i="3"/>
  <c r="P905" i="3"/>
  <c r="Q905" i="3"/>
  <c r="P906" i="3"/>
  <c r="Q906" i="3"/>
  <c r="P907" i="3"/>
  <c r="Q907" i="3"/>
  <c r="P908" i="3"/>
  <c r="Q908" i="3"/>
  <c r="P909" i="3"/>
  <c r="Q909" i="3"/>
  <c r="P910" i="3"/>
  <c r="Q910" i="3"/>
  <c r="P911" i="3"/>
  <c r="Q911" i="3"/>
  <c r="P912" i="3"/>
  <c r="Q912" i="3"/>
  <c r="P913" i="3"/>
  <c r="Q913" i="3"/>
  <c r="P914" i="3"/>
  <c r="Q914" i="3"/>
  <c r="P915" i="3"/>
  <c r="Q915" i="3"/>
  <c r="P916" i="3"/>
  <c r="Q916" i="3"/>
  <c r="P917" i="3"/>
  <c r="Q917" i="3"/>
  <c r="P918" i="3"/>
  <c r="Q918" i="3"/>
  <c r="P919" i="3"/>
  <c r="Q919" i="3"/>
  <c r="P920" i="3"/>
  <c r="Q920" i="3"/>
  <c r="P921" i="3"/>
  <c r="Q921" i="3"/>
  <c r="P922" i="3"/>
  <c r="Q922" i="3"/>
  <c r="P923" i="3"/>
  <c r="Q923" i="3"/>
  <c r="P924" i="3"/>
  <c r="Q924" i="3"/>
  <c r="P925" i="3"/>
  <c r="Q925" i="3"/>
  <c r="P926" i="3"/>
  <c r="Q926" i="3"/>
  <c r="P927" i="3"/>
  <c r="Q927" i="3"/>
  <c r="P928" i="3"/>
  <c r="Q928" i="3"/>
  <c r="P929" i="3"/>
  <c r="Q929" i="3"/>
  <c r="P930" i="3"/>
  <c r="Q930" i="3"/>
  <c r="P931" i="3"/>
  <c r="Q931" i="3"/>
  <c r="P932" i="3"/>
  <c r="Q932" i="3"/>
  <c r="P933" i="3"/>
  <c r="Q933" i="3"/>
  <c r="P934" i="3"/>
  <c r="Q934" i="3"/>
  <c r="P935" i="3"/>
  <c r="Q935" i="3"/>
  <c r="P936" i="3"/>
  <c r="Q936" i="3"/>
  <c r="P937" i="3"/>
  <c r="Q937" i="3"/>
  <c r="P938" i="3"/>
  <c r="Q938" i="3"/>
  <c r="P939" i="3"/>
  <c r="Q939" i="3"/>
  <c r="P940" i="3"/>
  <c r="Q940" i="3"/>
  <c r="P941" i="3"/>
  <c r="Q941" i="3"/>
  <c r="P942" i="3"/>
  <c r="Q942" i="3"/>
  <c r="P943" i="3"/>
  <c r="Q943" i="3"/>
  <c r="P944" i="3"/>
  <c r="Q944" i="3"/>
  <c r="P945" i="3"/>
  <c r="Q945" i="3"/>
  <c r="P946" i="3"/>
  <c r="Q946" i="3"/>
  <c r="P947" i="3"/>
  <c r="Q947" i="3"/>
  <c r="P948" i="3"/>
  <c r="Q948" i="3"/>
  <c r="P949" i="3"/>
  <c r="Q949" i="3"/>
  <c r="P950" i="3"/>
  <c r="Q950" i="3"/>
  <c r="P951" i="3"/>
  <c r="Q951" i="3"/>
  <c r="P952" i="3"/>
  <c r="Q952" i="3"/>
  <c r="P953" i="3"/>
  <c r="Q953" i="3"/>
  <c r="P954" i="3"/>
  <c r="Q954" i="3"/>
  <c r="P955" i="3"/>
  <c r="Q955" i="3"/>
  <c r="P956" i="3"/>
  <c r="Q956" i="3"/>
  <c r="P957" i="3"/>
  <c r="Q957" i="3"/>
  <c r="P958" i="3"/>
  <c r="Q958" i="3"/>
  <c r="P959" i="3"/>
  <c r="Q959" i="3"/>
  <c r="P960" i="3"/>
  <c r="Q960" i="3"/>
  <c r="P961" i="3"/>
  <c r="Q961" i="3"/>
  <c r="P962" i="3"/>
  <c r="Q962" i="3"/>
  <c r="P963" i="3"/>
  <c r="Q963" i="3"/>
  <c r="P964" i="3"/>
  <c r="Q964" i="3"/>
  <c r="P965" i="3"/>
  <c r="Q965" i="3"/>
  <c r="P966" i="3"/>
  <c r="Q966" i="3"/>
  <c r="P967" i="3"/>
  <c r="Q967" i="3"/>
  <c r="P968" i="3"/>
  <c r="Q968" i="3"/>
  <c r="P969" i="3"/>
  <c r="Q969" i="3"/>
  <c r="P970" i="3"/>
  <c r="Q970" i="3"/>
  <c r="P971" i="3"/>
  <c r="Q971" i="3"/>
  <c r="P972" i="3"/>
  <c r="Q972" i="3"/>
  <c r="P973" i="3"/>
  <c r="Q973" i="3"/>
  <c r="P974" i="3"/>
  <c r="Q974" i="3"/>
  <c r="P975" i="3"/>
  <c r="Q975" i="3"/>
  <c r="P976" i="3"/>
  <c r="Q976" i="3"/>
  <c r="P977" i="3"/>
  <c r="Q977" i="3"/>
  <c r="P978" i="3"/>
  <c r="Q978" i="3"/>
  <c r="P979" i="3"/>
  <c r="Q979" i="3"/>
  <c r="P980" i="3"/>
  <c r="Q980" i="3"/>
  <c r="P981" i="3"/>
  <c r="Q981" i="3"/>
  <c r="P982" i="3"/>
  <c r="Q982" i="3"/>
  <c r="P983" i="3"/>
  <c r="Q983" i="3"/>
  <c r="P984" i="3"/>
  <c r="Q984" i="3"/>
  <c r="P985" i="3"/>
  <c r="Q985" i="3"/>
  <c r="P986" i="3"/>
  <c r="Q986" i="3"/>
  <c r="P987" i="3"/>
  <c r="Q987" i="3"/>
  <c r="P988" i="3"/>
  <c r="Q988" i="3"/>
  <c r="P989" i="3"/>
  <c r="Q989" i="3"/>
  <c r="P990" i="3"/>
  <c r="Q990" i="3"/>
  <c r="P991" i="3"/>
  <c r="Q991" i="3"/>
  <c r="P992" i="3"/>
  <c r="Q992" i="3"/>
  <c r="P993" i="3"/>
  <c r="Q993" i="3"/>
  <c r="P994" i="3"/>
  <c r="Q994" i="3"/>
  <c r="P995" i="3"/>
  <c r="Q995" i="3"/>
  <c r="P996" i="3"/>
  <c r="Q996" i="3"/>
  <c r="P997" i="3"/>
  <c r="Q997" i="3"/>
  <c r="P998" i="3"/>
  <c r="Q998" i="3"/>
  <c r="P999" i="3"/>
  <c r="Q999" i="3"/>
  <c r="P1000" i="3"/>
  <c r="Q1000" i="3"/>
  <c r="P1001" i="3"/>
  <c r="Q1001" i="3"/>
  <c r="P1002" i="3"/>
  <c r="Q1002" i="3"/>
  <c r="P1003" i="3"/>
  <c r="Q1003" i="3"/>
  <c r="P1004" i="3"/>
  <c r="Q1004" i="3"/>
  <c r="P1005" i="3"/>
  <c r="Q1005" i="3"/>
  <c r="P1006" i="3"/>
  <c r="Q1006" i="3"/>
  <c r="P1007" i="3"/>
  <c r="Q1007" i="3"/>
  <c r="P1008" i="3"/>
  <c r="Q1008" i="3"/>
  <c r="P1009" i="3"/>
  <c r="Q1009" i="3"/>
  <c r="P1010" i="3"/>
  <c r="Q1010" i="3"/>
  <c r="P1011" i="3"/>
  <c r="Q1011" i="3"/>
  <c r="P1012" i="3"/>
  <c r="Q1012" i="3"/>
  <c r="P1013" i="3"/>
  <c r="Q1013" i="3"/>
  <c r="P1014" i="3"/>
  <c r="Q1014" i="3"/>
  <c r="P1015" i="3"/>
  <c r="Q1015" i="3"/>
  <c r="P1016" i="3"/>
  <c r="Q1016" i="3"/>
  <c r="P1017" i="3"/>
  <c r="Q1017" i="3"/>
  <c r="P1018" i="3"/>
  <c r="Q1018" i="3"/>
  <c r="P1019" i="3"/>
  <c r="Q1019" i="3"/>
  <c r="P1020" i="3"/>
  <c r="Q1020" i="3"/>
  <c r="P1021" i="3"/>
  <c r="Q1021" i="3"/>
  <c r="P1022" i="3"/>
  <c r="Q1022" i="3"/>
  <c r="P1023" i="3"/>
  <c r="Q1023" i="3"/>
  <c r="P1024" i="3"/>
  <c r="Q1024" i="3"/>
  <c r="P1025" i="3"/>
  <c r="Q1025" i="3"/>
  <c r="P1026" i="3"/>
  <c r="Q1026" i="3"/>
  <c r="P1027" i="3"/>
  <c r="Q1027" i="3"/>
  <c r="P1028" i="3"/>
  <c r="Q1028" i="3"/>
  <c r="P1029" i="3"/>
  <c r="Q1029" i="3"/>
  <c r="P1030" i="3"/>
  <c r="Q1030" i="3"/>
  <c r="P1031" i="3"/>
  <c r="Q1031" i="3"/>
  <c r="P1032" i="3"/>
  <c r="Q1032" i="3"/>
  <c r="P1033" i="3"/>
  <c r="Q1033" i="3"/>
  <c r="P1034" i="3"/>
  <c r="Q1034" i="3"/>
  <c r="P1035" i="3"/>
  <c r="Q1035" i="3"/>
  <c r="P1036" i="3"/>
  <c r="Q1036" i="3"/>
  <c r="P1037" i="3"/>
  <c r="Q1037" i="3"/>
  <c r="P1038" i="3"/>
  <c r="Q1038" i="3"/>
  <c r="P1039" i="3"/>
  <c r="Q1039" i="3"/>
  <c r="P1040" i="3"/>
  <c r="Q1040" i="3"/>
  <c r="P1041" i="3"/>
  <c r="Q1041" i="3"/>
  <c r="P1042" i="3"/>
  <c r="Q1042" i="3"/>
  <c r="P1043" i="3"/>
  <c r="Q1043" i="3"/>
  <c r="P1044" i="3"/>
  <c r="Q1044" i="3"/>
  <c r="P1045" i="3"/>
  <c r="Q1045" i="3"/>
  <c r="P1046" i="3"/>
  <c r="Q1046" i="3"/>
  <c r="P1047" i="3"/>
  <c r="Q1047" i="3"/>
  <c r="P1048" i="3"/>
  <c r="Q1048" i="3"/>
  <c r="P1049" i="3"/>
  <c r="Q1049" i="3"/>
  <c r="P1050" i="3"/>
  <c r="Q1050" i="3"/>
  <c r="P1051" i="3"/>
  <c r="Q1051" i="3"/>
  <c r="P1052" i="3"/>
  <c r="Q1052" i="3"/>
  <c r="P1053" i="3"/>
  <c r="Q1053" i="3"/>
  <c r="P1054" i="3"/>
  <c r="Q1054" i="3"/>
  <c r="P1055" i="3"/>
  <c r="Q1055" i="3"/>
  <c r="P1056" i="3"/>
  <c r="Q1056" i="3"/>
  <c r="P1057" i="3"/>
  <c r="Q1057" i="3"/>
  <c r="P1058" i="3"/>
  <c r="Q1058" i="3"/>
  <c r="P1059" i="3"/>
  <c r="Q1059" i="3"/>
  <c r="P1060" i="3"/>
  <c r="Q1060" i="3"/>
  <c r="P1061" i="3"/>
  <c r="Q1061" i="3"/>
  <c r="P1062" i="3"/>
  <c r="Q1062" i="3"/>
  <c r="P1063" i="3"/>
  <c r="Q1063" i="3"/>
  <c r="P1064" i="3"/>
  <c r="Q1064" i="3"/>
  <c r="P1065" i="3"/>
  <c r="Q1065" i="3"/>
  <c r="P1066" i="3"/>
  <c r="Q1066" i="3"/>
  <c r="P1067" i="3"/>
  <c r="Q1067" i="3"/>
  <c r="P1068" i="3"/>
  <c r="Q1068" i="3"/>
  <c r="P1069" i="3"/>
  <c r="Q1069" i="3"/>
  <c r="P1070" i="3"/>
  <c r="Q1070" i="3"/>
  <c r="P1071" i="3"/>
  <c r="Q1071" i="3"/>
  <c r="P1072" i="3"/>
  <c r="Q1072" i="3"/>
  <c r="P1073" i="3"/>
  <c r="Q1073" i="3"/>
  <c r="P1074" i="3"/>
  <c r="Q1074" i="3"/>
  <c r="P1075" i="3"/>
  <c r="Q1075" i="3"/>
  <c r="P1076" i="3"/>
  <c r="Q1076" i="3"/>
  <c r="P1077" i="3"/>
  <c r="Q1077" i="3"/>
  <c r="P1078" i="3"/>
  <c r="Q1078" i="3"/>
  <c r="P1079" i="3"/>
  <c r="Q1079" i="3"/>
  <c r="P1080" i="3"/>
  <c r="Q1080" i="3"/>
  <c r="P1081" i="3"/>
  <c r="Q1081" i="3"/>
  <c r="P1082" i="3"/>
  <c r="Q1082" i="3"/>
  <c r="P1083" i="3"/>
  <c r="Q1083" i="3"/>
  <c r="P1084" i="3"/>
  <c r="Q1084" i="3"/>
  <c r="P1085" i="3"/>
  <c r="Q1085" i="3"/>
  <c r="P1086" i="3"/>
  <c r="Q1086" i="3"/>
  <c r="P1087" i="3"/>
  <c r="Q1087" i="3"/>
  <c r="P1088" i="3"/>
  <c r="Q1088" i="3"/>
  <c r="P1089" i="3"/>
  <c r="Q1089" i="3"/>
  <c r="P1090" i="3"/>
  <c r="Q1090" i="3"/>
  <c r="P1091" i="3"/>
  <c r="Q1091" i="3"/>
  <c r="P1092" i="3"/>
  <c r="Q1092" i="3"/>
  <c r="P1093" i="3"/>
  <c r="Q1093" i="3"/>
  <c r="P1094" i="3"/>
  <c r="Q1094" i="3"/>
  <c r="P1095" i="3"/>
  <c r="Q1095" i="3"/>
  <c r="P1096" i="3"/>
  <c r="Q1096" i="3"/>
  <c r="P1097" i="3"/>
  <c r="Q1097" i="3"/>
  <c r="P1098" i="3"/>
  <c r="Q1098" i="3"/>
  <c r="P1099" i="3"/>
  <c r="Q1099" i="3"/>
  <c r="P1100" i="3"/>
  <c r="Q1100" i="3"/>
  <c r="P1101" i="3"/>
  <c r="Q1101" i="3"/>
  <c r="P1102" i="3"/>
  <c r="Q1102" i="3"/>
  <c r="P1103" i="3"/>
  <c r="Q1103" i="3"/>
  <c r="P1104" i="3"/>
  <c r="Q1104" i="3"/>
  <c r="P1105" i="3"/>
  <c r="Q1105" i="3"/>
  <c r="P1106" i="3"/>
  <c r="Q1106" i="3"/>
  <c r="P1107" i="3"/>
  <c r="Q1107" i="3"/>
  <c r="P1108" i="3"/>
  <c r="Q1108" i="3"/>
  <c r="P1109" i="3"/>
  <c r="Q1109" i="3"/>
  <c r="P1110" i="3"/>
  <c r="Q1110" i="3"/>
  <c r="P1111" i="3"/>
  <c r="Q1111" i="3"/>
  <c r="P1112" i="3"/>
  <c r="Q1112" i="3"/>
  <c r="P1113" i="3"/>
  <c r="Q1113" i="3"/>
  <c r="P1114" i="3"/>
  <c r="Q1114" i="3"/>
  <c r="P1115" i="3"/>
  <c r="Q1115" i="3"/>
  <c r="P1116" i="3"/>
  <c r="Q1116" i="3"/>
  <c r="P1117" i="3"/>
  <c r="Q1117" i="3"/>
  <c r="P1118" i="3"/>
  <c r="Q1118" i="3"/>
  <c r="P1119" i="3"/>
  <c r="Q1119" i="3"/>
  <c r="P1120" i="3"/>
  <c r="Q1120" i="3"/>
  <c r="P1121" i="3"/>
  <c r="Q1121" i="3"/>
  <c r="P1122" i="3"/>
  <c r="Q1122" i="3"/>
  <c r="P1123" i="3"/>
  <c r="Q1123" i="3"/>
  <c r="P1124" i="3"/>
  <c r="Q1124" i="3"/>
  <c r="P1125" i="3"/>
  <c r="Q1125" i="3"/>
  <c r="P1126" i="3"/>
  <c r="Q1126" i="3"/>
  <c r="P1127" i="3"/>
  <c r="Q1127" i="3"/>
  <c r="P1128" i="3"/>
  <c r="Q1128" i="3"/>
  <c r="P1129" i="3"/>
  <c r="Q1129" i="3"/>
  <c r="P1130" i="3"/>
  <c r="Q1130" i="3"/>
  <c r="P1131" i="3"/>
  <c r="Q1131" i="3"/>
  <c r="P1132" i="3"/>
  <c r="Q1132" i="3"/>
  <c r="P1133" i="3"/>
  <c r="Q1133" i="3"/>
  <c r="P1134" i="3"/>
  <c r="Q1134" i="3"/>
  <c r="P1135" i="3"/>
  <c r="Q1135" i="3"/>
  <c r="P1136" i="3"/>
  <c r="Q1136" i="3"/>
  <c r="P1137" i="3"/>
  <c r="Q1137" i="3"/>
  <c r="P1138" i="3"/>
  <c r="Q1138" i="3"/>
  <c r="P1139" i="3"/>
  <c r="Q1139" i="3"/>
  <c r="P1140" i="3"/>
  <c r="Q1140" i="3"/>
  <c r="P1141" i="3"/>
  <c r="Q1141" i="3"/>
  <c r="P1142" i="3"/>
  <c r="Q1142" i="3"/>
  <c r="P1143" i="3"/>
  <c r="Q1143" i="3"/>
  <c r="P1144" i="3"/>
  <c r="Q1144" i="3"/>
  <c r="P1145" i="3"/>
  <c r="Q1145" i="3"/>
  <c r="P1146" i="3"/>
  <c r="Q1146" i="3"/>
  <c r="P1147" i="3"/>
  <c r="Q1147" i="3"/>
  <c r="P1148" i="3"/>
  <c r="Q1148" i="3"/>
  <c r="P1149" i="3"/>
  <c r="Q1149" i="3"/>
  <c r="P1150" i="3"/>
  <c r="Q1150" i="3"/>
  <c r="P1151" i="3"/>
  <c r="Q1151" i="3"/>
  <c r="P1152" i="3"/>
  <c r="Q1152" i="3"/>
  <c r="P1153" i="3"/>
  <c r="Q1153" i="3"/>
  <c r="P1154" i="3"/>
  <c r="Q1154" i="3"/>
  <c r="P1155" i="3"/>
  <c r="Q1155" i="3"/>
  <c r="P1156" i="3"/>
  <c r="Q1156" i="3"/>
  <c r="P1157" i="3"/>
  <c r="Q1157" i="3"/>
  <c r="P1158" i="3"/>
  <c r="Q1158" i="3"/>
  <c r="P1159" i="3"/>
  <c r="Q1159" i="3"/>
  <c r="P1160" i="3"/>
  <c r="Q1160" i="3"/>
  <c r="P1161" i="3"/>
  <c r="Q1161" i="3"/>
  <c r="P1162" i="3"/>
  <c r="Q1162" i="3"/>
  <c r="P1163" i="3"/>
  <c r="Q1163" i="3"/>
  <c r="P1164" i="3"/>
  <c r="Q1164" i="3"/>
  <c r="P1165" i="3"/>
  <c r="Q1165" i="3"/>
  <c r="P1166" i="3"/>
  <c r="Q1166" i="3"/>
  <c r="P1167" i="3"/>
  <c r="Q1167" i="3"/>
  <c r="P1168" i="3"/>
  <c r="Q1168" i="3"/>
  <c r="P1169" i="3"/>
  <c r="Q1169" i="3"/>
  <c r="P1170" i="3"/>
  <c r="Q1170" i="3"/>
  <c r="P1171" i="3"/>
  <c r="Q1171" i="3"/>
  <c r="P1172" i="3"/>
  <c r="Q1172" i="3"/>
  <c r="P1173" i="3"/>
  <c r="Q1173" i="3"/>
  <c r="P1174" i="3"/>
  <c r="Q1174" i="3"/>
  <c r="P1175" i="3"/>
  <c r="Q1175" i="3"/>
  <c r="P1176" i="3"/>
  <c r="Q1176" i="3"/>
  <c r="P1177" i="3"/>
  <c r="Q1177" i="3"/>
  <c r="P1178" i="3"/>
  <c r="Q1178" i="3"/>
  <c r="P1179" i="3"/>
  <c r="Q1179" i="3"/>
  <c r="P1180" i="3"/>
  <c r="Q1180" i="3"/>
  <c r="P1181" i="3"/>
  <c r="Q1181" i="3"/>
  <c r="P1182" i="3"/>
  <c r="Q1182" i="3"/>
  <c r="P1183" i="3"/>
  <c r="Q1183" i="3"/>
  <c r="P1184" i="3"/>
  <c r="Q1184" i="3"/>
  <c r="P1185" i="3"/>
  <c r="Q1185" i="3"/>
  <c r="P1186" i="3"/>
  <c r="Q1186" i="3"/>
  <c r="P1187" i="3"/>
  <c r="Q1187" i="3"/>
  <c r="P1188" i="3"/>
  <c r="Q1188" i="3"/>
  <c r="P1189" i="3"/>
  <c r="Q1189" i="3"/>
  <c r="P1190" i="3"/>
  <c r="Q1190" i="3"/>
  <c r="P1191" i="3"/>
  <c r="Q1191" i="3"/>
  <c r="P1192" i="3"/>
  <c r="Q1192" i="3"/>
  <c r="P1193" i="3"/>
  <c r="Q1193" i="3"/>
  <c r="P1194" i="3"/>
  <c r="Q1194" i="3"/>
  <c r="P1195" i="3"/>
  <c r="Q1195" i="3"/>
  <c r="P1196" i="3"/>
  <c r="Q1196" i="3"/>
  <c r="P1197" i="3"/>
  <c r="Q1197" i="3"/>
  <c r="P1198" i="3"/>
  <c r="Q1198" i="3"/>
  <c r="P1199" i="3"/>
  <c r="Q1199" i="3"/>
  <c r="P1200" i="3"/>
  <c r="Q1200" i="3"/>
  <c r="P1201" i="3"/>
  <c r="Q1201" i="3"/>
  <c r="P1202" i="3"/>
  <c r="Q1202" i="3"/>
  <c r="P1203" i="3"/>
  <c r="Q1203" i="3"/>
  <c r="P1204" i="3"/>
  <c r="Q1204" i="3"/>
  <c r="P1205" i="3"/>
  <c r="Q1205" i="3"/>
  <c r="P1206" i="3"/>
  <c r="Q1206" i="3"/>
  <c r="P1207" i="3"/>
  <c r="Q1207" i="3"/>
  <c r="P1208" i="3"/>
  <c r="Q1208" i="3"/>
  <c r="P1209" i="3"/>
  <c r="Q1209" i="3"/>
  <c r="P1210" i="3"/>
  <c r="Q1210" i="3"/>
  <c r="P1211" i="3"/>
  <c r="Q1211" i="3"/>
  <c r="P1212" i="3"/>
  <c r="Q1212" i="3"/>
  <c r="P1213" i="3"/>
  <c r="Q1213" i="3"/>
  <c r="P1214" i="3"/>
  <c r="Q1214" i="3"/>
  <c r="P1215" i="3"/>
  <c r="Q1215" i="3"/>
  <c r="P1216" i="3"/>
  <c r="Q1216" i="3"/>
  <c r="P1217" i="3"/>
  <c r="Q1217" i="3"/>
  <c r="P1218" i="3"/>
  <c r="Q1218" i="3"/>
  <c r="P1219" i="3"/>
  <c r="Q1219" i="3"/>
  <c r="P1220" i="3"/>
  <c r="Q1220" i="3"/>
  <c r="P1221" i="3"/>
  <c r="Q1221" i="3"/>
  <c r="P1222" i="3"/>
  <c r="Q1222" i="3"/>
  <c r="P1223" i="3"/>
  <c r="Q1223" i="3"/>
  <c r="P1224" i="3"/>
  <c r="Q1224" i="3"/>
  <c r="P1225" i="3"/>
  <c r="Q1225" i="3"/>
  <c r="P1226" i="3"/>
  <c r="Q1226" i="3"/>
  <c r="P1227" i="3"/>
  <c r="Q1227" i="3"/>
  <c r="P1228" i="3"/>
  <c r="Q1228" i="3"/>
  <c r="P1229" i="3"/>
  <c r="Q1229" i="3"/>
  <c r="P1230" i="3"/>
  <c r="Q1230" i="3"/>
  <c r="P1231" i="3"/>
  <c r="Q1231" i="3"/>
  <c r="P1232" i="3"/>
  <c r="Q1232" i="3"/>
  <c r="P1233" i="3"/>
  <c r="Q1233" i="3"/>
  <c r="P1234" i="3"/>
  <c r="Q1234" i="3"/>
  <c r="P1235" i="3"/>
  <c r="Q1235" i="3"/>
  <c r="P1236" i="3"/>
  <c r="Q1236" i="3"/>
  <c r="P1237" i="3"/>
  <c r="Q1237" i="3"/>
  <c r="P1238" i="3"/>
  <c r="Q1238" i="3"/>
  <c r="P1239" i="3"/>
  <c r="Q1239" i="3"/>
  <c r="P1240" i="3"/>
  <c r="Q1240" i="3"/>
  <c r="P1241" i="3"/>
  <c r="Q1241" i="3"/>
  <c r="P1242" i="3"/>
  <c r="Q1242" i="3"/>
  <c r="P1243" i="3"/>
  <c r="Q1243" i="3"/>
  <c r="P1244" i="3"/>
  <c r="Q1244" i="3"/>
  <c r="P1245" i="3"/>
  <c r="Q1245" i="3"/>
  <c r="P1246" i="3"/>
  <c r="Q1246" i="3"/>
  <c r="P1247" i="3"/>
  <c r="Q1247" i="3"/>
  <c r="P1248" i="3"/>
  <c r="Q1248" i="3"/>
  <c r="P1249" i="3"/>
  <c r="Q1249" i="3"/>
  <c r="P1250" i="3"/>
  <c r="Q1250" i="3"/>
  <c r="P1251" i="3"/>
  <c r="Q1251" i="3"/>
  <c r="P1252" i="3"/>
  <c r="Q1252" i="3"/>
  <c r="P1253" i="3"/>
  <c r="Q1253" i="3"/>
  <c r="P1254" i="3"/>
  <c r="Q1254" i="3"/>
  <c r="P1255" i="3"/>
  <c r="Q1255" i="3"/>
  <c r="P1256" i="3"/>
  <c r="Q1256" i="3"/>
  <c r="P1257" i="3"/>
  <c r="Q1257" i="3"/>
  <c r="P1258" i="3"/>
  <c r="Q1258" i="3"/>
  <c r="P1259" i="3"/>
  <c r="Q1259" i="3"/>
  <c r="P1260" i="3"/>
  <c r="Q1260" i="3"/>
  <c r="P1261" i="3"/>
  <c r="Q1261" i="3"/>
  <c r="P1262" i="3"/>
  <c r="Q1262" i="3"/>
  <c r="P1263" i="3"/>
  <c r="Q1263" i="3"/>
  <c r="P1264" i="3"/>
  <c r="Q1264" i="3"/>
  <c r="P1265" i="3"/>
  <c r="Q1265" i="3"/>
  <c r="P1266" i="3"/>
  <c r="Q1266" i="3"/>
  <c r="P1267" i="3"/>
  <c r="Q1267" i="3"/>
  <c r="P1268" i="3"/>
  <c r="Q1268" i="3"/>
  <c r="P1269" i="3"/>
  <c r="Q1269" i="3"/>
  <c r="P1270" i="3"/>
  <c r="Q1270" i="3"/>
  <c r="P1271" i="3"/>
  <c r="Q1271" i="3"/>
  <c r="P1272" i="3"/>
  <c r="Q1272" i="3"/>
  <c r="P1273" i="3"/>
  <c r="Q1273" i="3"/>
  <c r="P1274" i="3"/>
  <c r="Q1274" i="3"/>
  <c r="P1275" i="3"/>
  <c r="Q1275" i="3"/>
  <c r="P1276" i="3"/>
  <c r="Q1276" i="3"/>
  <c r="P1277" i="3"/>
  <c r="Q1277" i="3"/>
  <c r="P1278" i="3"/>
  <c r="Q1278" i="3"/>
  <c r="P1279" i="3"/>
  <c r="Q1279" i="3"/>
  <c r="P1280" i="3"/>
  <c r="Q1280" i="3"/>
  <c r="P1281" i="3"/>
  <c r="Q1281" i="3"/>
  <c r="P1282" i="3"/>
  <c r="Q1282" i="3"/>
  <c r="P1283" i="3"/>
  <c r="Q1283" i="3"/>
  <c r="P1284" i="3"/>
  <c r="Q1284" i="3"/>
  <c r="P1285" i="3"/>
  <c r="Q1285" i="3"/>
  <c r="P1286" i="3"/>
  <c r="Q1286" i="3"/>
  <c r="P1287" i="3"/>
  <c r="Q1287" i="3"/>
  <c r="P1288" i="3"/>
  <c r="Q1288" i="3"/>
  <c r="P1289" i="3"/>
  <c r="Q1289" i="3"/>
  <c r="P1290" i="3"/>
  <c r="Q1290" i="3"/>
  <c r="P1291" i="3"/>
  <c r="Q1291" i="3"/>
  <c r="P1292" i="3"/>
  <c r="Q1292" i="3"/>
  <c r="P1293" i="3"/>
  <c r="Q1293" i="3"/>
  <c r="P1294" i="3"/>
  <c r="Q1294" i="3"/>
  <c r="P1295" i="3"/>
  <c r="Q1295" i="3"/>
  <c r="P1296" i="3"/>
  <c r="Q1296" i="3"/>
  <c r="P1297" i="3"/>
  <c r="Q1297" i="3"/>
  <c r="P1298" i="3"/>
  <c r="Q1298" i="3"/>
  <c r="P1299" i="3"/>
  <c r="Q1299" i="3"/>
  <c r="P1300" i="3"/>
  <c r="Q1300" i="3"/>
  <c r="P1301" i="3"/>
  <c r="Q1301" i="3"/>
  <c r="P1302" i="3"/>
  <c r="Q1302" i="3"/>
  <c r="P1303" i="3"/>
  <c r="Q1303" i="3"/>
  <c r="P1304" i="3"/>
  <c r="Q1304" i="3"/>
  <c r="P1305" i="3"/>
  <c r="Q1305" i="3"/>
  <c r="P1306" i="3"/>
  <c r="Q1306" i="3"/>
  <c r="P1307" i="3"/>
  <c r="Q1307" i="3"/>
  <c r="P1308" i="3"/>
  <c r="Q1308" i="3"/>
  <c r="P1309" i="3"/>
  <c r="Q1309" i="3"/>
  <c r="P1310" i="3"/>
  <c r="Q1310" i="3"/>
  <c r="P1311" i="3"/>
  <c r="Q1311" i="3"/>
  <c r="P1312" i="3"/>
  <c r="Q1312" i="3"/>
  <c r="P1313" i="3"/>
  <c r="Q1313" i="3"/>
  <c r="P1314" i="3"/>
  <c r="Q1314" i="3"/>
  <c r="P1315" i="3"/>
  <c r="Q1315" i="3"/>
  <c r="P1316" i="3"/>
  <c r="Q1316" i="3"/>
  <c r="P1317" i="3"/>
  <c r="Q1317" i="3"/>
  <c r="P1318" i="3"/>
  <c r="Q1318" i="3"/>
  <c r="P1319" i="3"/>
  <c r="Q1319" i="3"/>
  <c r="P1320" i="3"/>
  <c r="Q1320" i="3"/>
  <c r="P1321" i="3"/>
  <c r="Q1321" i="3"/>
  <c r="P1322" i="3"/>
  <c r="Q1322" i="3"/>
  <c r="P1323" i="3"/>
  <c r="Q1323" i="3"/>
  <c r="P1324" i="3"/>
  <c r="Q1324" i="3"/>
  <c r="P1325" i="3"/>
  <c r="Q1325" i="3"/>
  <c r="P1326" i="3"/>
  <c r="Q1326" i="3"/>
  <c r="P1327" i="3"/>
  <c r="Q1327" i="3"/>
  <c r="P1328" i="3"/>
  <c r="Q1328" i="3"/>
  <c r="P1329" i="3"/>
  <c r="Q1329" i="3"/>
  <c r="P1330" i="3"/>
  <c r="Q1330" i="3"/>
  <c r="P1331" i="3"/>
  <c r="Q1331" i="3"/>
  <c r="P1332" i="3"/>
  <c r="Q1332" i="3"/>
  <c r="P1333" i="3"/>
  <c r="Q1333" i="3"/>
  <c r="P1334" i="3"/>
  <c r="Q1334" i="3"/>
  <c r="P1335" i="3"/>
  <c r="Q1335" i="3"/>
  <c r="P1336" i="3"/>
  <c r="Q1336" i="3"/>
  <c r="P1337" i="3"/>
  <c r="Q1337" i="3"/>
  <c r="P1338" i="3"/>
  <c r="Q1338" i="3"/>
  <c r="P1339" i="3"/>
  <c r="Q1339" i="3"/>
  <c r="P1340" i="3"/>
  <c r="Q1340" i="3"/>
  <c r="P1341" i="3"/>
  <c r="Q1341" i="3"/>
  <c r="P1342" i="3"/>
  <c r="Q1342" i="3"/>
  <c r="P1343" i="3"/>
  <c r="Q1343" i="3"/>
  <c r="P1344" i="3"/>
  <c r="Q1344" i="3"/>
  <c r="P1345" i="3"/>
  <c r="Q1345" i="3"/>
  <c r="P1346" i="3"/>
  <c r="Q1346" i="3"/>
  <c r="P1347" i="3"/>
  <c r="Q1347" i="3"/>
  <c r="P1348" i="3"/>
  <c r="Q1348" i="3"/>
  <c r="P1349" i="3"/>
  <c r="Q1349" i="3"/>
  <c r="P1350" i="3"/>
  <c r="Q1350" i="3"/>
  <c r="P1351" i="3"/>
  <c r="Q1351" i="3"/>
  <c r="P1352" i="3"/>
  <c r="Q1352" i="3"/>
  <c r="P1353" i="3"/>
  <c r="Q1353" i="3"/>
  <c r="P1354" i="3"/>
  <c r="Q1354" i="3"/>
  <c r="P1355" i="3"/>
  <c r="Q1355" i="3"/>
  <c r="P1356" i="3"/>
  <c r="Q1356" i="3"/>
  <c r="P1357" i="3"/>
  <c r="Q1357" i="3"/>
  <c r="P1358" i="3"/>
  <c r="Q1358" i="3"/>
  <c r="P1359" i="3"/>
  <c r="Q1359" i="3"/>
  <c r="P1360" i="3"/>
  <c r="Q1360" i="3"/>
  <c r="P1361" i="3"/>
  <c r="Q1361" i="3"/>
  <c r="P1362" i="3"/>
  <c r="Q1362" i="3"/>
  <c r="P1363" i="3"/>
  <c r="Q1363" i="3"/>
  <c r="P1364" i="3"/>
  <c r="Q1364" i="3"/>
  <c r="P1365" i="3"/>
  <c r="Q1365" i="3"/>
  <c r="P1366" i="3"/>
  <c r="Q1366" i="3"/>
  <c r="P1367" i="3"/>
  <c r="Q1367" i="3"/>
  <c r="P1368" i="3"/>
  <c r="Q1368" i="3"/>
  <c r="P1369" i="3"/>
  <c r="Q1369" i="3"/>
  <c r="P1370" i="3"/>
  <c r="Q1370" i="3"/>
  <c r="P1371" i="3"/>
  <c r="Q1371" i="3"/>
  <c r="P1372" i="3"/>
  <c r="Q1372" i="3"/>
  <c r="P1373" i="3"/>
  <c r="Q1373" i="3"/>
  <c r="P1374" i="3"/>
  <c r="Q1374" i="3"/>
  <c r="P1375" i="3"/>
  <c r="Q1375" i="3"/>
  <c r="P1376" i="3"/>
  <c r="Q1376" i="3"/>
  <c r="P1377" i="3"/>
  <c r="Q1377" i="3"/>
  <c r="P1378" i="3"/>
  <c r="Q1378" i="3"/>
  <c r="P1379" i="3"/>
  <c r="Q1379" i="3"/>
  <c r="P1380" i="3"/>
  <c r="Q1380" i="3"/>
  <c r="P1381" i="3"/>
  <c r="Q1381" i="3"/>
  <c r="P1382" i="3"/>
  <c r="Q1382" i="3"/>
  <c r="P1383" i="3"/>
  <c r="Q1383" i="3"/>
  <c r="P1384" i="3"/>
  <c r="Q1384" i="3"/>
  <c r="P1385" i="3"/>
  <c r="Q1385" i="3"/>
  <c r="P1386" i="3"/>
  <c r="Q1386" i="3"/>
  <c r="P1387" i="3"/>
  <c r="Q1387" i="3"/>
  <c r="P1388" i="3"/>
  <c r="Q1388" i="3"/>
  <c r="P1389" i="3"/>
  <c r="Q1389" i="3"/>
  <c r="P1390" i="3"/>
  <c r="Q1390" i="3"/>
  <c r="P1391" i="3"/>
  <c r="Q1391" i="3"/>
  <c r="P1392" i="3"/>
  <c r="Q1392" i="3"/>
  <c r="P1393" i="3"/>
  <c r="Q1393" i="3"/>
  <c r="P1394" i="3"/>
  <c r="Q1394" i="3"/>
  <c r="P1395" i="3"/>
  <c r="Q1395" i="3"/>
  <c r="P1396" i="3"/>
  <c r="Q1396" i="3"/>
  <c r="P1397" i="3"/>
  <c r="Q1397" i="3"/>
  <c r="P1398" i="3"/>
  <c r="Q1398" i="3"/>
  <c r="P1399" i="3"/>
  <c r="Q1399" i="3"/>
  <c r="P1400" i="3"/>
  <c r="Q1400" i="3"/>
  <c r="P1401" i="3"/>
  <c r="Q1401" i="3"/>
  <c r="P1402" i="3"/>
  <c r="Q1402" i="3"/>
  <c r="P1403" i="3"/>
  <c r="Q1403" i="3"/>
  <c r="P1404" i="3"/>
  <c r="Q1404" i="3"/>
  <c r="P1405" i="3"/>
  <c r="Q1405" i="3"/>
  <c r="P1406" i="3"/>
  <c r="Q1406" i="3"/>
  <c r="P1407" i="3"/>
  <c r="Q1407" i="3"/>
  <c r="P1408" i="3"/>
  <c r="Q1408" i="3"/>
  <c r="P1409" i="3"/>
  <c r="Q1409" i="3"/>
  <c r="P1410" i="3"/>
  <c r="Q1410" i="3"/>
  <c r="P1411" i="3"/>
  <c r="Q1411" i="3"/>
  <c r="P1412" i="3"/>
  <c r="Q1412" i="3"/>
  <c r="P1413" i="3"/>
  <c r="Q1413" i="3"/>
  <c r="P1414" i="3"/>
  <c r="Q1414" i="3"/>
  <c r="P1415" i="3"/>
  <c r="Q1415" i="3"/>
  <c r="P1416" i="3"/>
  <c r="Q1416" i="3"/>
  <c r="P1417" i="3"/>
  <c r="Q1417" i="3"/>
  <c r="P1418" i="3"/>
  <c r="Q1418" i="3"/>
  <c r="P1419" i="3"/>
  <c r="Q1419" i="3"/>
  <c r="P1420" i="3"/>
  <c r="Q1420" i="3"/>
  <c r="P1421" i="3"/>
  <c r="Q1421" i="3"/>
  <c r="P1422" i="3"/>
  <c r="Q1422" i="3"/>
  <c r="P1423" i="3"/>
  <c r="Q1423" i="3"/>
  <c r="P1424" i="3"/>
  <c r="Q1424" i="3"/>
  <c r="P1425" i="3"/>
  <c r="Q1425" i="3"/>
  <c r="P1426" i="3"/>
  <c r="Q1426" i="3"/>
  <c r="P1427" i="3"/>
  <c r="Q1427" i="3"/>
  <c r="P1428" i="3"/>
  <c r="Q1428" i="3"/>
  <c r="P1429" i="3"/>
  <c r="Q1429" i="3"/>
  <c r="P1430" i="3"/>
  <c r="Q1430" i="3"/>
  <c r="P1431" i="3"/>
  <c r="Q1431" i="3"/>
  <c r="P1432" i="3"/>
  <c r="Q1432" i="3"/>
  <c r="P1433" i="3"/>
  <c r="Q1433" i="3"/>
  <c r="P1434" i="3"/>
  <c r="Q1434" i="3"/>
  <c r="P1435" i="3"/>
  <c r="Q1435" i="3"/>
  <c r="P1436" i="3"/>
  <c r="Q1436" i="3"/>
  <c r="P1437" i="3"/>
  <c r="Q1437" i="3"/>
  <c r="P1438" i="3"/>
  <c r="Q1438" i="3"/>
  <c r="P1439" i="3"/>
  <c r="Q1439" i="3"/>
  <c r="P1440" i="3"/>
  <c r="Q1440" i="3"/>
  <c r="P1441" i="3"/>
  <c r="Q1441" i="3"/>
  <c r="P1442" i="3"/>
  <c r="Q1442" i="3"/>
  <c r="P1443" i="3"/>
  <c r="Q1443" i="3"/>
  <c r="P1444" i="3"/>
  <c r="Q1444" i="3"/>
  <c r="P1445" i="3"/>
  <c r="Q1445" i="3"/>
  <c r="P1446" i="3"/>
  <c r="Q1446" i="3"/>
  <c r="P1447" i="3"/>
  <c r="Q1447" i="3"/>
  <c r="P1448" i="3"/>
  <c r="Q1448" i="3"/>
  <c r="P1449" i="3"/>
  <c r="Q1449" i="3"/>
  <c r="P1450" i="3"/>
  <c r="Q1450" i="3"/>
  <c r="P1451" i="3"/>
  <c r="Q1451" i="3"/>
  <c r="P1452" i="3"/>
  <c r="Q1452" i="3"/>
  <c r="P1453" i="3"/>
  <c r="Q1453" i="3"/>
  <c r="P1454" i="3"/>
  <c r="Q1454" i="3"/>
  <c r="P1455" i="3"/>
  <c r="Q1455" i="3"/>
  <c r="P1456" i="3"/>
  <c r="Q1456" i="3"/>
  <c r="P1457" i="3"/>
  <c r="Q1457" i="3"/>
  <c r="P1458" i="3"/>
  <c r="Q1458" i="3"/>
  <c r="P1459" i="3"/>
  <c r="Q1459" i="3"/>
  <c r="P1460" i="3"/>
  <c r="Q1460" i="3"/>
  <c r="P1461" i="3"/>
  <c r="Q1461" i="3"/>
  <c r="P1462" i="3"/>
  <c r="Q1462" i="3"/>
  <c r="P1463" i="3"/>
  <c r="Q1463" i="3"/>
  <c r="P1464" i="3"/>
  <c r="Q1464" i="3"/>
  <c r="P1465" i="3"/>
  <c r="Q1465" i="3"/>
  <c r="P1466" i="3"/>
  <c r="Q1466" i="3"/>
  <c r="P1467" i="3"/>
  <c r="Q1467" i="3"/>
  <c r="P1468" i="3"/>
  <c r="Q1468" i="3"/>
  <c r="P1469" i="3"/>
  <c r="Q1469" i="3"/>
  <c r="P1470" i="3"/>
  <c r="Q1470" i="3"/>
  <c r="P1471" i="3"/>
  <c r="Q1471" i="3"/>
  <c r="P1472" i="3"/>
  <c r="Q1472" i="3"/>
  <c r="P1473" i="3"/>
  <c r="Q1473" i="3"/>
  <c r="P1474" i="3"/>
  <c r="Q1474" i="3"/>
  <c r="P1475" i="3"/>
  <c r="Q1475" i="3"/>
  <c r="P1476" i="3"/>
  <c r="Q1476" i="3"/>
  <c r="P1477" i="3"/>
  <c r="Q1477" i="3"/>
  <c r="P1478" i="3"/>
  <c r="Q1478" i="3"/>
  <c r="P1479" i="3"/>
  <c r="Q1479" i="3"/>
  <c r="P1480" i="3"/>
  <c r="Q1480" i="3"/>
  <c r="P1481" i="3"/>
  <c r="Q1481" i="3"/>
  <c r="P1482" i="3"/>
  <c r="Q1482" i="3"/>
  <c r="P1483" i="3"/>
  <c r="Q1483" i="3"/>
  <c r="P1484" i="3"/>
  <c r="Q1484" i="3"/>
  <c r="P1485" i="3"/>
  <c r="Q1485" i="3"/>
  <c r="P1486" i="3"/>
  <c r="Q1486" i="3"/>
  <c r="P1487" i="3"/>
  <c r="Q1487" i="3"/>
  <c r="P1488" i="3"/>
  <c r="Q1488" i="3"/>
  <c r="P1489" i="3"/>
  <c r="Q1489" i="3"/>
  <c r="P1490" i="3"/>
  <c r="Q1490" i="3"/>
  <c r="P1491" i="3"/>
  <c r="Q1491" i="3"/>
  <c r="P1492" i="3"/>
  <c r="Q1492" i="3"/>
  <c r="P1493" i="3"/>
  <c r="Q1493" i="3"/>
  <c r="P1494" i="3"/>
  <c r="Q1494" i="3"/>
  <c r="P1495" i="3"/>
  <c r="Q1495" i="3"/>
  <c r="P1496" i="3"/>
  <c r="Q1496" i="3"/>
  <c r="P1497" i="3"/>
  <c r="Q1497" i="3"/>
  <c r="P1498" i="3"/>
  <c r="Q1498" i="3"/>
  <c r="P1499" i="3"/>
  <c r="Q1499" i="3"/>
  <c r="P1500" i="3"/>
  <c r="Q1500" i="3"/>
  <c r="P1501" i="3"/>
  <c r="Q1501" i="3"/>
  <c r="P1502" i="3"/>
  <c r="Q1502" i="3"/>
  <c r="P1503" i="3"/>
  <c r="Q1503" i="3"/>
  <c r="P1504" i="3"/>
  <c r="Q1504" i="3"/>
  <c r="P1505" i="3"/>
  <c r="Q1505" i="3"/>
  <c r="P1506" i="3"/>
  <c r="Q1506" i="3"/>
  <c r="P1507" i="3"/>
  <c r="Q1507" i="3"/>
  <c r="P1508" i="3"/>
  <c r="Q1508" i="3"/>
  <c r="P1509" i="3"/>
  <c r="Q1509" i="3"/>
  <c r="P1510" i="3"/>
  <c r="Q1510" i="3"/>
  <c r="P1511" i="3"/>
  <c r="Q1511" i="3"/>
  <c r="P1512" i="3"/>
  <c r="Q1512" i="3"/>
  <c r="P1513" i="3"/>
  <c r="Q1513" i="3"/>
  <c r="P1514" i="3"/>
  <c r="Q1514" i="3"/>
  <c r="P1515" i="3"/>
  <c r="Q1515" i="3"/>
  <c r="P1516" i="3"/>
  <c r="Q1516" i="3"/>
  <c r="P1517" i="3"/>
  <c r="Q1517" i="3"/>
  <c r="P1518" i="3"/>
  <c r="Q1518" i="3"/>
  <c r="P1519" i="3"/>
  <c r="Q1519" i="3"/>
  <c r="P1520" i="3"/>
  <c r="Q1520" i="3"/>
  <c r="P1521" i="3"/>
  <c r="Q1521" i="3"/>
  <c r="P1522" i="3"/>
  <c r="Q1522" i="3"/>
  <c r="P1523" i="3"/>
  <c r="Q1523" i="3"/>
  <c r="P1524" i="3"/>
  <c r="Q1524" i="3"/>
  <c r="P1525" i="3"/>
  <c r="Q1525" i="3"/>
  <c r="P1526" i="3"/>
  <c r="Q1526" i="3"/>
  <c r="P1527" i="3"/>
  <c r="Q1527" i="3"/>
  <c r="P1528" i="3"/>
  <c r="Q1528" i="3"/>
  <c r="P1529" i="3"/>
  <c r="Q1529" i="3"/>
  <c r="P1530" i="3"/>
  <c r="Q1530" i="3"/>
  <c r="P1531" i="3"/>
  <c r="Q1531" i="3"/>
  <c r="P1532" i="3"/>
  <c r="Q1532" i="3"/>
  <c r="P1533" i="3"/>
  <c r="Q1533" i="3"/>
  <c r="P1534" i="3"/>
  <c r="Q1534" i="3"/>
  <c r="P1535" i="3"/>
  <c r="Q1535" i="3"/>
  <c r="P1536" i="3"/>
  <c r="Q1536" i="3"/>
  <c r="P1537" i="3"/>
  <c r="Q1537" i="3"/>
  <c r="P1538" i="3"/>
  <c r="Q1538" i="3"/>
  <c r="P1539" i="3"/>
  <c r="Q1539" i="3"/>
  <c r="P1540" i="3"/>
  <c r="Q1540" i="3"/>
  <c r="P1541" i="3"/>
  <c r="Q1541" i="3"/>
  <c r="P1542" i="3"/>
  <c r="Q1542" i="3"/>
  <c r="P1543" i="3"/>
  <c r="Q1543" i="3"/>
  <c r="P1544" i="3"/>
  <c r="Q1544" i="3"/>
  <c r="P1545" i="3"/>
  <c r="Q1545" i="3"/>
  <c r="P1546" i="3"/>
  <c r="Q1546" i="3"/>
  <c r="P1547" i="3"/>
  <c r="Q1547" i="3"/>
  <c r="P1548" i="3"/>
  <c r="Q1548" i="3"/>
  <c r="P1549" i="3"/>
  <c r="Q1549" i="3"/>
  <c r="P1550" i="3"/>
  <c r="Q1550" i="3"/>
  <c r="P1551" i="3"/>
  <c r="Q1551" i="3"/>
  <c r="P1552" i="3"/>
  <c r="Q1552" i="3"/>
  <c r="P1553" i="3"/>
  <c r="Q1553" i="3"/>
  <c r="P1554" i="3"/>
  <c r="Q1554" i="3"/>
  <c r="P1555" i="3"/>
  <c r="Q1555" i="3"/>
  <c r="P1556" i="3"/>
  <c r="Q1556" i="3"/>
  <c r="P1557" i="3"/>
  <c r="Q1557" i="3"/>
  <c r="P1558" i="3"/>
  <c r="Q1558" i="3"/>
  <c r="P1559" i="3"/>
  <c r="Q1559" i="3"/>
  <c r="P1560" i="3"/>
  <c r="Q1560" i="3"/>
  <c r="P1561" i="3"/>
  <c r="Q1561" i="3"/>
  <c r="P1562" i="3"/>
  <c r="Q1562" i="3"/>
  <c r="P1563" i="3"/>
  <c r="Q1563" i="3"/>
  <c r="P1564" i="3"/>
  <c r="Q1564" i="3"/>
  <c r="P1565" i="3"/>
  <c r="Q1565" i="3"/>
  <c r="P1566" i="3"/>
  <c r="Q1566" i="3"/>
  <c r="P1567" i="3"/>
  <c r="Q1567" i="3"/>
  <c r="P1568" i="3"/>
  <c r="Q1568" i="3"/>
  <c r="P1569" i="3"/>
  <c r="Q1569" i="3"/>
  <c r="P1570" i="3"/>
  <c r="Q1570" i="3"/>
  <c r="P1571" i="3"/>
  <c r="Q1571" i="3"/>
  <c r="P1572" i="3"/>
  <c r="Q1572" i="3"/>
  <c r="P1573" i="3"/>
  <c r="Q1573" i="3"/>
  <c r="P1574" i="3"/>
  <c r="Q1574" i="3"/>
  <c r="P1575" i="3"/>
  <c r="Q1575" i="3"/>
  <c r="P1576" i="3"/>
  <c r="Q1576" i="3"/>
  <c r="P1577" i="3"/>
  <c r="Q1577" i="3"/>
  <c r="P1578" i="3"/>
  <c r="Q1578" i="3"/>
  <c r="P1579" i="3"/>
  <c r="Q1579" i="3"/>
  <c r="P1580" i="3"/>
  <c r="Q1580" i="3"/>
  <c r="P1581" i="3"/>
  <c r="Q1581" i="3"/>
  <c r="P1582" i="3"/>
  <c r="Q1582" i="3"/>
  <c r="P1583" i="3"/>
  <c r="Q1583" i="3"/>
  <c r="P1584" i="3"/>
  <c r="Q1584" i="3"/>
  <c r="P1585" i="3"/>
  <c r="Q1585" i="3"/>
  <c r="P1586" i="3"/>
  <c r="Q1586" i="3"/>
  <c r="P1587" i="3"/>
  <c r="Q1587" i="3"/>
  <c r="P1588" i="3"/>
  <c r="Q1588" i="3"/>
  <c r="P1589" i="3"/>
  <c r="Q1589" i="3"/>
  <c r="P1590" i="3"/>
  <c r="Q1590" i="3"/>
  <c r="P1591" i="3"/>
  <c r="Q1591" i="3"/>
  <c r="P1592" i="3"/>
  <c r="Q1592" i="3"/>
  <c r="P1593" i="3"/>
  <c r="Q1593" i="3"/>
  <c r="P1594" i="3"/>
  <c r="Q1594" i="3"/>
  <c r="P1595" i="3"/>
  <c r="Q1595" i="3"/>
  <c r="P1596" i="3"/>
  <c r="Q1596" i="3"/>
  <c r="P1597" i="3"/>
  <c r="Q1597" i="3"/>
  <c r="P1598" i="3"/>
  <c r="Q1598" i="3"/>
  <c r="P1599" i="3"/>
  <c r="Q1599" i="3"/>
  <c r="P1600" i="3"/>
  <c r="Q1600" i="3"/>
  <c r="P1601" i="3"/>
  <c r="Q1601" i="3"/>
  <c r="P1602" i="3"/>
  <c r="Q1602" i="3"/>
  <c r="P1603" i="3"/>
  <c r="Q1603" i="3"/>
  <c r="P1604" i="3"/>
  <c r="Q1604" i="3"/>
  <c r="P1605" i="3"/>
  <c r="Q1605" i="3"/>
  <c r="P1606" i="3"/>
  <c r="Q1606" i="3"/>
  <c r="P1607" i="3"/>
  <c r="Q1607" i="3"/>
  <c r="P1608" i="3"/>
  <c r="Q1608" i="3"/>
  <c r="P1609" i="3"/>
  <c r="Q1609" i="3"/>
  <c r="P1610" i="3"/>
  <c r="Q1610" i="3"/>
  <c r="P1611" i="3"/>
  <c r="Q1611" i="3"/>
  <c r="P1612" i="3"/>
  <c r="Q1612" i="3"/>
  <c r="P1613" i="3"/>
  <c r="Q1613" i="3"/>
  <c r="P1614" i="3"/>
  <c r="Q1614" i="3"/>
  <c r="P1615" i="3"/>
  <c r="Q1615" i="3"/>
  <c r="P1616" i="3"/>
  <c r="Q1616" i="3"/>
  <c r="P1617" i="3"/>
  <c r="Q1617" i="3"/>
  <c r="P1618" i="3"/>
  <c r="Q1618" i="3"/>
  <c r="P1619" i="3"/>
  <c r="Q1619" i="3"/>
  <c r="P1620" i="3"/>
  <c r="Q1620" i="3"/>
  <c r="P1621" i="3"/>
  <c r="Q1621" i="3"/>
  <c r="P1622" i="3"/>
  <c r="Q1622" i="3"/>
  <c r="P1623" i="3"/>
  <c r="Q1623" i="3"/>
  <c r="P1624" i="3"/>
  <c r="Q1624" i="3"/>
  <c r="P1625" i="3"/>
  <c r="Q1625" i="3"/>
  <c r="P1626" i="3"/>
  <c r="Q1626" i="3"/>
  <c r="P1627" i="3"/>
  <c r="Q1627" i="3"/>
  <c r="P1628" i="3"/>
  <c r="Q1628" i="3"/>
  <c r="P1629" i="3"/>
  <c r="Q1629" i="3"/>
  <c r="P1630" i="3"/>
  <c r="Q1630" i="3"/>
  <c r="P1631" i="3"/>
  <c r="Q1631" i="3"/>
  <c r="P1632" i="3"/>
  <c r="Q1632" i="3"/>
  <c r="P1633" i="3"/>
  <c r="Q1633" i="3"/>
  <c r="P1634" i="3"/>
  <c r="Q1634" i="3"/>
  <c r="P1635" i="3"/>
  <c r="Q1635" i="3"/>
  <c r="P1636" i="3"/>
  <c r="Q1636" i="3"/>
  <c r="P1637" i="3"/>
  <c r="Q1637" i="3"/>
  <c r="P1638" i="3"/>
  <c r="Q1638" i="3"/>
  <c r="P1639" i="3"/>
  <c r="Q1639" i="3"/>
  <c r="P1640" i="3"/>
  <c r="Q1640" i="3"/>
  <c r="P1641" i="3"/>
  <c r="Q1641" i="3"/>
  <c r="P1642" i="3"/>
  <c r="Q1642" i="3"/>
  <c r="P1643" i="3"/>
  <c r="Q1643" i="3"/>
  <c r="P1644" i="3"/>
  <c r="Q1644" i="3"/>
  <c r="P1645" i="3"/>
  <c r="Q1645" i="3"/>
  <c r="P1646" i="3"/>
  <c r="Q1646" i="3"/>
  <c r="P1647" i="3"/>
  <c r="Q1647" i="3"/>
  <c r="P1648" i="3"/>
  <c r="Q1648" i="3"/>
  <c r="P1649" i="3"/>
  <c r="Q1649" i="3"/>
  <c r="P1650" i="3"/>
  <c r="Q1650" i="3"/>
  <c r="P1651" i="3"/>
  <c r="Q1651" i="3"/>
  <c r="P1652" i="3"/>
  <c r="Q1652" i="3"/>
  <c r="P1653" i="3"/>
  <c r="Q1653" i="3"/>
  <c r="P1654" i="3"/>
  <c r="Q1654" i="3"/>
  <c r="P1655" i="3"/>
  <c r="Q1655" i="3"/>
  <c r="P1656" i="3"/>
  <c r="Q1656" i="3"/>
  <c r="P1657" i="3"/>
  <c r="Q1657" i="3"/>
  <c r="P1658" i="3"/>
  <c r="Q1658" i="3"/>
  <c r="P1659" i="3"/>
  <c r="Q1659" i="3"/>
  <c r="P1660" i="3"/>
  <c r="Q1660" i="3"/>
  <c r="P1661" i="3"/>
  <c r="Q1661" i="3"/>
  <c r="P1662" i="3"/>
  <c r="Q1662" i="3"/>
  <c r="P1663" i="3"/>
  <c r="Q1663" i="3"/>
  <c r="P1664" i="3"/>
  <c r="Q1664" i="3"/>
  <c r="P1665" i="3"/>
  <c r="Q1665" i="3"/>
  <c r="P1666" i="3"/>
  <c r="Q1666" i="3"/>
  <c r="P1667" i="3"/>
  <c r="Q1667" i="3"/>
  <c r="P1668" i="3"/>
  <c r="Q1668" i="3"/>
  <c r="P1669" i="3"/>
  <c r="Q1669" i="3"/>
  <c r="P1670" i="3"/>
  <c r="Q1670" i="3"/>
  <c r="P1671" i="3"/>
  <c r="Q1671" i="3"/>
  <c r="P1672" i="3"/>
  <c r="Q1672" i="3"/>
  <c r="P1673" i="3"/>
  <c r="Q1673" i="3"/>
  <c r="P1674" i="3"/>
  <c r="Q1674" i="3"/>
  <c r="P1675" i="3"/>
  <c r="Q1675" i="3"/>
  <c r="P1676" i="3"/>
  <c r="Q1676" i="3"/>
  <c r="P1677" i="3"/>
  <c r="Q1677" i="3"/>
  <c r="P1678" i="3"/>
  <c r="Q1678" i="3"/>
  <c r="P1679" i="3"/>
  <c r="Q1679" i="3"/>
  <c r="P1680" i="3"/>
  <c r="Q1680" i="3"/>
  <c r="P1681" i="3"/>
  <c r="Q1681" i="3"/>
  <c r="P1682" i="3"/>
  <c r="Q1682" i="3"/>
  <c r="P1683" i="3"/>
  <c r="Q1683" i="3"/>
  <c r="P1684" i="3"/>
  <c r="Q1684" i="3"/>
  <c r="P1685" i="3"/>
  <c r="Q1685" i="3"/>
  <c r="P1686" i="3"/>
  <c r="Q1686" i="3"/>
  <c r="P1687" i="3"/>
  <c r="Q1687" i="3"/>
  <c r="P1688" i="3"/>
  <c r="Q1688" i="3"/>
  <c r="P1689" i="3"/>
  <c r="Q1689" i="3"/>
  <c r="P1690" i="3"/>
  <c r="Q1690" i="3"/>
  <c r="P1691" i="3"/>
  <c r="Q1691" i="3"/>
  <c r="P1692" i="3"/>
  <c r="Q1692" i="3"/>
  <c r="P1693" i="3"/>
  <c r="Q1693" i="3"/>
  <c r="P1694" i="3"/>
  <c r="Q1694" i="3"/>
  <c r="P1695" i="3"/>
  <c r="Q1695" i="3"/>
  <c r="P1696" i="3"/>
  <c r="Q1696" i="3"/>
  <c r="P1697" i="3"/>
  <c r="Q1697" i="3"/>
  <c r="P1698" i="3"/>
  <c r="Q1698" i="3"/>
  <c r="P1699" i="3"/>
  <c r="Q1699" i="3"/>
  <c r="P1700" i="3"/>
  <c r="Q1700" i="3"/>
  <c r="P1701" i="3"/>
  <c r="Q1701" i="3"/>
  <c r="P1702" i="3"/>
  <c r="Q1702" i="3"/>
  <c r="P1703" i="3"/>
  <c r="Q1703" i="3"/>
  <c r="P1704" i="3"/>
  <c r="Q1704" i="3"/>
  <c r="P1705" i="3"/>
  <c r="Q1705" i="3"/>
  <c r="P1706" i="3"/>
  <c r="Q1706" i="3"/>
  <c r="P1707" i="3"/>
  <c r="Q1707" i="3"/>
  <c r="P1708" i="3"/>
  <c r="Q1708" i="3"/>
  <c r="P1709" i="3"/>
  <c r="Q1709" i="3"/>
  <c r="P1710" i="3"/>
  <c r="Q1710" i="3"/>
  <c r="P1711" i="3"/>
  <c r="Q1711" i="3"/>
  <c r="P1712" i="3"/>
  <c r="Q1712" i="3"/>
  <c r="P1713" i="3"/>
  <c r="Q1713" i="3"/>
  <c r="P1714" i="3"/>
  <c r="Q1714" i="3"/>
  <c r="P1715" i="3"/>
  <c r="Q1715" i="3"/>
  <c r="P1716" i="3"/>
  <c r="Q1716" i="3"/>
  <c r="P1717" i="3"/>
  <c r="Q1717" i="3"/>
  <c r="P1718" i="3"/>
  <c r="Q1718" i="3"/>
  <c r="P1719" i="3"/>
  <c r="Q1719" i="3"/>
  <c r="P1720" i="3"/>
  <c r="Q1720" i="3"/>
  <c r="P1721" i="3"/>
  <c r="Q1721" i="3"/>
  <c r="P1722" i="3"/>
  <c r="Q1722" i="3"/>
  <c r="P1723" i="3"/>
  <c r="Q1723" i="3"/>
  <c r="P1724" i="3"/>
  <c r="Q1724" i="3"/>
  <c r="P1725" i="3"/>
  <c r="Q1725" i="3"/>
  <c r="P1726" i="3"/>
  <c r="Q1726" i="3"/>
  <c r="P1727" i="3"/>
  <c r="Q1727" i="3"/>
  <c r="P1728" i="3"/>
  <c r="Q1728" i="3"/>
  <c r="P1729" i="3"/>
  <c r="Q1729" i="3"/>
  <c r="P1730" i="3"/>
  <c r="Q1730" i="3"/>
  <c r="P1731" i="3"/>
  <c r="Q1731" i="3"/>
  <c r="P1732" i="3"/>
  <c r="Q1732" i="3"/>
  <c r="P1733" i="3"/>
  <c r="Q1733" i="3"/>
  <c r="P1734" i="3"/>
  <c r="Q1734" i="3"/>
  <c r="P1735" i="3"/>
  <c r="Q1735" i="3"/>
  <c r="P1736" i="3"/>
  <c r="Q1736" i="3"/>
  <c r="P1737" i="3"/>
  <c r="Q1737" i="3"/>
  <c r="P1738" i="3"/>
  <c r="Q1738" i="3"/>
  <c r="P1739" i="3"/>
  <c r="Q1739" i="3"/>
  <c r="P1740" i="3"/>
  <c r="Q1740" i="3"/>
  <c r="P1741" i="3"/>
  <c r="Q1741" i="3"/>
  <c r="P1742" i="3"/>
  <c r="Q1742" i="3"/>
  <c r="P1743" i="3"/>
  <c r="Q1743" i="3"/>
  <c r="P1744" i="3"/>
  <c r="Q1744" i="3"/>
  <c r="P1745" i="3"/>
  <c r="Q1745" i="3"/>
  <c r="P1746" i="3"/>
  <c r="Q1746" i="3"/>
  <c r="P1747" i="3"/>
  <c r="Q1747" i="3"/>
  <c r="P1748" i="3"/>
  <c r="Q1748" i="3"/>
  <c r="P1749" i="3"/>
  <c r="Q1749" i="3"/>
  <c r="P1750" i="3"/>
  <c r="Q1750" i="3"/>
  <c r="P1751" i="3"/>
  <c r="Q1751" i="3"/>
  <c r="P1752" i="3"/>
  <c r="Q1752" i="3"/>
  <c r="P1753" i="3"/>
  <c r="Q1753" i="3"/>
  <c r="P1754" i="3"/>
  <c r="Q1754" i="3"/>
  <c r="P1755" i="3"/>
  <c r="Q1755" i="3"/>
  <c r="P1756" i="3"/>
  <c r="Q1756" i="3"/>
  <c r="P1757" i="3"/>
  <c r="Q1757" i="3"/>
  <c r="P1758" i="3"/>
  <c r="Q1758" i="3"/>
  <c r="P1759" i="3"/>
  <c r="Q1759" i="3"/>
  <c r="P1760" i="3"/>
  <c r="Q1760" i="3"/>
  <c r="P1761" i="3"/>
  <c r="Q1761" i="3"/>
  <c r="P1762" i="3"/>
  <c r="Q1762" i="3"/>
  <c r="P1763" i="3"/>
  <c r="Q1763" i="3"/>
  <c r="P1764" i="3"/>
  <c r="Q1764" i="3"/>
  <c r="P1765" i="3"/>
  <c r="Q1765" i="3"/>
  <c r="P1766" i="3"/>
  <c r="Q1766" i="3"/>
  <c r="P1767" i="3"/>
  <c r="Q1767" i="3"/>
  <c r="P1768" i="3"/>
  <c r="Q1768" i="3"/>
  <c r="P1769" i="3"/>
  <c r="Q1769" i="3"/>
  <c r="P1770" i="3"/>
  <c r="Q1770" i="3"/>
  <c r="P1771" i="3"/>
  <c r="Q1771" i="3"/>
  <c r="P1772" i="3"/>
  <c r="Q1772" i="3"/>
  <c r="P1773" i="3"/>
  <c r="Q1773" i="3"/>
  <c r="P1774" i="3"/>
  <c r="Q1774" i="3"/>
  <c r="P1775" i="3"/>
  <c r="Q1775" i="3"/>
  <c r="P1776" i="3"/>
  <c r="Q1776" i="3"/>
  <c r="P1777" i="3"/>
  <c r="Q1777" i="3"/>
  <c r="P1778" i="3"/>
  <c r="Q1778" i="3"/>
  <c r="P1779" i="3"/>
  <c r="Q1779" i="3"/>
  <c r="P1780" i="3"/>
  <c r="Q1780" i="3"/>
  <c r="P1781" i="3"/>
  <c r="Q1781" i="3"/>
  <c r="P1782" i="3"/>
  <c r="Q1782" i="3"/>
  <c r="P1783" i="3"/>
  <c r="Q1783" i="3"/>
  <c r="P1784" i="3"/>
  <c r="Q1784" i="3"/>
  <c r="P1785" i="3"/>
  <c r="Q1785" i="3"/>
  <c r="P1786" i="3"/>
  <c r="Q1786" i="3"/>
  <c r="P1787" i="3"/>
  <c r="Q1787" i="3"/>
  <c r="P1788" i="3"/>
  <c r="Q1788" i="3"/>
  <c r="P1789" i="3"/>
  <c r="Q1789" i="3"/>
  <c r="P1790" i="3"/>
  <c r="Q1790" i="3"/>
  <c r="P1791" i="3"/>
  <c r="Q1791" i="3"/>
  <c r="P1792" i="3"/>
  <c r="Q1792" i="3"/>
  <c r="P1793" i="3"/>
  <c r="Q1793" i="3"/>
  <c r="P1794" i="3"/>
  <c r="Q1794" i="3"/>
  <c r="P1795" i="3"/>
  <c r="Q1795" i="3"/>
  <c r="P1796" i="3"/>
  <c r="Q1796" i="3"/>
  <c r="P1797" i="3"/>
  <c r="Q1797" i="3"/>
  <c r="P1798" i="3"/>
  <c r="Q1798" i="3"/>
  <c r="P1799" i="3"/>
  <c r="Q1799" i="3"/>
  <c r="P1800" i="3"/>
  <c r="Q1800" i="3"/>
  <c r="P1801" i="3"/>
  <c r="Q1801" i="3"/>
  <c r="P1802" i="3"/>
  <c r="Q1802" i="3"/>
  <c r="P1803" i="3"/>
  <c r="Q1803" i="3"/>
  <c r="P1804" i="3"/>
  <c r="Q1804" i="3"/>
  <c r="P1805" i="3"/>
  <c r="Q1805" i="3"/>
  <c r="P1806" i="3"/>
  <c r="Q1806" i="3"/>
  <c r="P1807" i="3"/>
  <c r="Q1807" i="3"/>
  <c r="P1808" i="3"/>
  <c r="Q1808" i="3"/>
  <c r="P1809" i="3"/>
  <c r="Q1809" i="3"/>
  <c r="P1810" i="3"/>
  <c r="Q1810" i="3"/>
  <c r="P1811" i="3"/>
  <c r="Q1811" i="3"/>
  <c r="P1812" i="3"/>
  <c r="Q1812" i="3"/>
  <c r="P1813" i="3"/>
  <c r="Q1813" i="3"/>
  <c r="P1814" i="3"/>
  <c r="Q1814" i="3"/>
  <c r="P1815" i="3"/>
  <c r="Q1815" i="3"/>
  <c r="P1816" i="3"/>
  <c r="Q1816" i="3"/>
  <c r="P1817" i="3"/>
  <c r="Q1817" i="3"/>
  <c r="P1818" i="3"/>
  <c r="Q1818" i="3"/>
  <c r="P1819" i="3"/>
  <c r="Q1819" i="3"/>
  <c r="P1820" i="3"/>
  <c r="Q1820" i="3"/>
  <c r="P1821" i="3"/>
  <c r="Q1821" i="3"/>
  <c r="P1822" i="3"/>
  <c r="Q1822" i="3"/>
  <c r="P1823" i="3"/>
  <c r="Q1823" i="3"/>
  <c r="P1824" i="3"/>
  <c r="Q1824" i="3"/>
  <c r="P1825" i="3"/>
  <c r="Q1825" i="3"/>
  <c r="P1826" i="3"/>
  <c r="Q1826" i="3"/>
  <c r="P1827" i="3"/>
  <c r="Q1827" i="3"/>
  <c r="P1828" i="3"/>
  <c r="Q1828" i="3"/>
  <c r="P1829" i="3"/>
  <c r="Q1829" i="3"/>
  <c r="P1830" i="3"/>
  <c r="Q1830" i="3"/>
  <c r="P1831" i="3"/>
  <c r="Q1831" i="3"/>
  <c r="P1832" i="3"/>
  <c r="Q1832" i="3"/>
  <c r="P1833" i="3"/>
  <c r="Q1833" i="3"/>
  <c r="P1834" i="3"/>
  <c r="Q1834" i="3"/>
  <c r="P1835" i="3"/>
  <c r="Q1835" i="3"/>
  <c r="P1836" i="3"/>
  <c r="Q1836" i="3"/>
  <c r="P1837" i="3"/>
  <c r="Q1837" i="3"/>
  <c r="P1838" i="3"/>
  <c r="Q1838" i="3"/>
  <c r="P1839" i="3"/>
  <c r="Q1839" i="3"/>
  <c r="P1840" i="3"/>
  <c r="Q1840" i="3"/>
  <c r="P1841" i="3"/>
  <c r="Q1841" i="3"/>
  <c r="P1842" i="3"/>
  <c r="Q1842" i="3"/>
  <c r="P1843" i="3"/>
  <c r="Q1843" i="3"/>
  <c r="P1844" i="3"/>
  <c r="Q1844" i="3"/>
  <c r="P1845" i="3"/>
  <c r="Q1845" i="3"/>
  <c r="P1846" i="3"/>
  <c r="Q1846" i="3"/>
  <c r="P1847" i="3"/>
  <c r="Q1847" i="3"/>
  <c r="P1848" i="3"/>
  <c r="Q1848" i="3"/>
  <c r="P1849" i="3"/>
  <c r="Q1849" i="3"/>
  <c r="P1850" i="3"/>
  <c r="Q1850" i="3"/>
  <c r="P1851" i="3"/>
  <c r="Q1851" i="3"/>
  <c r="P1852" i="3"/>
  <c r="Q1852" i="3"/>
  <c r="P1853" i="3"/>
  <c r="Q1853" i="3"/>
  <c r="P1854" i="3"/>
  <c r="Q1854" i="3"/>
  <c r="P1855" i="3"/>
  <c r="Q1855" i="3"/>
  <c r="P1856" i="3"/>
  <c r="Q1856" i="3"/>
  <c r="P1857" i="3"/>
  <c r="Q1857" i="3"/>
  <c r="P1858" i="3"/>
  <c r="Q1858" i="3"/>
  <c r="P1859" i="3"/>
  <c r="Q1859" i="3"/>
  <c r="P1860" i="3"/>
  <c r="Q1860" i="3"/>
  <c r="P1861" i="3"/>
  <c r="Q1861" i="3"/>
  <c r="P1862" i="3"/>
  <c r="Q1862" i="3"/>
  <c r="P1863" i="3"/>
  <c r="Q1863" i="3"/>
  <c r="P1864" i="3"/>
  <c r="Q1864" i="3"/>
  <c r="P1865" i="3"/>
  <c r="Q1865" i="3"/>
  <c r="P1866" i="3"/>
  <c r="Q1866" i="3"/>
  <c r="P1867" i="3"/>
  <c r="Q1867" i="3"/>
  <c r="P1868" i="3"/>
  <c r="Q1868" i="3"/>
  <c r="P1869" i="3"/>
  <c r="Q1869" i="3"/>
  <c r="P1870" i="3"/>
  <c r="Q1870" i="3"/>
  <c r="P1871" i="3"/>
  <c r="Q1871" i="3"/>
  <c r="P1872" i="3"/>
  <c r="Q1872" i="3"/>
  <c r="P1873" i="3"/>
  <c r="Q1873" i="3"/>
  <c r="P1874" i="3"/>
  <c r="Q1874" i="3"/>
  <c r="P1875" i="3"/>
  <c r="Q1875" i="3"/>
  <c r="P1876" i="3"/>
  <c r="Q1876" i="3"/>
  <c r="P1877" i="3"/>
  <c r="Q1877" i="3"/>
  <c r="P1878" i="3"/>
  <c r="Q1878" i="3"/>
  <c r="P1879" i="3"/>
  <c r="Q1879" i="3"/>
  <c r="P1880" i="3"/>
  <c r="Q1880" i="3"/>
  <c r="P1881" i="3"/>
  <c r="Q1881" i="3"/>
  <c r="P1882" i="3"/>
  <c r="Q1882" i="3"/>
  <c r="P1883" i="3"/>
  <c r="Q1883" i="3"/>
  <c r="P1884" i="3"/>
  <c r="Q1884" i="3"/>
  <c r="P1885" i="3"/>
  <c r="Q1885" i="3"/>
  <c r="P1886" i="3"/>
  <c r="Q1886" i="3"/>
  <c r="P1887" i="3"/>
  <c r="Q1887" i="3"/>
  <c r="P1888" i="3"/>
  <c r="Q1888" i="3"/>
  <c r="P1889" i="3"/>
  <c r="Q1889" i="3"/>
  <c r="P1890" i="3"/>
  <c r="Q1890" i="3"/>
  <c r="P1891" i="3"/>
  <c r="Q1891" i="3"/>
  <c r="P1892" i="3"/>
  <c r="Q1892" i="3"/>
  <c r="P1893" i="3"/>
  <c r="Q1893" i="3"/>
  <c r="P1894" i="3"/>
  <c r="Q1894" i="3"/>
  <c r="P1895" i="3"/>
  <c r="Q1895" i="3"/>
  <c r="P1896" i="3"/>
  <c r="Q1896" i="3"/>
  <c r="P1897" i="3"/>
  <c r="Q1897" i="3"/>
  <c r="P1898" i="3"/>
  <c r="Q1898" i="3"/>
  <c r="P1899" i="3"/>
  <c r="Q1899" i="3"/>
  <c r="P1900" i="3"/>
  <c r="Q1900" i="3"/>
  <c r="P1901" i="3"/>
  <c r="Q1901" i="3"/>
  <c r="P1902" i="3"/>
  <c r="Q1902" i="3"/>
  <c r="P1903" i="3"/>
  <c r="Q1903" i="3"/>
  <c r="P1904" i="3"/>
  <c r="Q1904" i="3"/>
  <c r="P1905" i="3"/>
  <c r="Q1905" i="3"/>
  <c r="P1906" i="3"/>
  <c r="Q1906" i="3"/>
  <c r="P1907" i="3"/>
  <c r="Q1907" i="3"/>
  <c r="P1908" i="3"/>
  <c r="Q1908" i="3"/>
  <c r="P1909" i="3"/>
  <c r="Q1909" i="3"/>
  <c r="P1910" i="3"/>
  <c r="Q1910" i="3"/>
  <c r="P1911" i="3"/>
  <c r="Q1911" i="3"/>
  <c r="P1912" i="3"/>
  <c r="Q1912" i="3"/>
  <c r="P1913" i="3"/>
  <c r="Q1913" i="3"/>
  <c r="P1914" i="3"/>
  <c r="Q1914" i="3"/>
  <c r="P1915" i="3"/>
  <c r="Q1915" i="3"/>
  <c r="P1916" i="3"/>
  <c r="Q1916" i="3"/>
  <c r="P1917" i="3"/>
  <c r="Q1917" i="3"/>
  <c r="P1918" i="3"/>
  <c r="Q1918" i="3"/>
  <c r="P1919" i="3"/>
  <c r="Q1919" i="3"/>
  <c r="P1920" i="3"/>
  <c r="Q1920" i="3"/>
  <c r="P1921" i="3"/>
  <c r="Q1921" i="3"/>
  <c r="P1922" i="3"/>
  <c r="Q1922" i="3"/>
  <c r="P1923" i="3"/>
  <c r="Q1923" i="3"/>
  <c r="P1924" i="3"/>
  <c r="Q1924" i="3"/>
  <c r="P1925" i="3"/>
  <c r="Q1925" i="3"/>
  <c r="P1926" i="3"/>
  <c r="Q1926" i="3"/>
  <c r="P1927" i="3"/>
  <c r="Q1927" i="3"/>
  <c r="P1928" i="3"/>
  <c r="Q1928" i="3"/>
  <c r="P1929" i="3"/>
  <c r="Q1929" i="3"/>
  <c r="P1930" i="3"/>
  <c r="Q1930" i="3"/>
  <c r="P1931" i="3"/>
  <c r="Q1931" i="3"/>
  <c r="P1932" i="3"/>
  <c r="Q1932" i="3"/>
  <c r="P1933" i="3"/>
  <c r="Q1933" i="3"/>
  <c r="P1934" i="3"/>
  <c r="Q1934" i="3"/>
  <c r="P1935" i="3"/>
  <c r="Q1935" i="3"/>
  <c r="P1936" i="3"/>
  <c r="Q1936" i="3"/>
  <c r="P1937" i="3"/>
  <c r="Q1937" i="3"/>
  <c r="P1938" i="3"/>
  <c r="Q1938" i="3"/>
  <c r="P1939" i="3"/>
  <c r="Q1939" i="3"/>
  <c r="P1940" i="3"/>
  <c r="Q1940" i="3"/>
  <c r="P1941" i="3"/>
  <c r="Q1941" i="3"/>
  <c r="P1942" i="3"/>
  <c r="Q1942" i="3"/>
  <c r="P1943" i="3"/>
  <c r="Q1943" i="3"/>
  <c r="P1944" i="3"/>
  <c r="Q1944" i="3"/>
  <c r="P1945" i="3"/>
  <c r="Q1945" i="3"/>
  <c r="P1946" i="3"/>
  <c r="Q1946" i="3"/>
  <c r="P1947" i="3"/>
  <c r="Q1947" i="3"/>
  <c r="P1948" i="3"/>
  <c r="Q1948" i="3"/>
  <c r="P1949" i="3"/>
  <c r="Q1949" i="3"/>
  <c r="P1950" i="3"/>
  <c r="Q1950" i="3"/>
  <c r="P1951" i="3"/>
  <c r="Q1951" i="3"/>
  <c r="P1952" i="3"/>
  <c r="Q1952" i="3"/>
  <c r="P1953" i="3"/>
  <c r="Q1953" i="3"/>
  <c r="P1954" i="3"/>
  <c r="Q1954" i="3"/>
  <c r="P1955" i="3"/>
  <c r="Q1955" i="3"/>
  <c r="P1956" i="3"/>
  <c r="Q1956" i="3"/>
  <c r="P1957" i="3"/>
  <c r="Q1957" i="3"/>
  <c r="P1958" i="3"/>
  <c r="Q1958" i="3"/>
  <c r="P1959" i="3"/>
  <c r="Q1959" i="3"/>
  <c r="P1960" i="3"/>
  <c r="Q1960" i="3"/>
  <c r="P1961" i="3"/>
  <c r="Q1961" i="3"/>
  <c r="P1962" i="3"/>
  <c r="Q1962" i="3"/>
  <c r="P1963" i="3"/>
  <c r="Q1963" i="3"/>
  <c r="P1964" i="3"/>
  <c r="Q1964" i="3"/>
  <c r="P1965" i="3"/>
  <c r="Q1965" i="3"/>
  <c r="P1966" i="3"/>
  <c r="Q1966" i="3"/>
  <c r="P1967" i="3"/>
  <c r="Q1967" i="3"/>
  <c r="P1968" i="3"/>
  <c r="Q1968" i="3"/>
  <c r="P1969" i="3"/>
  <c r="Q1969" i="3"/>
  <c r="P1970" i="3"/>
  <c r="Q1970" i="3"/>
  <c r="P1971" i="3"/>
  <c r="Q1971" i="3"/>
  <c r="P1972" i="3"/>
  <c r="Q1972" i="3"/>
  <c r="P1973" i="3"/>
  <c r="Q1973" i="3"/>
  <c r="P1974" i="3"/>
  <c r="Q1974" i="3"/>
  <c r="P1975" i="3"/>
  <c r="Q1975" i="3"/>
  <c r="P1976" i="3"/>
  <c r="Q1976" i="3"/>
  <c r="P1977" i="3"/>
  <c r="Q1977" i="3"/>
  <c r="P1978" i="3"/>
  <c r="Q1978" i="3"/>
  <c r="P1979" i="3"/>
  <c r="Q1979" i="3"/>
  <c r="P1980" i="3"/>
  <c r="Q1980" i="3"/>
  <c r="P1981" i="3"/>
  <c r="Q1981" i="3"/>
  <c r="P1982" i="3"/>
  <c r="Q1982" i="3"/>
  <c r="P1983" i="3"/>
  <c r="Q1983" i="3"/>
  <c r="P1984" i="3"/>
  <c r="Q1984" i="3"/>
  <c r="P1985" i="3"/>
  <c r="Q1985" i="3"/>
  <c r="P1986" i="3"/>
  <c r="Q1986" i="3"/>
  <c r="P1987" i="3"/>
  <c r="Q1987" i="3"/>
  <c r="P1988" i="3"/>
  <c r="Q1988" i="3"/>
  <c r="P1989" i="3"/>
  <c r="Q1989" i="3"/>
  <c r="P1990" i="3"/>
  <c r="Q1990" i="3"/>
  <c r="P1991" i="3"/>
  <c r="Q1991" i="3"/>
  <c r="P1992" i="3"/>
  <c r="Q1992" i="3"/>
  <c r="P1993" i="3"/>
  <c r="Q1993" i="3"/>
  <c r="P1994" i="3"/>
  <c r="Q1994" i="3"/>
  <c r="P1995" i="3"/>
  <c r="Q1995" i="3"/>
  <c r="P1996" i="3"/>
  <c r="Q1996" i="3"/>
  <c r="P1997" i="3"/>
  <c r="Q1997" i="3"/>
  <c r="P1998" i="3"/>
  <c r="Q1998" i="3"/>
  <c r="P1999" i="3"/>
  <c r="Q1999" i="3"/>
  <c r="P2000" i="3"/>
  <c r="Q2000" i="3"/>
  <c r="P2001" i="3"/>
  <c r="Q2001" i="3"/>
  <c r="P2002" i="3"/>
  <c r="Q2002" i="3"/>
  <c r="P2003" i="3"/>
  <c r="Q2003" i="3"/>
  <c r="P2004" i="3"/>
  <c r="Q2004" i="3"/>
  <c r="P2005" i="3"/>
  <c r="Q2005" i="3"/>
  <c r="P2006" i="3"/>
  <c r="Q2006" i="3"/>
  <c r="P2007" i="3"/>
  <c r="Q2007" i="3"/>
  <c r="P2008" i="3"/>
  <c r="Q2008" i="3"/>
  <c r="P2009" i="3"/>
  <c r="Q2009" i="3"/>
  <c r="P2010" i="3"/>
  <c r="Q2010" i="3"/>
  <c r="P2011" i="3"/>
  <c r="Q2011" i="3"/>
  <c r="P2012" i="3"/>
  <c r="Q2012" i="3"/>
  <c r="P2013" i="3"/>
  <c r="Q2013" i="3"/>
  <c r="P2014" i="3"/>
  <c r="Q2014" i="3"/>
  <c r="P2015" i="3"/>
  <c r="Q2015" i="3"/>
  <c r="P2016" i="3"/>
  <c r="Q2016" i="3"/>
  <c r="P2017" i="3"/>
  <c r="Q2017" i="3"/>
  <c r="P2018" i="3"/>
  <c r="Q2018" i="3"/>
  <c r="P2019" i="3"/>
  <c r="Q2019" i="3"/>
  <c r="P2020" i="3"/>
  <c r="Q2020" i="3"/>
  <c r="P2021" i="3"/>
  <c r="Q2021" i="3"/>
  <c r="P2022" i="3"/>
  <c r="Q2022" i="3"/>
  <c r="P2023" i="3"/>
  <c r="Q2023" i="3"/>
  <c r="P2024" i="3"/>
  <c r="Q2024" i="3"/>
  <c r="P2025" i="3"/>
  <c r="Q2025" i="3"/>
  <c r="P2026" i="3"/>
  <c r="Q2026" i="3"/>
  <c r="P2027" i="3"/>
  <c r="Q2027" i="3"/>
  <c r="P2028" i="3"/>
  <c r="Q2028" i="3"/>
  <c r="P2029" i="3"/>
  <c r="Q2029" i="3"/>
  <c r="P2030" i="3"/>
  <c r="Q2030" i="3"/>
  <c r="P2031" i="3"/>
  <c r="Q2031" i="3"/>
  <c r="P2032" i="3"/>
  <c r="Q2032" i="3"/>
  <c r="P2033" i="3"/>
  <c r="Q2033" i="3"/>
  <c r="P2034" i="3"/>
  <c r="Q2034" i="3"/>
  <c r="P2035" i="3"/>
  <c r="Q2035" i="3"/>
  <c r="P2036" i="3"/>
  <c r="Q2036" i="3"/>
  <c r="P2037" i="3"/>
  <c r="Q2037" i="3"/>
  <c r="P2038" i="3"/>
  <c r="Q2038" i="3"/>
  <c r="P2039" i="3"/>
  <c r="Q2039" i="3"/>
  <c r="P2040" i="3"/>
  <c r="Q2040" i="3"/>
  <c r="P2041" i="3"/>
  <c r="Q2041" i="3"/>
  <c r="P2042" i="3"/>
  <c r="Q2042" i="3"/>
  <c r="P2043" i="3"/>
  <c r="Q2043" i="3"/>
  <c r="P2044" i="3"/>
  <c r="Q2044" i="3"/>
  <c r="P2045" i="3"/>
  <c r="Q2045" i="3"/>
  <c r="P2046" i="3"/>
  <c r="Q2046" i="3"/>
  <c r="P2047" i="3"/>
  <c r="Q2047" i="3"/>
  <c r="P2048" i="3"/>
  <c r="Q2048" i="3"/>
  <c r="P2049" i="3"/>
  <c r="Q2049" i="3"/>
  <c r="P2050" i="3"/>
  <c r="Q2050" i="3"/>
  <c r="P2051" i="3"/>
  <c r="Q2051" i="3"/>
  <c r="P2052" i="3"/>
  <c r="Q2052" i="3"/>
  <c r="P2053" i="3"/>
  <c r="Q2053" i="3"/>
  <c r="P2054" i="3"/>
  <c r="Q2054" i="3"/>
  <c r="P2055" i="3"/>
  <c r="Q2055" i="3"/>
  <c r="P2056" i="3"/>
  <c r="Q2056" i="3"/>
  <c r="P2057" i="3"/>
  <c r="Q2057" i="3"/>
  <c r="P2058" i="3"/>
  <c r="Q2058" i="3"/>
  <c r="P2059" i="3"/>
  <c r="Q2059" i="3"/>
  <c r="P2060" i="3"/>
  <c r="Q2060" i="3"/>
  <c r="P2061" i="3"/>
  <c r="Q2061" i="3"/>
  <c r="P2062" i="3"/>
  <c r="Q2062" i="3"/>
  <c r="P2063" i="3"/>
  <c r="Q2063" i="3"/>
  <c r="P2064" i="3"/>
  <c r="Q2064" i="3"/>
  <c r="P2065" i="3"/>
  <c r="Q2065" i="3"/>
  <c r="P2066" i="3"/>
  <c r="Q2066" i="3"/>
  <c r="P2067" i="3"/>
  <c r="Q2067" i="3"/>
  <c r="P2068" i="3"/>
  <c r="Q2068" i="3"/>
  <c r="P2069" i="3"/>
  <c r="Q2069" i="3"/>
  <c r="P2070" i="3"/>
  <c r="Q2070" i="3"/>
  <c r="P2071" i="3"/>
  <c r="Q2071" i="3"/>
  <c r="P2072" i="3"/>
  <c r="Q2072" i="3"/>
  <c r="P2073" i="3"/>
  <c r="Q2073" i="3"/>
  <c r="P2074" i="3"/>
  <c r="Q2074" i="3"/>
  <c r="P2075" i="3"/>
  <c r="Q2075" i="3"/>
  <c r="P2076" i="3"/>
  <c r="Q2076" i="3"/>
  <c r="P2077" i="3"/>
  <c r="Q2077" i="3"/>
  <c r="P2078" i="3"/>
  <c r="Q2078" i="3"/>
  <c r="P2079" i="3"/>
  <c r="Q2079" i="3"/>
  <c r="P2080" i="3"/>
  <c r="Q2080" i="3"/>
  <c r="P2081" i="3"/>
  <c r="Q2081" i="3"/>
  <c r="P2082" i="3"/>
  <c r="Q2082" i="3"/>
  <c r="P2083" i="3"/>
  <c r="Q2083" i="3"/>
  <c r="P2084" i="3"/>
  <c r="Q2084" i="3"/>
  <c r="P2085" i="3"/>
  <c r="Q2085" i="3"/>
  <c r="P2086" i="3"/>
  <c r="Q2086" i="3"/>
  <c r="P2087" i="3"/>
  <c r="Q2087" i="3"/>
  <c r="P2088" i="3"/>
  <c r="Q2088" i="3"/>
  <c r="P2089" i="3"/>
  <c r="Q2089" i="3"/>
  <c r="P2090" i="3"/>
  <c r="Q2090" i="3"/>
  <c r="P2091" i="3"/>
  <c r="Q2091" i="3"/>
  <c r="P2092" i="3"/>
  <c r="Q2092" i="3"/>
  <c r="P2093" i="3"/>
  <c r="Q2093" i="3"/>
  <c r="P2094" i="3"/>
  <c r="Q2094" i="3"/>
  <c r="P2095" i="3"/>
  <c r="Q2095" i="3"/>
  <c r="P2096" i="3"/>
  <c r="Q2096" i="3"/>
  <c r="P2097" i="3"/>
  <c r="Q2097" i="3"/>
  <c r="P2098" i="3"/>
  <c r="Q2098" i="3"/>
  <c r="P2099" i="3"/>
  <c r="Q2099" i="3"/>
  <c r="P2100" i="3"/>
  <c r="Q2100" i="3"/>
  <c r="P2101" i="3"/>
  <c r="Q2101" i="3"/>
  <c r="P2102" i="3"/>
  <c r="Q2102" i="3"/>
  <c r="P2103" i="3"/>
  <c r="Q2103" i="3"/>
  <c r="P2104" i="3"/>
  <c r="Q2104" i="3"/>
  <c r="P2105" i="3"/>
  <c r="Q2105" i="3"/>
  <c r="P2106" i="3"/>
  <c r="Q2106" i="3"/>
  <c r="P2107" i="3"/>
  <c r="Q2107" i="3"/>
  <c r="P2108" i="3"/>
  <c r="Q2108" i="3"/>
  <c r="P2109" i="3"/>
  <c r="Q2109" i="3"/>
  <c r="P2110" i="3"/>
  <c r="Q2110" i="3"/>
  <c r="P2111" i="3"/>
  <c r="Q2111" i="3"/>
  <c r="P2112" i="3"/>
  <c r="Q2112" i="3"/>
  <c r="P2113" i="3"/>
  <c r="Q2113" i="3"/>
  <c r="P2114" i="3"/>
  <c r="Q2114" i="3"/>
  <c r="P2115" i="3"/>
  <c r="Q2115" i="3"/>
  <c r="P2116" i="3"/>
  <c r="Q2116" i="3"/>
  <c r="P2117" i="3"/>
  <c r="Q2117" i="3"/>
  <c r="P2118" i="3"/>
  <c r="Q2118" i="3"/>
  <c r="P2119" i="3"/>
  <c r="Q2119" i="3"/>
  <c r="P2120" i="3"/>
  <c r="Q2120" i="3"/>
  <c r="P2121" i="3"/>
  <c r="Q2121" i="3"/>
  <c r="P2122" i="3"/>
  <c r="Q2122" i="3"/>
  <c r="P2123" i="3"/>
  <c r="Q2123" i="3"/>
  <c r="P2124" i="3"/>
  <c r="Q2124" i="3"/>
  <c r="P2125" i="3"/>
  <c r="Q2125" i="3"/>
  <c r="P2126" i="3"/>
  <c r="Q2126" i="3"/>
  <c r="P2127" i="3"/>
  <c r="Q2127" i="3"/>
  <c r="P2128" i="3"/>
  <c r="Q2128" i="3"/>
  <c r="P2129" i="3"/>
  <c r="Q2129" i="3"/>
  <c r="P2130" i="3"/>
  <c r="Q2130" i="3"/>
  <c r="P2131" i="3"/>
  <c r="Q2131" i="3"/>
  <c r="P2132" i="3"/>
  <c r="Q2132" i="3"/>
  <c r="P2133" i="3"/>
  <c r="Q2133" i="3"/>
  <c r="P2134" i="3"/>
  <c r="Q2134" i="3"/>
  <c r="P2135" i="3"/>
  <c r="Q2135" i="3"/>
  <c r="P2136" i="3"/>
  <c r="Q2136" i="3"/>
  <c r="P2137" i="3"/>
  <c r="Q2137" i="3"/>
  <c r="P2138" i="3"/>
  <c r="Q2138" i="3"/>
  <c r="P2139" i="3"/>
  <c r="Q2139" i="3"/>
  <c r="P2140" i="3"/>
  <c r="Q2140" i="3"/>
  <c r="P2141" i="3"/>
  <c r="Q2141" i="3"/>
  <c r="P2142" i="3"/>
  <c r="Q2142" i="3"/>
  <c r="P2143" i="3"/>
  <c r="Q2143" i="3"/>
  <c r="P2144" i="3"/>
  <c r="Q2144" i="3"/>
  <c r="P2145" i="3"/>
  <c r="Q2145" i="3"/>
  <c r="P2146" i="3"/>
  <c r="Q2146" i="3"/>
  <c r="P2147" i="3"/>
  <c r="Q2147" i="3"/>
  <c r="P2148" i="3"/>
  <c r="Q2148" i="3"/>
  <c r="P2149" i="3"/>
  <c r="Q2149" i="3"/>
  <c r="P2150" i="3"/>
  <c r="Q2150" i="3"/>
  <c r="P2151" i="3"/>
  <c r="Q2151" i="3"/>
  <c r="P2152" i="3"/>
  <c r="Q2152" i="3"/>
  <c r="P2153" i="3"/>
  <c r="Q2153" i="3"/>
  <c r="P2154" i="3"/>
  <c r="Q2154" i="3"/>
  <c r="P2155" i="3"/>
  <c r="Q2155" i="3"/>
  <c r="P2156" i="3"/>
  <c r="Q2156" i="3"/>
  <c r="P2157" i="3"/>
  <c r="Q2157" i="3"/>
  <c r="P2158" i="3"/>
  <c r="Q2158" i="3"/>
  <c r="P2159" i="3"/>
  <c r="Q2159" i="3"/>
  <c r="P2160" i="3"/>
  <c r="Q2160" i="3"/>
  <c r="P2161" i="3"/>
  <c r="Q2161" i="3"/>
  <c r="P2162" i="3"/>
  <c r="Q2162" i="3"/>
  <c r="P2163" i="3"/>
  <c r="Q2163" i="3"/>
  <c r="P2164" i="3"/>
  <c r="Q2164" i="3"/>
  <c r="P2165" i="3"/>
  <c r="Q2165" i="3"/>
  <c r="P2166" i="3"/>
  <c r="Q2166" i="3"/>
  <c r="P2167" i="3"/>
  <c r="Q2167" i="3"/>
  <c r="P2168" i="3"/>
  <c r="Q2168" i="3"/>
  <c r="P2169" i="3"/>
  <c r="Q2169" i="3"/>
  <c r="P2170" i="3"/>
  <c r="Q2170" i="3"/>
  <c r="P2171" i="3"/>
  <c r="Q2171" i="3"/>
  <c r="P2172" i="3"/>
  <c r="Q2172" i="3"/>
  <c r="P2173" i="3"/>
  <c r="Q2173" i="3"/>
  <c r="P2174" i="3"/>
  <c r="Q2174" i="3"/>
  <c r="P2175" i="3"/>
  <c r="Q2175" i="3"/>
  <c r="P2176" i="3"/>
  <c r="Q2176" i="3"/>
  <c r="P2177" i="3"/>
  <c r="Q2177" i="3"/>
  <c r="P2178" i="3"/>
  <c r="Q2178" i="3"/>
  <c r="P2179" i="3"/>
  <c r="Q2179" i="3"/>
  <c r="P2180" i="3"/>
  <c r="Q2180" i="3"/>
  <c r="P2181" i="3"/>
  <c r="Q2181" i="3"/>
  <c r="P2182" i="3"/>
  <c r="Q2182" i="3"/>
  <c r="P2183" i="3"/>
  <c r="Q2183" i="3"/>
  <c r="P2184" i="3"/>
  <c r="Q2184" i="3"/>
  <c r="P2185" i="3"/>
  <c r="Q2185" i="3"/>
  <c r="P2186" i="3"/>
  <c r="Q2186" i="3"/>
  <c r="P2187" i="3"/>
  <c r="Q2187" i="3"/>
  <c r="P2188" i="3"/>
  <c r="Q2188" i="3"/>
  <c r="P2189" i="3"/>
  <c r="Q2189" i="3"/>
  <c r="P2190" i="3"/>
  <c r="Q2190" i="3"/>
  <c r="P2191" i="3"/>
  <c r="Q2191" i="3"/>
  <c r="P2192" i="3"/>
  <c r="Q2192" i="3"/>
  <c r="P2193" i="3"/>
  <c r="Q2193" i="3"/>
  <c r="P2194" i="3"/>
  <c r="Q2194" i="3"/>
  <c r="P2195" i="3"/>
  <c r="Q2195" i="3"/>
  <c r="P2196" i="3"/>
  <c r="Q2196" i="3"/>
  <c r="P2197" i="3"/>
  <c r="Q2197" i="3"/>
  <c r="P2198" i="3"/>
  <c r="Q2198" i="3"/>
  <c r="P2199" i="3"/>
  <c r="Q2199" i="3"/>
  <c r="P2200" i="3"/>
  <c r="Q2200" i="3"/>
  <c r="P2201" i="3"/>
  <c r="Q2201" i="3"/>
  <c r="P2202" i="3"/>
  <c r="Q2202" i="3"/>
  <c r="P2203" i="3"/>
  <c r="Q2203" i="3"/>
  <c r="P2204" i="3"/>
  <c r="Q2204" i="3"/>
  <c r="P2205" i="3"/>
  <c r="Q2205" i="3"/>
  <c r="P2206" i="3"/>
  <c r="Q2206" i="3"/>
  <c r="P2207" i="3"/>
  <c r="Q2207" i="3"/>
  <c r="P2208" i="3"/>
  <c r="Q2208" i="3"/>
  <c r="P2209" i="3"/>
  <c r="Q2209" i="3"/>
  <c r="P2210" i="3"/>
  <c r="Q2210" i="3"/>
  <c r="P2211" i="3"/>
  <c r="Q2211" i="3"/>
  <c r="P2212" i="3"/>
  <c r="Q2212" i="3"/>
  <c r="P2213" i="3"/>
  <c r="Q2213" i="3"/>
  <c r="P2214" i="3"/>
  <c r="Q2214" i="3"/>
  <c r="P2215" i="3"/>
  <c r="Q2215" i="3"/>
  <c r="P2216" i="3"/>
  <c r="Q2216" i="3"/>
  <c r="P2217" i="3"/>
  <c r="Q2217" i="3"/>
  <c r="P2218" i="3"/>
  <c r="Q2218" i="3"/>
  <c r="P2219" i="3"/>
  <c r="Q2219" i="3"/>
  <c r="P2220" i="3"/>
  <c r="Q2220" i="3"/>
  <c r="P2221" i="3"/>
  <c r="Q2221" i="3"/>
  <c r="P2222" i="3"/>
  <c r="Q2222" i="3"/>
  <c r="P2223" i="3"/>
  <c r="Q2223" i="3"/>
  <c r="P2224" i="3"/>
  <c r="Q2224" i="3"/>
  <c r="P2225" i="3"/>
  <c r="Q2225" i="3"/>
  <c r="P2226" i="3"/>
  <c r="Q2226" i="3"/>
  <c r="P2227" i="3"/>
  <c r="Q2227" i="3"/>
  <c r="P2228" i="3"/>
  <c r="Q2228" i="3"/>
  <c r="P2229" i="3"/>
  <c r="Q2229" i="3"/>
  <c r="P2230" i="3"/>
  <c r="Q2230" i="3"/>
  <c r="P2231" i="3"/>
  <c r="Q2231" i="3"/>
  <c r="P2232" i="3"/>
  <c r="Q2232" i="3"/>
  <c r="P2233" i="3"/>
  <c r="Q2233" i="3"/>
  <c r="P2234" i="3"/>
  <c r="Q2234" i="3"/>
  <c r="P2235" i="3"/>
  <c r="Q2235" i="3"/>
  <c r="P2236" i="3"/>
  <c r="Q2236" i="3"/>
  <c r="P2237" i="3"/>
  <c r="Q2237" i="3"/>
  <c r="P2238" i="3"/>
  <c r="Q2238" i="3"/>
  <c r="P2239" i="3"/>
  <c r="Q2239" i="3"/>
  <c r="P2240" i="3"/>
  <c r="Q2240" i="3"/>
  <c r="P2241" i="3"/>
  <c r="Q2241" i="3"/>
  <c r="P2242" i="3"/>
  <c r="Q2242" i="3"/>
  <c r="P2243" i="3"/>
  <c r="Q2243" i="3"/>
  <c r="P2244" i="3"/>
  <c r="Q2244" i="3"/>
  <c r="P2245" i="3"/>
  <c r="Q2245" i="3"/>
  <c r="P2246" i="3"/>
  <c r="Q2246" i="3"/>
  <c r="P2247" i="3"/>
  <c r="Q2247" i="3"/>
  <c r="P2248" i="3"/>
  <c r="Q2248" i="3"/>
  <c r="P2249" i="3"/>
  <c r="Q2249" i="3"/>
  <c r="P2250" i="3"/>
  <c r="Q2250" i="3"/>
  <c r="P2251" i="3"/>
  <c r="Q2251" i="3"/>
  <c r="P2252" i="3"/>
  <c r="Q2252" i="3"/>
  <c r="P2253" i="3"/>
  <c r="Q2253" i="3"/>
  <c r="P2254" i="3"/>
  <c r="Q2254" i="3"/>
  <c r="P2255" i="3"/>
  <c r="Q2255" i="3"/>
  <c r="P2256" i="3"/>
  <c r="Q2256" i="3"/>
  <c r="P2257" i="3"/>
  <c r="Q2257" i="3"/>
  <c r="P2258" i="3"/>
  <c r="Q2258" i="3"/>
  <c r="P2259" i="3"/>
  <c r="Q2259" i="3"/>
  <c r="P2260" i="3"/>
  <c r="Q2260" i="3"/>
  <c r="P2261" i="3"/>
  <c r="Q2261" i="3"/>
  <c r="P2262" i="3"/>
  <c r="Q2262" i="3"/>
  <c r="P2263" i="3"/>
  <c r="Q2263" i="3"/>
  <c r="P2264" i="3"/>
  <c r="Q2264" i="3"/>
  <c r="P2265" i="3"/>
  <c r="Q2265" i="3"/>
  <c r="P2266" i="3"/>
  <c r="Q2266" i="3"/>
  <c r="P2267" i="3"/>
  <c r="Q2267" i="3"/>
  <c r="P2268" i="3"/>
  <c r="Q2268" i="3"/>
  <c r="P2269" i="3"/>
  <c r="Q2269" i="3"/>
  <c r="P2270" i="3"/>
  <c r="Q2270" i="3"/>
  <c r="P2271" i="3"/>
  <c r="Q2271" i="3"/>
  <c r="P2272" i="3"/>
  <c r="Q2272" i="3"/>
  <c r="P2273" i="3"/>
  <c r="Q2273" i="3"/>
  <c r="P2274" i="3"/>
  <c r="Q2274" i="3"/>
  <c r="P2275" i="3"/>
  <c r="Q2275" i="3"/>
  <c r="P2276" i="3"/>
  <c r="Q2276" i="3"/>
  <c r="P2277" i="3"/>
  <c r="Q2277" i="3"/>
  <c r="P2278" i="3"/>
  <c r="Q2278" i="3"/>
  <c r="P2279" i="3"/>
  <c r="Q2279" i="3"/>
  <c r="P2280" i="3"/>
  <c r="Q2280" i="3"/>
  <c r="P2281" i="3"/>
  <c r="Q2281" i="3"/>
  <c r="P2282" i="3"/>
  <c r="Q2282" i="3"/>
  <c r="P2283" i="3"/>
  <c r="Q2283" i="3"/>
  <c r="P2284" i="3"/>
  <c r="Q2284" i="3"/>
  <c r="P2285" i="3"/>
  <c r="Q2285" i="3"/>
  <c r="P2286" i="3"/>
  <c r="Q2286" i="3"/>
  <c r="P2287" i="3"/>
  <c r="Q2287" i="3"/>
  <c r="P2288" i="3"/>
  <c r="Q2288" i="3"/>
  <c r="P2289" i="3"/>
  <c r="Q2289" i="3"/>
  <c r="P2290" i="3"/>
  <c r="Q2290" i="3"/>
  <c r="P2291" i="3"/>
  <c r="Q2291" i="3"/>
  <c r="P2292" i="3"/>
  <c r="Q2292" i="3"/>
  <c r="P2293" i="3"/>
  <c r="Q2293" i="3"/>
  <c r="P2294" i="3"/>
  <c r="Q2294" i="3"/>
  <c r="P2295" i="3"/>
  <c r="Q2295" i="3"/>
  <c r="P2296" i="3"/>
  <c r="Q2296" i="3"/>
  <c r="P2297" i="3"/>
  <c r="Q2297" i="3"/>
  <c r="P2298" i="3"/>
  <c r="Q2298" i="3"/>
  <c r="P2299" i="3"/>
  <c r="Q2299" i="3"/>
  <c r="P2300" i="3"/>
  <c r="Q2300" i="3"/>
  <c r="P2301" i="3"/>
  <c r="Q2301" i="3"/>
  <c r="P2302" i="3"/>
  <c r="Q2302" i="3"/>
  <c r="P2303" i="3"/>
  <c r="Q2303" i="3"/>
  <c r="P2304" i="3"/>
  <c r="Q2304" i="3"/>
  <c r="P2305" i="3"/>
  <c r="Q2305" i="3"/>
  <c r="P2306" i="3"/>
  <c r="Q2306" i="3"/>
  <c r="P2307" i="3"/>
  <c r="Q2307" i="3"/>
  <c r="P2308" i="3"/>
  <c r="Q2308" i="3"/>
  <c r="P2309" i="3"/>
  <c r="Q2309" i="3"/>
  <c r="P2310" i="3"/>
  <c r="Q2310" i="3"/>
  <c r="P2311" i="3"/>
  <c r="Q2311" i="3"/>
  <c r="P2312" i="3"/>
  <c r="Q2312" i="3"/>
  <c r="P2313" i="3"/>
  <c r="Q2313" i="3"/>
  <c r="P2314" i="3"/>
  <c r="Q2314" i="3"/>
  <c r="P2315" i="3"/>
  <c r="Q2315" i="3"/>
  <c r="P2316" i="3"/>
  <c r="Q2316" i="3"/>
  <c r="P2317" i="3"/>
  <c r="Q2317" i="3"/>
  <c r="P2318" i="3"/>
  <c r="Q2318" i="3"/>
  <c r="P2319" i="3"/>
  <c r="Q2319" i="3"/>
  <c r="P2320" i="3"/>
  <c r="Q2320" i="3"/>
  <c r="P2321" i="3"/>
  <c r="Q2321" i="3"/>
  <c r="P2322" i="3"/>
  <c r="Q2322" i="3"/>
  <c r="P2323" i="3"/>
  <c r="Q2323" i="3"/>
  <c r="P2324" i="3"/>
  <c r="Q2324" i="3"/>
  <c r="P2325" i="3"/>
  <c r="Q2325" i="3"/>
  <c r="P2326" i="3"/>
  <c r="Q2326" i="3"/>
  <c r="P2327" i="3"/>
  <c r="Q2327" i="3"/>
  <c r="P2328" i="3"/>
  <c r="Q2328" i="3"/>
  <c r="P2329" i="3"/>
  <c r="Q2329" i="3"/>
  <c r="P2330" i="3"/>
  <c r="Q2330" i="3"/>
  <c r="P2331" i="3"/>
  <c r="Q2331" i="3"/>
  <c r="P2332" i="3"/>
  <c r="Q2332" i="3"/>
  <c r="P2333" i="3"/>
  <c r="Q2333" i="3"/>
  <c r="P2334" i="3"/>
  <c r="Q2334" i="3"/>
  <c r="P2335" i="3"/>
  <c r="Q2335" i="3"/>
  <c r="P2336" i="3"/>
  <c r="Q2336" i="3"/>
  <c r="P2337" i="3"/>
  <c r="Q2337" i="3"/>
  <c r="P2338" i="3"/>
  <c r="Q2338" i="3"/>
  <c r="P2339" i="3"/>
  <c r="Q2339" i="3"/>
  <c r="P2340" i="3"/>
  <c r="Q2340" i="3"/>
  <c r="P2341" i="3"/>
  <c r="Q2341" i="3"/>
  <c r="P2342" i="3"/>
  <c r="Q2342" i="3"/>
  <c r="P2343" i="3"/>
  <c r="Q2343" i="3"/>
  <c r="P2344" i="3"/>
  <c r="Q2344" i="3"/>
  <c r="P2345" i="3"/>
  <c r="Q2345" i="3"/>
  <c r="P2346" i="3"/>
  <c r="Q2346" i="3"/>
  <c r="P2347" i="3"/>
  <c r="Q2347" i="3"/>
  <c r="P2348" i="3"/>
  <c r="Q2348" i="3"/>
  <c r="P2349" i="3"/>
  <c r="Q2349" i="3"/>
  <c r="P2350" i="3"/>
  <c r="Q2350" i="3"/>
  <c r="P2351" i="3"/>
  <c r="Q2351" i="3"/>
  <c r="P2352" i="3"/>
  <c r="Q2352" i="3"/>
  <c r="P2353" i="3"/>
  <c r="Q2353" i="3"/>
  <c r="P2354" i="3"/>
  <c r="Q2354" i="3"/>
  <c r="P2355" i="3"/>
  <c r="Q2355" i="3"/>
  <c r="P2356" i="3"/>
  <c r="Q2356" i="3"/>
  <c r="P2357" i="3"/>
  <c r="Q2357" i="3"/>
  <c r="P2358" i="3"/>
  <c r="Q2358" i="3"/>
  <c r="P2359" i="3"/>
  <c r="Q2359" i="3"/>
  <c r="P2360" i="3"/>
  <c r="Q2360" i="3"/>
  <c r="P2361" i="3"/>
  <c r="Q2361" i="3"/>
  <c r="P2362" i="3"/>
  <c r="Q2362" i="3"/>
  <c r="P2363" i="3"/>
  <c r="Q2363" i="3"/>
  <c r="P2364" i="3"/>
  <c r="Q2364" i="3"/>
  <c r="P2365" i="3"/>
  <c r="Q2365" i="3"/>
  <c r="P2366" i="3"/>
  <c r="Q2366" i="3"/>
  <c r="P2367" i="3"/>
  <c r="Q2367" i="3"/>
  <c r="P2368" i="3"/>
  <c r="Q2368" i="3"/>
  <c r="P2369" i="3"/>
  <c r="Q2369" i="3"/>
  <c r="P2370" i="3"/>
  <c r="Q2370" i="3"/>
  <c r="P2371" i="3"/>
  <c r="Q2371" i="3"/>
  <c r="P2372" i="3"/>
  <c r="Q2372" i="3"/>
  <c r="P2373" i="3"/>
  <c r="Q2373" i="3"/>
  <c r="P2374" i="3"/>
  <c r="Q2374" i="3"/>
  <c r="P2375" i="3"/>
  <c r="Q2375" i="3"/>
  <c r="P2376" i="3"/>
  <c r="Q2376" i="3"/>
  <c r="P2377" i="3"/>
  <c r="Q2377" i="3"/>
  <c r="P2378" i="3"/>
  <c r="Q2378" i="3"/>
  <c r="P2379" i="3"/>
  <c r="Q2379" i="3"/>
  <c r="P2380" i="3"/>
  <c r="Q2380" i="3"/>
  <c r="P2381" i="3"/>
  <c r="Q2381" i="3"/>
  <c r="P2382" i="3"/>
  <c r="Q2382" i="3"/>
  <c r="P2383" i="3"/>
  <c r="Q2383" i="3"/>
  <c r="P2384" i="3"/>
  <c r="Q2384" i="3"/>
  <c r="P2385" i="3"/>
  <c r="Q2385" i="3"/>
  <c r="P2386" i="3"/>
  <c r="Q2386" i="3"/>
  <c r="P2387" i="3"/>
  <c r="Q2387" i="3"/>
  <c r="P2388" i="3"/>
  <c r="Q2388" i="3"/>
  <c r="P2389" i="3"/>
  <c r="Q2389" i="3"/>
  <c r="P2390" i="3"/>
  <c r="Q2390" i="3"/>
  <c r="P2391" i="3"/>
  <c r="Q2391" i="3"/>
  <c r="P2392" i="3"/>
  <c r="Q2392" i="3"/>
  <c r="P2393" i="3"/>
  <c r="Q2393" i="3"/>
  <c r="P2394" i="3"/>
  <c r="Q2394" i="3"/>
  <c r="P2395" i="3"/>
  <c r="Q2395" i="3"/>
  <c r="P2396" i="3"/>
  <c r="Q2396" i="3"/>
  <c r="P2397" i="3"/>
  <c r="Q2397" i="3"/>
  <c r="P2398" i="3"/>
  <c r="Q2398" i="3"/>
  <c r="P2399" i="3"/>
  <c r="Q2399" i="3"/>
  <c r="P2400" i="3"/>
  <c r="Q2400" i="3"/>
  <c r="P2401" i="3"/>
  <c r="Q2401" i="3"/>
  <c r="P2402" i="3"/>
  <c r="Q2402" i="3"/>
  <c r="P2403" i="3"/>
  <c r="Q2403" i="3"/>
  <c r="P2404" i="3"/>
  <c r="Q2404" i="3"/>
  <c r="P2405" i="3"/>
  <c r="Q2405" i="3"/>
  <c r="P2406" i="3"/>
  <c r="Q2406" i="3"/>
  <c r="P2407" i="3"/>
  <c r="Q2407" i="3"/>
  <c r="P2408" i="3"/>
  <c r="Q2408" i="3"/>
  <c r="P2409" i="3"/>
  <c r="Q2409" i="3"/>
  <c r="P2410" i="3"/>
  <c r="Q2410" i="3"/>
  <c r="P2411" i="3"/>
  <c r="Q2411" i="3"/>
  <c r="P2412" i="3"/>
  <c r="Q2412" i="3"/>
  <c r="P2413" i="3"/>
  <c r="Q2413" i="3"/>
  <c r="P2414" i="3"/>
  <c r="Q2414" i="3"/>
  <c r="P2415" i="3"/>
  <c r="Q2415" i="3"/>
  <c r="P2416" i="3"/>
  <c r="Q2416" i="3"/>
  <c r="P2417" i="3"/>
  <c r="Q2417" i="3"/>
  <c r="P2418" i="3"/>
  <c r="Q2418" i="3"/>
  <c r="P2419" i="3"/>
  <c r="Q2419" i="3"/>
  <c r="P2420" i="3"/>
  <c r="Q2420" i="3"/>
  <c r="P2421" i="3"/>
  <c r="Q2421" i="3"/>
  <c r="P2422" i="3"/>
  <c r="Q2422" i="3"/>
  <c r="P2423" i="3"/>
  <c r="Q2423" i="3"/>
  <c r="P2424" i="3"/>
  <c r="Q2424" i="3"/>
  <c r="P2425" i="3"/>
  <c r="Q2425" i="3"/>
  <c r="P2426" i="3"/>
  <c r="Q2426" i="3"/>
  <c r="P2427" i="3"/>
  <c r="Q2427" i="3"/>
  <c r="P2428" i="3"/>
  <c r="Q2428" i="3"/>
  <c r="P2429" i="3"/>
  <c r="Q2429" i="3"/>
  <c r="P2430" i="3"/>
  <c r="Q2430" i="3"/>
  <c r="P2431" i="3"/>
  <c r="Q2431" i="3"/>
  <c r="P2432" i="3"/>
  <c r="Q2432" i="3"/>
  <c r="P2433" i="3"/>
  <c r="Q2433" i="3"/>
  <c r="P2434" i="3"/>
  <c r="Q2434" i="3"/>
  <c r="P2435" i="3"/>
  <c r="Q2435" i="3"/>
  <c r="P2436" i="3"/>
  <c r="Q2436" i="3"/>
  <c r="P2437" i="3"/>
  <c r="Q2437" i="3"/>
  <c r="P2438" i="3"/>
  <c r="Q2438" i="3"/>
  <c r="P2439" i="3"/>
  <c r="Q2439" i="3"/>
  <c r="P2440" i="3"/>
  <c r="Q2440" i="3"/>
  <c r="P2441" i="3"/>
  <c r="Q2441" i="3"/>
  <c r="P2442" i="3"/>
  <c r="Q2442" i="3"/>
  <c r="P2443" i="3"/>
  <c r="Q2443" i="3"/>
  <c r="P2444" i="3"/>
  <c r="Q2444" i="3"/>
  <c r="P2445" i="3"/>
  <c r="Q2445" i="3"/>
  <c r="P2446" i="3"/>
  <c r="Q2446" i="3"/>
  <c r="P2447" i="3"/>
  <c r="Q2447" i="3"/>
  <c r="P2448" i="3"/>
  <c r="Q2448" i="3"/>
  <c r="P2449" i="3"/>
  <c r="Q2449" i="3"/>
  <c r="P2450" i="3"/>
  <c r="Q2450" i="3"/>
  <c r="P2451" i="3"/>
  <c r="Q2451" i="3"/>
  <c r="P2452" i="3"/>
  <c r="Q2452" i="3"/>
  <c r="P2453" i="3"/>
  <c r="Q2453" i="3"/>
  <c r="P2454" i="3"/>
  <c r="Q2454" i="3"/>
  <c r="P2455" i="3"/>
  <c r="Q2455" i="3"/>
  <c r="P2456" i="3"/>
  <c r="Q2456" i="3"/>
  <c r="P2457" i="3"/>
  <c r="Q2457" i="3"/>
  <c r="P2458" i="3"/>
  <c r="Q2458" i="3"/>
  <c r="P2459" i="3"/>
  <c r="Q2459" i="3"/>
  <c r="P2460" i="3"/>
  <c r="Q2460" i="3"/>
  <c r="P2461" i="3"/>
  <c r="Q2461" i="3"/>
  <c r="P2462" i="3"/>
  <c r="Q2462" i="3"/>
  <c r="P2463" i="3"/>
  <c r="Q2463" i="3"/>
  <c r="P2464" i="3"/>
  <c r="Q2464" i="3"/>
  <c r="P2465" i="3"/>
  <c r="Q2465" i="3"/>
  <c r="P2466" i="3"/>
  <c r="Q2466" i="3"/>
  <c r="P2467" i="3"/>
  <c r="Q2467" i="3"/>
  <c r="P2468" i="3"/>
  <c r="Q2468" i="3"/>
  <c r="P2469" i="3"/>
  <c r="Q2469" i="3"/>
  <c r="P2470" i="3"/>
  <c r="Q2470" i="3"/>
  <c r="P2471" i="3"/>
  <c r="Q2471" i="3"/>
  <c r="P2472" i="3"/>
  <c r="Q2472" i="3"/>
  <c r="P2473" i="3"/>
  <c r="Q2473" i="3"/>
  <c r="P2474" i="3"/>
  <c r="Q2474" i="3"/>
  <c r="P2475" i="3"/>
  <c r="Q2475" i="3"/>
  <c r="P2476" i="3"/>
  <c r="Q2476" i="3"/>
  <c r="P2477" i="3"/>
  <c r="Q2477" i="3"/>
  <c r="P2478" i="3"/>
  <c r="Q2478" i="3"/>
  <c r="P2479" i="3"/>
  <c r="Q2479" i="3"/>
  <c r="P2480" i="3"/>
  <c r="Q2480" i="3"/>
  <c r="P2481" i="3"/>
  <c r="Q2481" i="3"/>
  <c r="P2482" i="3"/>
  <c r="Q2482" i="3"/>
  <c r="P2483" i="3"/>
  <c r="Q2483" i="3"/>
  <c r="P2484" i="3"/>
  <c r="Q2484" i="3"/>
  <c r="P2485" i="3"/>
  <c r="Q2485" i="3"/>
  <c r="P2486" i="3"/>
  <c r="Q2486" i="3"/>
  <c r="P2487" i="3"/>
  <c r="Q2487" i="3"/>
  <c r="P2488" i="3"/>
  <c r="Q2488" i="3"/>
  <c r="P2489" i="3"/>
  <c r="Q2489" i="3"/>
  <c r="P2490" i="3"/>
  <c r="Q2490" i="3"/>
  <c r="P2491" i="3"/>
  <c r="Q2491" i="3"/>
  <c r="P2492" i="3"/>
  <c r="Q2492" i="3"/>
  <c r="P2493" i="3"/>
  <c r="Q2493" i="3"/>
  <c r="P2494" i="3"/>
  <c r="Q2494" i="3"/>
  <c r="P2495" i="3"/>
  <c r="Q2495" i="3"/>
  <c r="P2496" i="3"/>
  <c r="Q2496" i="3"/>
  <c r="P2497" i="3"/>
  <c r="Q2497" i="3"/>
  <c r="P2498" i="3"/>
  <c r="Q2498" i="3"/>
  <c r="P2499" i="3"/>
  <c r="Q2499" i="3"/>
  <c r="P2500" i="3"/>
  <c r="Q2500" i="3"/>
  <c r="P2501" i="3"/>
  <c r="Q2501" i="3"/>
  <c r="P2502" i="3"/>
  <c r="Q2502" i="3"/>
  <c r="P2503" i="3"/>
  <c r="Q2503" i="3"/>
  <c r="P2504" i="3"/>
  <c r="Q2504" i="3"/>
  <c r="P2505" i="3"/>
  <c r="Q2505" i="3"/>
  <c r="P2506" i="3"/>
  <c r="Q2506" i="3"/>
  <c r="P2507" i="3"/>
  <c r="Q2507" i="3"/>
  <c r="P2508" i="3"/>
  <c r="Q2508" i="3"/>
  <c r="P2509" i="3"/>
  <c r="Q2509" i="3"/>
  <c r="P2510" i="3"/>
  <c r="Q2510" i="3"/>
  <c r="P2511" i="3"/>
  <c r="Q2511" i="3"/>
  <c r="P2512" i="3"/>
  <c r="Q2512" i="3"/>
  <c r="P2513" i="3"/>
  <c r="Q2513" i="3"/>
  <c r="P2514" i="3"/>
  <c r="Q2514" i="3"/>
  <c r="P2515" i="3"/>
  <c r="Q2515" i="3"/>
  <c r="P2516" i="3"/>
  <c r="Q2516" i="3"/>
  <c r="P2517" i="3"/>
  <c r="Q2517" i="3"/>
  <c r="P2518" i="3"/>
  <c r="Q2518" i="3"/>
  <c r="P2519" i="3"/>
  <c r="Q2519" i="3"/>
  <c r="P2520" i="3"/>
  <c r="Q2520" i="3"/>
  <c r="P2521" i="3"/>
  <c r="Q2521" i="3"/>
  <c r="P2522" i="3"/>
  <c r="Q2522" i="3"/>
  <c r="P2523" i="3"/>
  <c r="Q2523" i="3"/>
  <c r="P2524" i="3"/>
  <c r="Q2524" i="3"/>
  <c r="P2525" i="3"/>
  <c r="Q2525" i="3"/>
  <c r="P2526" i="3"/>
  <c r="Q2526" i="3"/>
  <c r="P2527" i="3"/>
  <c r="Q2527" i="3"/>
  <c r="P2528" i="3"/>
  <c r="Q2528" i="3"/>
  <c r="C32" i="5"/>
  <c r="C23" i="5"/>
  <c r="C24" i="5"/>
  <c r="C25" i="5"/>
  <c r="C26" i="5"/>
  <c r="C27" i="5"/>
  <c r="C28" i="5"/>
  <c r="C29" i="5"/>
  <c r="C30" i="5"/>
  <c r="C31" i="5"/>
  <c r="D32" i="5"/>
  <c r="B32" i="5"/>
  <c r="D31" i="5"/>
  <c r="B31" i="5"/>
  <c r="D30" i="5"/>
  <c r="B30" i="5"/>
  <c r="D29" i="5"/>
  <c r="B29" i="5"/>
  <c r="D28" i="5"/>
  <c r="B28" i="5"/>
  <c r="D27" i="5"/>
  <c r="B27" i="5"/>
  <c r="D26" i="5"/>
  <c r="B26" i="5"/>
  <c r="D25" i="5"/>
  <c r="B25" i="5"/>
  <c r="D24" i="5"/>
  <c r="B24" i="5"/>
  <c r="D23" i="5"/>
  <c r="B23" i="5"/>
  <c r="E18" i="5"/>
  <c r="B18" i="5"/>
  <c r="C18" i="5"/>
  <c r="D18" i="5"/>
  <c r="E17" i="5"/>
  <c r="B17" i="5"/>
  <c r="C17" i="5"/>
  <c r="D17" i="5"/>
  <c r="E16" i="5"/>
  <c r="B16" i="5"/>
  <c r="C16" i="5"/>
  <c r="D16" i="5"/>
  <c r="E15" i="5"/>
  <c r="B15" i="5"/>
  <c r="C15" i="5"/>
  <c r="D15" i="5"/>
  <c r="M6" i="5"/>
  <c r="M7" i="5"/>
  <c r="M8" i="5"/>
  <c r="M9" i="5"/>
  <c r="M10" i="5"/>
  <c r="L6" i="5"/>
  <c r="L7" i="5"/>
  <c r="L8" i="5"/>
  <c r="L9" i="5"/>
  <c r="L10" i="5"/>
  <c r="K6" i="5"/>
  <c r="K7" i="5"/>
  <c r="K8" i="5"/>
  <c r="K9" i="5"/>
  <c r="K10" i="5"/>
  <c r="J6" i="5"/>
  <c r="J7" i="5"/>
  <c r="J8" i="5"/>
  <c r="J9" i="5"/>
  <c r="J10" i="5"/>
  <c r="I6" i="5"/>
  <c r="I7" i="5"/>
  <c r="I8" i="5"/>
  <c r="I9" i="5"/>
  <c r="I10" i="5"/>
  <c r="H6" i="5"/>
  <c r="H7" i="5"/>
  <c r="H8" i="5"/>
  <c r="H9" i="5"/>
  <c r="H10" i="5"/>
  <c r="G6" i="5"/>
  <c r="G7" i="5"/>
  <c r="G8" i="5"/>
  <c r="G9" i="5"/>
  <c r="G10" i="5"/>
  <c r="F6" i="5"/>
  <c r="F7" i="5"/>
  <c r="F8" i="5"/>
  <c r="F9" i="5"/>
  <c r="F10" i="5"/>
  <c r="E6" i="5"/>
  <c r="E7" i="5"/>
  <c r="E8" i="5"/>
  <c r="E9" i="5"/>
  <c r="E10" i="5"/>
  <c r="D6" i="5"/>
  <c r="D7" i="5"/>
  <c r="D8" i="5"/>
  <c r="D9" i="5"/>
  <c r="D10" i="5"/>
  <c r="C6" i="5"/>
  <c r="C7" i="5"/>
  <c r="C8" i="5"/>
  <c r="C9" i="5"/>
  <c r="C10" i="5"/>
  <c r="B6" i="5"/>
  <c r="B7" i="5"/>
  <c r="B8" i="5"/>
  <c r="B9" i="5"/>
  <c r="B10" i="5"/>
  <c r="O9" i="5"/>
  <c r="O8" i="5"/>
  <c r="O7" i="5"/>
  <c r="O6" i="5"/>
  <c r="B27" i="4"/>
  <c r="B26" i="4"/>
  <c r="B25" i="4"/>
  <c r="B24" i="4"/>
  <c r="B19" i="4"/>
  <c r="B21" i="4"/>
  <c r="B20" i="4"/>
  <c r="D15" i="4"/>
  <c r="D11" i="4"/>
  <c r="D10" i="4"/>
  <c r="D7" i="4"/>
  <c r="D6" i="4"/>
  <c r="D5" i="4"/>
  <c r="R2528" i="3"/>
  <c r="R2527" i="3"/>
  <c r="R2526" i="3"/>
  <c r="R2525" i="3"/>
  <c r="R2524" i="3"/>
  <c r="R2523" i="3"/>
  <c r="R2522" i="3"/>
  <c r="R2521" i="3"/>
  <c r="R2520" i="3"/>
  <c r="R2519" i="3"/>
  <c r="R2518" i="3"/>
  <c r="R2517" i="3"/>
  <c r="R2516" i="3"/>
  <c r="R2515" i="3"/>
  <c r="R2514" i="3"/>
  <c r="R2513" i="3"/>
  <c r="R2512" i="3"/>
  <c r="R2511" i="3"/>
  <c r="R2510" i="3"/>
  <c r="R2509" i="3"/>
  <c r="R2508" i="3"/>
  <c r="R2507" i="3"/>
  <c r="R2506" i="3"/>
  <c r="R2505" i="3"/>
  <c r="R2504" i="3"/>
  <c r="R2503" i="3"/>
  <c r="R2502" i="3"/>
  <c r="R2501" i="3"/>
  <c r="R2500" i="3"/>
  <c r="R2499" i="3"/>
  <c r="R2498" i="3"/>
  <c r="R2497" i="3"/>
  <c r="R2496" i="3"/>
  <c r="R2495" i="3"/>
  <c r="R2494" i="3"/>
  <c r="R2493" i="3"/>
  <c r="R2492" i="3"/>
  <c r="R2491" i="3"/>
  <c r="R2490" i="3"/>
  <c r="R2489" i="3"/>
  <c r="R2488" i="3"/>
  <c r="R2487" i="3"/>
  <c r="R2486" i="3"/>
  <c r="R2485" i="3"/>
  <c r="R2484" i="3"/>
  <c r="R2483" i="3"/>
  <c r="R2482" i="3"/>
  <c r="R2481" i="3"/>
  <c r="R2480" i="3"/>
  <c r="R2479" i="3"/>
  <c r="R2478" i="3"/>
  <c r="R2477" i="3"/>
  <c r="R2476" i="3"/>
  <c r="R2475" i="3"/>
  <c r="R2474" i="3"/>
  <c r="R2473" i="3"/>
  <c r="R2472" i="3"/>
  <c r="R2471" i="3"/>
  <c r="R2470" i="3"/>
  <c r="R2469" i="3"/>
  <c r="R2468" i="3"/>
  <c r="R2467" i="3"/>
  <c r="R2466" i="3"/>
  <c r="R2465" i="3"/>
  <c r="R2464" i="3"/>
  <c r="R2463" i="3"/>
  <c r="R2462" i="3"/>
  <c r="R2461" i="3"/>
  <c r="R2460" i="3"/>
  <c r="R2459" i="3"/>
  <c r="R2458" i="3"/>
  <c r="R2457" i="3"/>
  <c r="R2456" i="3"/>
  <c r="R2455" i="3"/>
  <c r="R2454" i="3"/>
  <c r="R2453" i="3"/>
  <c r="R2452" i="3"/>
  <c r="R2451" i="3"/>
  <c r="R2450" i="3"/>
  <c r="R2449" i="3"/>
  <c r="R2448" i="3"/>
  <c r="R2447" i="3"/>
  <c r="R2446" i="3"/>
  <c r="R2445" i="3"/>
  <c r="R2444" i="3"/>
  <c r="R2443" i="3"/>
  <c r="R2442" i="3"/>
  <c r="R2441" i="3"/>
  <c r="R2440" i="3"/>
  <c r="R2439" i="3"/>
  <c r="R2438" i="3"/>
  <c r="R2437" i="3"/>
  <c r="R2436" i="3"/>
  <c r="R2435" i="3"/>
  <c r="R2434" i="3"/>
  <c r="R2433" i="3"/>
  <c r="R2432" i="3"/>
  <c r="R2431" i="3"/>
  <c r="R2430" i="3"/>
  <c r="R2429" i="3"/>
  <c r="R2428" i="3"/>
  <c r="R2427" i="3"/>
  <c r="R2426" i="3"/>
  <c r="R2425" i="3"/>
  <c r="R2424" i="3"/>
  <c r="R2423" i="3"/>
  <c r="R2422" i="3"/>
  <c r="R2421" i="3"/>
  <c r="R2420" i="3"/>
  <c r="R2419" i="3"/>
  <c r="R2418" i="3"/>
  <c r="R2417" i="3"/>
  <c r="R2416" i="3"/>
  <c r="R2415" i="3"/>
  <c r="R2414" i="3"/>
  <c r="R2413" i="3"/>
  <c r="R2412" i="3"/>
  <c r="R2411" i="3"/>
  <c r="R2410" i="3"/>
  <c r="R2409" i="3"/>
  <c r="R2408" i="3"/>
  <c r="R2407" i="3"/>
  <c r="R2406" i="3"/>
  <c r="R2405" i="3"/>
  <c r="R2404" i="3"/>
  <c r="R2403" i="3"/>
  <c r="R2402" i="3"/>
  <c r="R2401" i="3"/>
  <c r="R2400" i="3"/>
  <c r="R2399" i="3"/>
  <c r="R2398" i="3"/>
  <c r="R2397" i="3"/>
  <c r="R2396" i="3"/>
  <c r="R2395" i="3"/>
  <c r="R2394" i="3"/>
  <c r="R2393" i="3"/>
  <c r="R2392" i="3"/>
  <c r="R2391" i="3"/>
  <c r="R2390" i="3"/>
  <c r="R2389" i="3"/>
  <c r="R2388" i="3"/>
  <c r="R2387" i="3"/>
  <c r="R2386" i="3"/>
  <c r="R2385" i="3"/>
  <c r="R2384" i="3"/>
  <c r="R2383" i="3"/>
  <c r="R2382" i="3"/>
  <c r="R2381" i="3"/>
  <c r="R2380" i="3"/>
  <c r="R2379" i="3"/>
  <c r="R2378" i="3"/>
  <c r="R2377" i="3"/>
  <c r="R2376" i="3"/>
  <c r="R2375" i="3"/>
  <c r="R2374" i="3"/>
  <c r="R2373" i="3"/>
  <c r="R2372" i="3"/>
  <c r="R2371" i="3"/>
  <c r="R2370" i="3"/>
  <c r="R2369" i="3"/>
  <c r="R2368" i="3"/>
  <c r="R2367" i="3"/>
  <c r="R2366" i="3"/>
  <c r="R2365" i="3"/>
  <c r="R2364" i="3"/>
  <c r="R2363" i="3"/>
  <c r="R2362" i="3"/>
  <c r="R2361" i="3"/>
  <c r="R2360" i="3"/>
  <c r="R2359" i="3"/>
  <c r="R2358" i="3"/>
  <c r="R2357" i="3"/>
  <c r="R2356" i="3"/>
  <c r="R2355" i="3"/>
  <c r="R2354" i="3"/>
  <c r="R2353" i="3"/>
  <c r="R2352" i="3"/>
  <c r="R2351" i="3"/>
  <c r="R2350" i="3"/>
  <c r="R2349" i="3"/>
  <c r="R2348" i="3"/>
  <c r="R2347" i="3"/>
  <c r="R2346" i="3"/>
  <c r="R2345" i="3"/>
  <c r="R2344" i="3"/>
  <c r="R2343" i="3"/>
  <c r="R2342" i="3"/>
  <c r="R2341" i="3"/>
  <c r="R2340" i="3"/>
  <c r="R2339" i="3"/>
  <c r="R2338" i="3"/>
  <c r="R2337" i="3"/>
  <c r="R2336" i="3"/>
  <c r="R2335" i="3"/>
  <c r="R2334" i="3"/>
  <c r="R2333" i="3"/>
  <c r="R2332" i="3"/>
  <c r="R2331" i="3"/>
  <c r="R2330" i="3"/>
  <c r="R2329" i="3"/>
  <c r="R2328" i="3"/>
  <c r="R2327" i="3"/>
  <c r="R2326" i="3"/>
  <c r="R2325" i="3"/>
  <c r="R2324" i="3"/>
  <c r="R2323" i="3"/>
  <c r="R2322" i="3"/>
  <c r="R2321" i="3"/>
  <c r="R2320" i="3"/>
  <c r="R2319" i="3"/>
  <c r="R2318" i="3"/>
  <c r="R2317" i="3"/>
  <c r="R2316" i="3"/>
  <c r="R2315" i="3"/>
  <c r="R2314" i="3"/>
  <c r="R2313" i="3"/>
  <c r="R2312" i="3"/>
  <c r="R2311" i="3"/>
  <c r="R2310" i="3"/>
  <c r="R2309" i="3"/>
  <c r="R2308" i="3"/>
  <c r="R2307" i="3"/>
  <c r="R2306" i="3"/>
  <c r="R2305" i="3"/>
  <c r="R2304" i="3"/>
  <c r="R2303" i="3"/>
  <c r="R2302" i="3"/>
  <c r="R2301" i="3"/>
  <c r="R2300" i="3"/>
  <c r="R2299" i="3"/>
  <c r="R2298" i="3"/>
  <c r="R2297" i="3"/>
  <c r="R2296" i="3"/>
  <c r="R2295" i="3"/>
  <c r="R2294" i="3"/>
  <c r="R2293" i="3"/>
  <c r="R2292" i="3"/>
  <c r="R2291" i="3"/>
  <c r="R2290" i="3"/>
  <c r="R2289" i="3"/>
  <c r="R2288" i="3"/>
  <c r="R2287" i="3"/>
  <c r="R2286" i="3"/>
  <c r="R2285" i="3"/>
  <c r="R2284" i="3"/>
  <c r="R2283" i="3"/>
  <c r="R2282" i="3"/>
  <c r="R2281" i="3"/>
  <c r="R2280" i="3"/>
  <c r="R2279" i="3"/>
  <c r="R2278" i="3"/>
  <c r="R2277" i="3"/>
  <c r="R2276" i="3"/>
  <c r="R2275" i="3"/>
  <c r="R2274" i="3"/>
  <c r="R2273" i="3"/>
  <c r="R2272" i="3"/>
  <c r="R2271" i="3"/>
  <c r="R2270" i="3"/>
  <c r="R2269" i="3"/>
  <c r="R2268" i="3"/>
  <c r="R2267" i="3"/>
  <c r="R2266" i="3"/>
  <c r="R2265" i="3"/>
  <c r="R2264" i="3"/>
  <c r="R2263" i="3"/>
  <c r="R2262" i="3"/>
  <c r="R2261" i="3"/>
  <c r="R2260" i="3"/>
  <c r="R2259" i="3"/>
  <c r="R2258" i="3"/>
  <c r="R2257" i="3"/>
  <c r="R2256" i="3"/>
  <c r="R2255" i="3"/>
  <c r="R2254" i="3"/>
  <c r="R2253" i="3"/>
  <c r="R2252" i="3"/>
  <c r="R2251" i="3"/>
  <c r="R2250" i="3"/>
  <c r="R2249" i="3"/>
  <c r="R2248" i="3"/>
  <c r="R2247" i="3"/>
  <c r="R2246" i="3"/>
  <c r="R2245" i="3"/>
  <c r="R2244" i="3"/>
  <c r="R2243" i="3"/>
  <c r="R2242" i="3"/>
  <c r="R2241" i="3"/>
  <c r="R2240" i="3"/>
  <c r="R2239" i="3"/>
  <c r="R2238" i="3"/>
  <c r="R2237" i="3"/>
  <c r="R2236" i="3"/>
  <c r="R2235" i="3"/>
  <c r="R2234" i="3"/>
  <c r="R2233" i="3"/>
  <c r="R2232" i="3"/>
  <c r="R2231" i="3"/>
  <c r="R2230" i="3"/>
  <c r="R2229" i="3"/>
  <c r="R2228" i="3"/>
  <c r="R2227" i="3"/>
  <c r="R2226" i="3"/>
  <c r="R2225" i="3"/>
  <c r="R2224" i="3"/>
  <c r="R2223" i="3"/>
  <c r="R2222" i="3"/>
  <c r="R2221" i="3"/>
  <c r="R2220" i="3"/>
  <c r="R2219" i="3"/>
  <c r="R2218" i="3"/>
  <c r="R2217" i="3"/>
  <c r="R2216" i="3"/>
  <c r="R2215" i="3"/>
  <c r="R2214" i="3"/>
  <c r="R2213" i="3"/>
  <c r="R2212" i="3"/>
  <c r="R2211" i="3"/>
  <c r="R2210" i="3"/>
  <c r="R2209" i="3"/>
  <c r="R2208" i="3"/>
  <c r="R2207" i="3"/>
  <c r="R2206" i="3"/>
  <c r="R2205" i="3"/>
  <c r="R2204" i="3"/>
  <c r="R2203" i="3"/>
  <c r="R2202" i="3"/>
  <c r="R2201" i="3"/>
  <c r="R2200" i="3"/>
  <c r="R2199" i="3"/>
  <c r="R2198" i="3"/>
  <c r="R2197" i="3"/>
  <c r="R2196" i="3"/>
  <c r="R2195" i="3"/>
  <c r="R2194" i="3"/>
  <c r="R2193" i="3"/>
  <c r="R2192" i="3"/>
  <c r="R2191" i="3"/>
  <c r="R2190" i="3"/>
  <c r="R2189" i="3"/>
  <c r="R2188" i="3"/>
  <c r="R2187" i="3"/>
  <c r="R2186" i="3"/>
  <c r="R2185" i="3"/>
  <c r="R2184" i="3"/>
  <c r="R2183" i="3"/>
  <c r="R2182" i="3"/>
  <c r="R2181" i="3"/>
  <c r="R2180" i="3"/>
  <c r="R2179" i="3"/>
  <c r="R2178" i="3"/>
  <c r="R2177" i="3"/>
  <c r="R2176" i="3"/>
  <c r="R2175" i="3"/>
  <c r="R2174" i="3"/>
  <c r="R2173" i="3"/>
  <c r="R2172" i="3"/>
  <c r="R2171" i="3"/>
  <c r="R2170" i="3"/>
  <c r="R2169" i="3"/>
  <c r="R2168" i="3"/>
  <c r="R2167" i="3"/>
  <c r="R2166" i="3"/>
  <c r="R2165" i="3"/>
  <c r="R2164" i="3"/>
  <c r="R2163" i="3"/>
  <c r="R2162" i="3"/>
  <c r="R2161" i="3"/>
  <c r="R2160" i="3"/>
  <c r="R2159" i="3"/>
  <c r="R2158" i="3"/>
  <c r="R2157" i="3"/>
  <c r="R2156" i="3"/>
  <c r="R2155" i="3"/>
  <c r="R2154" i="3"/>
  <c r="R2153" i="3"/>
  <c r="R2152" i="3"/>
  <c r="R2151" i="3"/>
  <c r="R2150" i="3"/>
  <c r="R2149" i="3"/>
  <c r="R2148" i="3"/>
  <c r="R2147" i="3"/>
  <c r="R2146" i="3"/>
  <c r="R2145" i="3"/>
  <c r="R2144" i="3"/>
  <c r="R2143" i="3"/>
  <c r="R2142" i="3"/>
  <c r="R2141" i="3"/>
  <c r="R2140" i="3"/>
  <c r="R2139" i="3"/>
  <c r="R2138" i="3"/>
  <c r="R2137" i="3"/>
  <c r="R2136" i="3"/>
  <c r="R2135" i="3"/>
  <c r="R2134" i="3"/>
  <c r="R2133" i="3"/>
  <c r="R2132" i="3"/>
  <c r="R2131" i="3"/>
  <c r="R2130" i="3"/>
  <c r="R2129" i="3"/>
  <c r="R2128" i="3"/>
  <c r="R2127" i="3"/>
  <c r="R2126" i="3"/>
  <c r="R2125" i="3"/>
  <c r="R2124" i="3"/>
  <c r="R2123" i="3"/>
  <c r="R2122" i="3"/>
  <c r="R2121" i="3"/>
  <c r="R2120" i="3"/>
  <c r="R2119" i="3"/>
  <c r="R2118" i="3"/>
  <c r="R2117" i="3"/>
  <c r="R2116" i="3"/>
  <c r="R2115" i="3"/>
  <c r="R2114" i="3"/>
  <c r="R2113" i="3"/>
  <c r="R2112" i="3"/>
  <c r="R2111" i="3"/>
  <c r="R2110" i="3"/>
  <c r="R2109" i="3"/>
  <c r="R2108" i="3"/>
  <c r="R2107" i="3"/>
  <c r="R2106" i="3"/>
  <c r="R2105" i="3"/>
  <c r="R2104" i="3"/>
  <c r="R2103" i="3"/>
  <c r="R2102" i="3"/>
  <c r="R2101" i="3"/>
  <c r="R2100" i="3"/>
  <c r="R2099" i="3"/>
  <c r="R2098" i="3"/>
  <c r="R2097" i="3"/>
  <c r="R2096" i="3"/>
  <c r="R2095" i="3"/>
  <c r="R2094" i="3"/>
  <c r="R2093" i="3"/>
  <c r="R2092" i="3"/>
  <c r="R2091" i="3"/>
  <c r="R2090" i="3"/>
  <c r="R2089" i="3"/>
  <c r="R2088" i="3"/>
  <c r="R2087" i="3"/>
  <c r="R2086" i="3"/>
  <c r="R2085" i="3"/>
  <c r="R2084" i="3"/>
  <c r="R2083" i="3"/>
  <c r="R2082" i="3"/>
  <c r="R2081" i="3"/>
  <c r="R2080" i="3"/>
  <c r="R2079" i="3"/>
  <c r="R2078" i="3"/>
  <c r="R2077" i="3"/>
  <c r="R2076" i="3"/>
  <c r="R2075" i="3"/>
  <c r="R2074" i="3"/>
  <c r="R2073" i="3"/>
  <c r="R2072" i="3"/>
  <c r="R2071" i="3"/>
  <c r="R2070" i="3"/>
  <c r="R2069" i="3"/>
  <c r="R2068" i="3"/>
  <c r="R2067" i="3"/>
  <c r="R2066" i="3"/>
  <c r="R2065" i="3"/>
  <c r="R2064" i="3"/>
  <c r="R2063" i="3"/>
  <c r="R2062" i="3"/>
  <c r="R2061" i="3"/>
  <c r="R2060" i="3"/>
  <c r="R2059" i="3"/>
  <c r="R2058" i="3"/>
  <c r="R2057" i="3"/>
  <c r="R2056" i="3"/>
  <c r="R2055" i="3"/>
  <c r="R2054" i="3"/>
  <c r="R2053" i="3"/>
  <c r="R2052" i="3"/>
  <c r="R2051" i="3"/>
  <c r="R2050" i="3"/>
  <c r="R2049" i="3"/>
  <c r="R2048" i="3"/>
  <c r="R2047" i="3"/>
  <c r="R2046" i="3"/>
  <c r="R2045" i="3"/>
  <c r="R2044" i="3"/>
  <c r="R2043" i="3"/>
  <c r="R2042" i="3"/>
  <c r="R2041" i="3"/>
  <c r="R2040" i="3"/>
  <c r="R2039" i="3"/>
  <c r="R2038" i="3"/>
  <c r="R2037" i="3"/>
  <c r="R2036" i="3"/>
  <c r="R2035" i="3"/>
  <c r="R2034" i="3"/>
  <c r="R2033" i="3"/>
  <c r="R2032" i="3"/>
  <c r="R2031" i="3"/>
  <c r="R2030" i="3"/>
  <c r="R2029" i="3"/>
  <c r="R2028" i="3"/>
  <c r="R2027" i="3"/>
  <c r="R2026" i="3"/>
  <c r="R2025" i="3"/>
  <c r="R2024" i="3"/>
  <c r="R2023" i="3"/>
  <c r="R2022" i="3"/>
  <c r="R2021" i="3"/>
  <c r="R2020" i="3"/>
  <c r="R2019" i="3"/>
  <c r="R2018" i="3"/>
  <c r="R2017" i="3"/>
  <c r="R2016" i="3"/>
  <c r="R2015" i="3"/>
  <c r="R2014" i="3"/>
  <c r="R2013" i="3"/>
  <c r="R2012" i="3"/>
  <c r="R2011" i="3"/>
  <c r="R2010" i="3"/>
  <c r="R2009" i="3"/>
  <c r="R2008" i="3"/>
  <c r="R2007" i="3"/>
  <c r="R2006" i="3"/>
  <c r="R2005" i="3"/>
  <c r="R2004" i="3"/>
  <c r="R2003" i="3"/>
  <c r="R2002" i="3"/>
  <c r="R2001" i="3"/>
  <c r="R2000" i="3"/>
  <c r="R1999" i="3"/>
  <c r="R1998" i="3"/>
  <c r="R1997" i="3"/>
  <c r="R1996" i="3"/>
  <c r="R1995" i="3"/>
  <c r="R1994" i="3"/>
  <c r="R1993" i="3"/>
  <c r="R1992" i="3"/>
  <c r="R1991" i="3"/>
  <c r="R1990" i="3"/>
  <c r="R1989" i="3"/>
  <c r="R1988" i="3"/>
  <c r="R1987" i="3"/>
  <c r="R1986" i="3"/>
  <c r="R1985" i="3"/>
  <c r="R1984" i="3"/>
  <c r="R1983" i="3"/>
  <c r="R1982" i="3"/>
  <c r="R1981" i="3"/>
  <c r="R1980" i="3"/>
  <c r="R1979" i="3"/>
  <c r="R1978" i="3"/>
  <c r="R1977" i="3"/>
  <c r="R1976" i="3"/>
  <c r="R1975" i="3"/>
  <c r="R1974" i="3"/>
  <c r="R1973" i="3"/>
  <c r="R1972" i="3"/>
  <c r="R1971" i="3"/>
  <c r="R1970" i="3"/>
  <c r="R1969" i="3"/>
  <c r="R1968" i="3"/>
  <c r="R1967" i="3"/>
  <c r="R1966" i="3"/>
  <c r="R1965" i="3"/>
  <c r="R1964" i="3"/>
  <c r="R1963" i="3"/>
  <c r="R1962" i="3"/>
  <c r="R1961" i="3"/>
  <c r="R1960" i="3"/>
  <c r="R1959" i="3"/>
  <c r="R1958" i="3"/>
  <c r="R1957" i="3"/>
  <c r="R1956" i="3"/>
  <c r="R1955" i="3"/>
  <c r="R1954" i="3"/>
  <c r="R1953" i="3"/>
  <c r="R1952" i="3"/>
  <c r="R1951" i="3"/>
  <c r="R1950" i="3"/>
  <c r="R1949" i="3"/>
  <c r="R1948" i="3"/>
  <c r="R1947" i="3"/>
  <c r="R1946" i="3"/>
  <c r="R1945" i="3"/>
  <c r="R1944" i="3"/>
  <c r="R1943" i="3"/>
  <c r="R1942" i="3"/>
  <c r="R1941" i="3"/>
  <c r="R1940" i="3"/>
  <c r="R1939" i="3"/>
  <c r="R1938" i="3"/>
  <c r="R1937" i="3"/>
  <c r="R1936" i="3"/>
  <c r="R1935" i="3"/>
  <c r="R1934" i="3"/>
  <c r="R1933" i="3"/>
  <c r="R1932" i="3"/>
  <c r="R1931" i="3"/>
  <c r="R1930" i="3"/>
  <c r="R1929" i="3"/>
  <c r="R1928" i="3"/>
  <c r="R1927" i="3"/>
  <c r="R1926" i="3"/>
  <c r="R1925" i="3"/>
  <c r="R1924" i="3"/>
  <c r="R1923" i="3"/>
  <c r="R1922" i="3"/>
  <c r="R1921" i="3"/>
  <c r="R1920" i="3"/>
  <c r="R1919" i="3"/>
  <c r="R1918" i="3"/>
  <c r="R1917" i="3"/>
  <c r="R1916" i="3"/>
  <c r="R1915" i="3"/>
  <c r="R1914" i="3"/>
  <c r="R1913" i="3"/>
  <c r="R1912" i="3"/>
  <c r="R1911" i="3"/>
  <c r="R1910" i="3"/>
  <c r="R1909" i="3"/>
  <c r="R1908" i="3"/>
  <c r="R1907" i="3"/>
  <c r="R1906" i="3"/>
  <c r="R1905" i="3"/>
  <c r="R1904" i="3"/>
  <c r="R1903" i="3"/>
  <c r="R1902" i="3"/>
  <c r="R1901" i="3"/>
  <c r="R1900" i="3"/>
  <c r="R1899" i="3"/>
  <c r="R1898" i="3"/>
  <c r="R1897" i="3"/>
  <c r="R1896" i="3"/>
  <c r="R1895" i="3"/>
  <c r="R1894" i="3"/>
  <c r="R1893" i="3"/>
  <c r="R1892" i="3"/>
  <c r="R1891" i="3"/>
  <c r="R1890" i="3"/>
  <c r="R1889" i="3"/>
  <c r="R1888" i="3"/>
  <c r="R1887" i="3"/>
  <c r="R1886" i="3"/>
  <c r="R1885" i="3"/>
  <c r="R1884" i="3"/>
  <c r="R1883" i="3"/>
  <c r="R1882" i="3"/>
  <c r="R1881" i="3"/>
  <c r="R1880" i="3"/>
  <c r="R1879" i="3"/>
  <c r="R1878" i="3"/>
  <c r="R1877" i="3"/>
  <c r="R1876" i="3"/>
  <c r="R1875" i="3"/>
  <c r="R1874" i="3"/>
  <c r="R1873" i="3"/>
  <c r="R1872" i="3"/>
  <c r="R1871" i="3"/>
  <c r="R1870" i="3"/>
  <c r="R1869" i="3"/>
  <c r="R1868" i="3"/>
  <c r="R1867" i="3"/>
  <c r="R1866" i="3"/>
  <c r="R1865" i="3"/>
  <c r="R1864" i="3"/>
  <c r="R1863" i="3"/>
  <c r="R1862" i="3"/>
  <c r="R1861" i="3"/>
  <c r="R1860" i="3"/>
  <c r="R1859" i="3"/>
  <c r="R1858" i="3"/>
  <c r="R1857" i="3"/>
  <c r="R1856" i="3"/>
  <c r="R1855" i="3"/>
  <c r="R1854" i="3"/>
  <c r="R1853" i="3"/>
  <c r="R1852" i="3"/>
  <c r="R1851" i="3"/>
  <c r="R1850" i="3"/>
  <c r="R1849" i="3"/>
  <c r="R1848" i="3"/>
  <c r="R1847" i="3"/>
  <c r="R1846" i="3"/>
  <c r="R1845" i="3"/>
  <c r="R1844" i="3"/>
  <c r="R1843" i="3"/>
  <c r="R1842" i="3"/>
  <c r="R1841" i="3"/>
  <c r="R1840" i="3"/>
  <c r="R1839" i="3"/>
  <c r="R1838" i="3"/>
  <c r="R1837" i="3"/>
  <c r="R1836" i="3"/>
  <c r="R1835" i="3"/>
  <c r="R1834" i="3"/>
  <c r="R1833" i="3"/>
  <c r="R1832" i="3"/>
  <c r="R1831" i="3"/>
  <c r="R1830" i="3"/>
  <c r="R1829" i="3"/>
  <c r="R1828" i="3"/>
  <c r="R1827" i="3"/>
  <c r="R1826" i="3"/>
  <c r="R1825" i="3"/>
  <c r="R1824" i="3"/>
  <c r="R1823" i="3"/>
  <c r="R1822" i="3"/>
  <c r="R1821" i="3"/>
  <c r="R1820" i="3"/>
  <c r="R1819" i="3"/>
  <c r="R1818" i="3"/>
  <c r="R1817" i="3"/>
  <c r="R1816" i="3"/>
  <c r="R1815" i="3"/>
  <c r="R1814" i="3"/>
  <c r="R1813" i="3"/>
  <c r="R1812" i="3"/>
  <c r="R1811" i="3"/>
  <c r="R1810" i="3"/>
  <c r="R1809" i="3"/>
  <c r="R1808" i="3"/>
  <c r="R1807" i="3"/>
  <c r="R1806" i="3"/>
  <c r="R1805" i="3"/>
  <c r="R1804" i="3"/>
  <c r="R1803" i="3"/>
  <c r="R1802" i="3"/>
  <c r="R1801" i="3"/>
  <c r="R1800" i="3"/>
  <c r="R1799" i="3"/>
  <c r="R1798" i="3"/>
  <c r="R1797" i="3"/>
  <c r="R1796" i="3"/>
  <c r="R1795" i="3"/>
  <c r="R1794" i="3"/>
  <c r="R1793" i="3"/>
  <c r="R1792" i="3"/>
  <c r="R1791" i="3"/>
  <c r="R1790" i="3"/>
  <c r="R1789" i="3"/>
  <c r="R1788" i="3"/>
  <c r="R1787" i="3"/>
  <c r="R1786" i="3"/>
  <c r="R1785" i="3"/>
  <c r="R1784" i="3"/>
  <c r="R1783" i="3"/>
  <c r="R1782" i="3"/>
  <c r="R1781" i="3"/>
  <c r="R1780" i="3"/>
  <c r="R1779" i="3"/>
  <c r="R1778" i="3"/>
  <c r="R1777" i="3"/>
  <c r="R1776" i="3"/>
  <c r="R1775" i="3"/>
  <c r="R1774" i="3"/>
  <c r="R1773" i="3"/>
  <c r="R1772" i="3"/>
  <c r="R1771" i="3"/>
  <c r="R1770" i="3"/>
  <c r="R1769" i="3"/>
  <c r="R1768" i="3"/>
  <c r="R1767" i="3"/>
  <c r="R1766" i="3"/>
  <c r="R1765" i="3"/>
  <c r="R1764" i="3"/>
  <c r="R1763" i="3"/>
  <c r="R1762" i="3"/>
  <c r="R1761" i="3"/>
  <c r="R1760" i="3"/>
  <c r="R1759" i="3"/>
  <c r="R1758" i="3"/>
  <c r="R1757" i="3"/>
  <c r="R1756" i="3"/>
  <c r="R1755" i="3"/>
  <c r="R1754" i="3"/>
  <c r="R1753" i="3"/>
  <c r="R1752" i="3"/>
  <c r="R1751" i="3"/>
  <c r="R1750" i="3"/>
  <c r="R1749" i="3"/>
  <c r="R1748" i="3"/>
  <c r="R1747" i="3"/>
  <c r="R1746" i="3"/>
  <c r="R1745" i="3"/>
  <c r="R1744" i="3"/>
  <c r="R1743" i="3"/>
  <c r="R1742" i="3"/>
  <c r="R1741" i="3"/>
  <c r="R1740" i="3"/>
  <c r="R1739" i="3"/>
  <c r="R1738" i="3"/>
  <c r="R1737" i="3"/>
  <c r="R1736" i="3"/>
  <c r="R1735" i="3"/>
  <c r="R1734" i="3"/>
  <c r="R1733" i="3"/>
  <c r="R1732" i="3"/>
  <c r="R1731" i="3"/>
  <c r="R1730" i="3"/>
  <c r="R1729" i="3"/>
  <c r="R1728" i="3"/>
  <c r="R1727" i="3"/>
  <c r="R1726" i="3"/>
  <c r="R1725" i="3"/>
  <c r="R1724" i="3"/>
  <c r="R1723" i="3"/>
  <c r="R1722" i="3"/>
  <c r="R1721" i="3"/>
  <c r="R1720" i="3"/>
  <c r="R1719" i="3"/>
  <c r="R1718" i="3"/>
  <c r="R1717" i="3"/>
  <c r="R1716" i="3"/>
  <c r="R1715" i="3"/>
  <c r="R1714" i="3"/>
  <c r="R1713" i="3"/>
  <c r="R1712" i="3"/>
  <c r="R1711" i="3"/>
  <c r="R1710" i="3"/>
  <c r="R1709" i="3"/>
  <c r="R1708" i="3"/>
  <c r="R1707" i="3"/>
  <c r="R1706" i="3"/>
  <c r="R1705" i="3"/>
  <c r="R1704" i="3"/>
  <c r="R1703" i="3"/>
  <c r="R1702" i="3"/>
  <c r="R1701" i="3"/>
  <c r="R1700" i="3"/>
  <c r="R1699" i="3"/>
  <c r="R1698" i="3"/>
  <c r="R1697" i="3"/>
  <c r="R1696" i="3"/>
  <c r="R1695" i="3"/>
  <c r="R1694" i="3"/>
  <c r="R1693" i="3"/>
  <c r="R1692" i="3"/>
  <c r="R1691" i="3"/>
  <c r="R1690" i="3"/>
  <c r="R1689" i="3"/>
  <c r="R1688" i="3"/>
  <c r="R1687" i="3"/>
  <c r="R1686" i="3"/>
  <c r="R1685" i="3"/>
  <c r="R1684" i="3"/>
  <c r="R1683" i="3"/>
  <c r="R1682" i="3"/>
  <c r="R1681" i="3"/>
  <c r="R1680" i="3"/>
  <c r="R1679" i="3"/>
  <c r="R1678" i="3"/>
  <c r="R1677" i="3"/>
  <c r="R1676" i="3"/>
  <c r="R1675" i="3"/>
  <c r="R1674" i="3"/>
  <c r="R1673" i="3"/>
  <c r="R1672" i="3"/>
  <c r="R1671" i="3"/>
  <c r="R1670" i="3"/>
  <c r="R1669" i="3"/>
  <c r="R1668" i="3"/>
  <c r="R1667" i="3"/>
  <c r="R1666" i="3"/>
  <c r="R1665" i="3"/>
  <c r="R1664" i="3"/>
  <c r="R1663" i="3"/>
  <c r="R1662" i="3"/>
  <c r="R1661" i="3"/>
  <c r="R1660" i="3"/>
  <c r="R1659" i="3"/>
  <c r="R1658" i="3"/>
  <c r="R1657" i="3"/>
  <c r="R1656" i="3"/>
  <c r="R1655" i="3"/>
  <c r="R1654" i="3"/>
  <c r="R1653" i="3"/>
  <c r="R1652" i="3"/>
  <c r="R1651" i="3"/>
  <c r="R1650" i="3"/>
  <c r="R1649" i="3"/>
  <c r="R1648" i="3"/>
  <c r="R1647" i="3"/>
  <c r="R1646" i="3"/>
  <c r="R1645" i="3"/>
  <c r="R1644" i="3"/>
  <c r="R1643" i="3"/>
  <c r="R1642" i="3"/>
  <c r="R1641" i="3"/>
  <c r="R1640" i="3"/>
  <c r="R1639" i="3"/>
  <c r="R1638" i="3"/>
  <c r="R1637" i="3"/>
  <c r="R1636" i="3"/>
  <c r="R1635" i="3"/>
  <c r="R1634" i="3"/>
  <c r="R1633" i="3"/>
  <c r="R1632" i="3"/>
  <c r="R1631" i="3"/>
  <c r="R1630" i="3"/>
  <c r="R1629" i="3"/>
  <c r="R1628" i="3"/>
  <c r="R1627" i="3"/>
  <c r="R1626" i="3"/>
  <c r="R1625" i="3"/>
  <c r="R1624" i="3"/>
  <c r="R1623" i="3"/>
  <c r="R1622" i="3"/>
  <c r="R1621" i="3"/>
  <c r="R1620" i="3"/>
  <c r="R1619" i="3"/>
  <c r="R1618" i="3"/>
  <c r="R1617" i="3"/>
  <c r="R1616" i="3"/>
  <c r="R1615" i="3"/>
  <c r="R1614" i="3"/>
  <c r="R1613" i="3"/>
  <c r="R1612" i="3"/>
  <c r="R1611" i="3"/>
  <c r="R1610" i="3"/>
  <c r="R1609" i="3"/>
  <c r="R1608" i="3"/>
  <c r="R1607" i="3"/>
  <c r="R1606" i="3"/>
  <c r="R1605" i="3"/>
  <c r="R1604" i="3"/>
  <c r="R1603" i="3"/>
  <c r="R1602" i="3"/>
  <c r="R1601" i="3"/>
  <c r="R1600" i="3"/>
  <c r="R1599" i="3"/>
  <c r="R1598" i="3"/>
  <c r="R1597" i="3"/>
  <c r="R1596" i="3"/>
  <c r="R1595" i="3"/>
  <c r="R1594" i="3"/>
  <c r="R1593" i="3"/>
  <c r="R1592" i="3"/>
  <c r="R1591" i="3"/>
  <c r="R1590" i="3"/>
  <c r="R1589" i="3"/>
  <c r="R1588" i="3"/>
  <c r="R1587" i="3"/>
  <c r="R1586" i="3"/>
  <c r="R1585" i="3"/>
  <c r="R1584" i="3"/>
  <c r="R1583" i="3"/>
  <c r="R1582" i="3"/>
  <c r="R1581" i="3"/>
  <c r="R1580" i="3"/>
  <c r="R1579" i="3"/>
  <c r="R1578" i="3"/>
  <c r="R1577" i="3"/>
  <c r="R1576" i="3"/>
  <c r="R1575" i="3"/>
  <c r="R1574" i="3"/>
  <c r="R1573" i="3"/>
  <c r="R1572" i="3"/>
  <c r="R1571" i="3"/>
  <c r="R1570" i="3"/>
  <c r="R1569" i="3"/>
  <c r="R1568" i="3"/>
  <c r="R1567" i="3"/>
  <c r="R1566" i="3"/>
  <c r="R1565" i="3"/>
  <c r="R1564" i="3"/>
  <c r="R1563" i="3"/>
  <c r="R1562" i="3"/>
  <c r="R1561" i="3"/>
  <c r="R1560" i="3"/>
  <c r="R1559" i="3"/>
  <c r="R1558" i="3"/>
  <c r="R1557" i="3"/>
  <c r="R1556" i="3"/>
  <c r="R1555" i="3"/>
  <c r="R1554" i="3"/>
  <c r="R1553" i="3"/>
  <c r="R1552" i="3"/>
  <c r="R1551" i="3"/>
  <c r="R1550" i="3"/>
  <c r="R1549" i="3"/>
  <c r="R1548" i="3"/>
  <c r="R1547" i="3"/>
  <c r="R1546" i="3"/>
  <c r="R1545" i="3"/>
  <c r="R1544" i="3"/>
  <c r="R1543" i="3"/>
  <c r="R1542" i="3"/>
  <c r="R1541" i="3"/>
  <c r="R1540" i="3"/>
  <c r="R1539" i="3"/>
  <c r="R1538" i="3"/>
  <c r="R1537" i="3"/>
  <c r="R1536" i="3"/>
  <c r="R1535" i="3"/>
  <c r="R1534" i="3"/>
  <c r="R1533" i="3"/>
  <c r="R1532" i="3"/>
  <c r="R1531" i="3"/>
  <c r="R1530" i="3"/>
  <c r="R1529" i="3"/>
  <c r="R1528" i="3"/>
  <c r="R1527" i="3"/>
  <c r="R1526" i="3"/>
  <c r="R1525" i="3"/>
  <c r="R1524" i="3"/>
  <c r="R1523" i="3"/>
  <c r="R1522" i="3"/>
  <c r="R1521" i="3"/>
  <c r="R1520" i="3"/>
  <c r="R1519" i="3"/>
  <c r="R1518" i="3"/>
  <c r="R1517" i="3"/>
  <c r="R1516" i="3"/>
  <c r="R1515" i="3"/>
  <c r="R1514" i="3"/>
  <c r="R1513" i="3"/>
  <c r="R1512" i="3"/>
  <c r="R1511" i="3"/>
  <c r="R1510" i="3"/>
  <c r="R1509" i="3"/>
  <c r="R1508" i="3"/>
  <c r="R1507" i="3"/>
  <c r="R1506" i="3"/>
  <c r="R1505" i="3"/>
  <c r="R1504" i="3"/>
  <c r="R1503" i="3"/>
  <c r="R1502" i="3"/>
  <c r="R1501" i="3"/>
  <c r="R1500" i="3"/>
  <c r="R1499" i="3"/>
  <c r="R1498" i="3"/>
  <c r="R1497" i="3"/>
  <c r="R1496" i="3"/>
  <c r="R1495" i="3"/>
  <c r="R1494" i="3"/>
  <c r="R1493" i="3"/>
  <c r="R1492" i="3"/>
  <c r="R1491" i="3"/>
  <c r="R1490" i="3"/>
  <c r="R1489" i="3"/>
  <c r="R1488" i="3"/>
  <c r="R1487" i="3"/>
  <c r="R1486" i="3"/>
  <c r="R1485" i="3"/>
  <c r="R1484" i="3"/>
  <c r="R1483" i="3"/>
  <c r="R1482" i="3"/>
  <c r="R1481" i="3"/>
  <c r="R1480" i="3"/>
  <c r="R1479" i="3"/>
  <c r="R1478" i="3"/>
  <c r="R1477" i="3"/>
  <c r="R1476" i="3"/>
  <c r="R1475" i="3"/>
  <c r="R1474" i="3"/>
  <c r="R1473" i="3"/>
  <c r="R1472" i="3"/>
  <c r="R1471" i="3"/>
  <c r="R1470" i="3"/>
  <c r="R1469" i="3"/>
  <c r="R1468" i="3"/>
  <c r="R1467" i="3"/>
  <c r="R1466" i="3"/>
  <c r="R1465" i="3"/>
  <c r="R1464" i="3"/>
  <c r="R1463" i="3"/>
  <c r="R1462" i="3"/>
  <c r="R1461" i="3"/>
  <c r="R1460" i="3"/>
  <c r="R1459" i="3"/>
  <c r="R1458" i="3"/>
  <c r="R1457" i="3"/>
  <c r="R1456" i="3"/>
  <c r="R1455" i="3"/>
  <c r="R1454" i="3"/>
  <c r="R1453" i="3"/>
  <c r="R1452" i="3"/>
  <c r="R1451" i="3"/>
  <c r="R1450" i="3"/>
  <c r="R1449" i="3"/>
  <c r="R1448" i="3"/>
  <c r="R1447" i="3"/>
  <c r="R1446" i="3"/>
  <c r="R1445" i="3"/>
  <c r="R1444" i="3"/>
  <c r="R1443" i="3"/>
  <c r="R1442" i="3"/>
  <c r="R1441" i="3"/>
  <c r="R1440" i="3"/>
  <c r="R1439" i="3"/>
  <c r="R1438" i="3"/>
  <c r="R1437" i="3"/>
  <c r="R1436" i="3"/>
  <c r="R1435" i="3"/>
  <c r="R1434" i="3"/>
  <c r="R1433" i="3"/>
  <c r="R1432" i="3"/>
  <c r="R1431" i="3"/>
  <c r="R1430" i="3"/>
  <c r="R1429" i="3"/>
  <c r="R1428" i="3"/>
  <c r="R1427" i="3"/>
  <c r="R1426" i="3"/>
  <c r="R1425" i="3"/>
  <c r="R1424" i="3"/>
  <c r="R1423" i="3"/>
  <c r="R1422" i="3"/>
  <c r="R1421" i="3"/>
  <c r="R1420" i="3"/>
  <c r="R1419" i="3"/>
  <c r="R1418" i="3"/>
  <c r="R1417" i="3"/>
  <c r="R1416" i="3"/>
  <c r="R1415" i="3"/>
  <c r="R1414" i="3"/>
  <c r="R1413" i="3"/>
  <c r="R1412" i="3"/>
  <c r="R1411" i="3"/>
  <c r="R1410" i="3"/>
  <c r="R1409" i="3"/>
  <c r="R1408" i="3"/>
  <c r="R1407" i="3"/>
  <c r="R1406" i="3"/>
  <c r="R1405" i="3"/>
  <c r="R1404" i="3"/>
  <c r="R1403" i="3"/>
  <c r="R1402" i="3"/>
  <c r="R1401" i="3"/>
  <c r="R1400" i="3"/>
  <c r="R1399" i="3"/>
  <c r="R1398" i="3"/>
  <c r="R1397" i="3"/>
  <c r="R1396" i="3"/>
  <c r="R1395" i="3"/>
  <c r="R1394" i="3"/>
  <c r="R1393" i="3"/>
  <c r="R1392" i="3"/>
  <c r="R1391" i="3"/>
  <c r="R1390" i="3"/>
  <c r="R1389" i="3"/>
  <c r="R1388" i="3"/>
  <c r="R1387" i="3"/>
  <c r="R1386" i="3"/>
  <c r="R1385" i="3"/>
  <c r="R1384" i="3"/>
  <c r="R1383" i="3"/>
  <c r="R1382" i="3"/>
  <c r="R1381" i="3"/>
  <c r="R1380" i="3"/>
  <c r="R1379" i="3"/>
  <c r="R1378" i="3"/>
  <c r="R1377" i="3"/>
  <c r="R1376" i="3"/>
  <c r="R1375" i="3"/>
  <c r="R1374" i="3"/>
  <c r="R1373" i="3"/>
  <c r="R1372" i="3"/>
  <c r="R1371" i="3"/>
  <c r="R1370" i="3"/>
  <c r="R1369" i="3"/>
  <c r="R1368" i="3"/>
  <c r="R1367" i="3"/>
  <c r="R1366" i="3"/>
  <c r="R1365" i="3"/>
  <c r="R1364" i="3"/>
  <c r="R1363" i="3"/>
  <c r="R1362" i="3"/>
  <c r="R1361" i="3"/>
  <c r="R1360" i="3"/>
  <c r="R1359" i="3"/>
  <c r="R1358" i="3"/>
  <c r="R1357" i="3"/>
  <c r="R1356" i="3"/>
  <c r="R1355" i="3"/>
  <c r="R1354" i="3"/>
  <c r="R1353" i="3"/>
  <c r="R1352" i="3"/>
  <c r="R1351" i="3"/>
  <c r="R1350" i="3"/>
  <c r="R1349" i="3"/>
  <c r="R1348" i="3"/>
  <c r="R1347" i="3"/>
  <c r="R1346" i="3"/>
  <c r="R1345" i="3"/>
  <c r="R1344" i="3"/>
  <c r="R1343" i="3"/>
  <c r="R1342" i="3"/>
  <c r="R1341" i="3"/>
  <c r="R1340" i="3"/>
  <c r="R1339" i="3"/>
  <c r="R1338" i="3"/>
  <c r="R1337" i="3"/>
  <c r="R1336" i="3"/>
  <c r="R1335" i="3"/>
  <c r="R1334" i="3"/>
  <c r="R1333" i="3"/>
  <c r="R1332" i="3"/>
  <c r="R1331" i="3"/>
  <c r="R1330" i="3"/>
  <c r="R1329" i="3"/>
  <c r="R1328" i="3"/>
  <c r="R1327" i="3"/>
  <c r="R1326" i="3"/>
  <c r="R1325" i="3"/>
  <c r="R1324" i="3"/>
  <c r="R1323" i="3"/>
  <c r="R1322" i="3"/>
  <c r="R1321" i="3"/>
  <c r="R1320" i="3"/>
  <c r="R1319" i="3"/>
  <c r="R1318" i="3"/>
  <c r="R1317" i="3"/>
  <c r="R1316" i="3"/>
  <c r="R1315" i="3"/>
  <c r="R1314" i="3"/>
  <c r="R1313" i="3"/>
  <c r="R1312" i="3"/>
  <c r="R1311" i="3"/>
  <c r="R1310" i="3"/>
  <c r="R1309" i="3"/>
  <c r="R1308" i="3"/>
  <c r="R1307" i="3"/>
  <c r="R1306" i="3"/>
  <c r="R1305" i="3"/>
  <c r="R1304" i="3"/>
  <c r="R1303" i="3"/>
  <c r="R1302" i="3"/>
  <c r="R1301" i="3"/>
  <c r="R1300" i="3"/>
  <c r="R1299" i="3"/>
  <c r="R1298" i="3"/>
  <c r="R1297" i="3"/>
  <c r="R1296" i="3"/>
  <c r="R1295" i="3"/>
  <c r="R1294" i="3"/>
  <c r="R1293" i="3"/>
  <c r="R1292" i="3"/>
  <c r="R1291" i="3"/>
  <c r="R1290" i="3"/>
  <c r="R1289" i="3"/>
  <c r="R1288" i="3"/>
  <c r="R1287" i="3"/>
  <c r="R1286" i="3"/>
  <c r="R1285" i="3"/>
  <c r="R1284" i="3"/>
  <c r="R1283" i="3"/>
  <c r="R1282" i="3"/>
  <c r="R1281" i="3"/>
  <c r="R1280" i="3"/>
  <c r="R1279" i="3"/>
  <c r="R1278" i="3"/>
  <c r="R1277" i="3"/>
  <c r="R1276" i="3"/>
  <c r="R1275" i="3"/>
  <c r="R1274" i="3"/>
  <c r="R1273" i="3"/>
  <c r="R1272" i="3"/>
  <c r="R1271" i="3"/>
  <c r="R1270" i="3"/>
  <c r="R1269" i="3"/>
  <c r="R1268" i="3"/>
  <c r="R1267" i="3"/>
  <c r="R1266" i="3"/>
  <c r="R1265" i="3"/>
  <c r="R1264" i="3"/>
  <c r="R1263" i="3"/>
  <c r="R1262" i="3"/>
  <c r="R1261" i="3"/>
  <c r="R1260" i="3"/>
  <c r="R1259" i="3"/>
  <c r="R1258" i="3"/>
  <c r="R1257" i="3"/>
  <c r="R1256" i="3"/>
  <c r="R1255" i="3"/>
  <c r="R1254" i="3"/>
  <c r="R1253" i="3"/>
  <c r="R1252" i="3"/>
  <c r="R1251" i="3"/>
  <c r="R1250" i="3"/>
  <c r="R1249" i="3"/>
  <c r="R1248" i="3"/>
  <c r="R1247" i="3"/>
  <c r="R1246" i="3"/>
  <c r="R1245" i="3"/>
  <c r="R1244" i="3"/>
  <c r="R1243" i="3"/>
  <c r="R1242" i="3"/>
  <c r="R1241" i="3"/>
  <c r="R1240" i="3"/>
  <c r="R1239" i="3"/>
  <c r="R1238" i="3"/>
  <c r="R1237" i="3"/>
  <c r="R1236" i="3"/>
  <c r="R1235" i="3"/>
  <c r="R1234" i="3"/>
  <c r="R1233" i="3"/>
  <c r="R1232" i="3"/>
  <c r="R1231" i="3"/>
  <c r="R1230" i="3"/>
  <c r="R1229" i="3"/>
  <c r="R1228" i="3"/>
  <c r="R1227" i="3"/>
  <c r="R1226" i="3"/>
  <c r="R1225" i="3"/>
  <c r="R1224" i="3"/>
  <c r="R1223" i="3"/>
  <c r="R1222" i="3"/>
  <c r="R1221" i="3"/>
  <c r="R1220" i="3"/>
  <c r="R1219" i="3"/>
  <c r="R1218" i="3"/>
  <c r="R1217" i="3"/>
  <c r="R1216" i="3"/>
  <c r="R1215" i="3"/>
  <c r="R1214" i="3"/>
  <c r="R1213" i="3"/>
  <c r="R1212" i="3"/>
  <c r="R1211" i="3"/>
  <c r="R1210" i="3"/>
  <c r="R1209" i="3"/>
  <c r="R1208" i="3"/>
  <c r="R1207" i="3"/>
  <c r="R1206" i="3"/>
  <c r="R1205" i="3"/>
  <c r="R1204" i="3"/>
  <c r="R1203" i="3"/>
  <c r="R1202" i="3"/>
  <c r="R1201" i="3"/>
  <c r="R1200" i="3"/>
  <c r="R1199" i="3"/>
  <c r="R1198" i="3"/>
  <c r="R1197" i="3"/>
  <c r="R1196" i="3"/>
  <c r="R1195" i="3"/>
  <c r="R1194" i="3"/>
  <c r="R1193" i="3"/>
  <c r="R1192" i="3"/>
  <c r="R1191" i="3"/>
  <c r="R1190" i="3"/>
  <c r="R1189" i="3"/>
  <c r="R1188" i="3"/>
  <c r="R1187" i="3"/>
  <c r="R1186" i="3"/>
  <c r="R1185" i="3"/>
  <c r="R1184" i="3"/>
  <c r="R1183" i="3"/>
  <c r="R1182" i="3"/>
  <c r="R1181" i="3"/>
  <c r="R1180" i="3"/>
  <c r="R1179" i="3"/>
  <c r="R1178" i="3"/>
  <c r="R1177" i="3"/>
  <c r="R1176" i="3"/>
  <c r="R1175" i="3"/>
  <c r="R1174" i="3"/>
  <c r="R1173" i="3"/>
  <c r="R1172" i="3"/>
  <c r="R1171" i="3"/>
  <c r="R1170" i="3"/>
  <c r="R1169" i="3"/>
  <c r="R1168" i="3"/>
  <c r="R1167" i="3"/>
  <c r="R1166" i="3"/>
  <c r="R1165" i="3"/>
  <c r="R1164" i="3"/>
  <c r="R1163" i="3"/>
  <c r="R1162" i="3"/>
  <c r="R1161" i="3"/>
  <c r="R1160" i="3"/>
  <c r="R1159" i="3"/>
  <c r="R1158" i="3"/>
  <c r="R1157" i="3"/>
  <c r="R1156" i="3"/>
  <c r="R1155" i="3"/>
  <c r="R1154" i="3"/>
  <c r="R1153" i="3"/>
  <c r="R1152" i="3"/>
  <c r="R1151" i="3"/>
  <c r="R1150" i="3"/>
  <c r="R1149" i="3"/>
  <c r="R1148" i="3"/>
  <c r="R1147" i="3"/>
  <c r="R1146" i="3"/>
  <c r="R1145" i="3"/>
  <c r="R1144" i="3"/>
  <c r="R1143" i="3"/>
  <c r="R1142" i="3"/>
  <c r="R1141" i="3"/>
  <c r="R1140" i="3"/>
  <c r="R1139" i="3"/>
  <c r="R1138" i="3"/>
  <c r="R1137" i="3"/>
  <c r="R1136" i="3"/>
  <c r="R1135" i="3"/>
  <c r="R1134" i="3"/>
  <c r="R1133" i="3"/>
  <c r="R1132" i="3"/>
  <c r="R1131" i="3"/>
  <c r="R1130" i="3"/>
  <c r="R1129" i="3"/>
  <c r="R1128" i="3"/>
  <c r="R1127" i="3"/>
  <c r="R1126" i="3"/>
  <c r="R1125" i="3"/>
  <c r="R1124" i="3"/>
  <c r="R1123" i="3"/>
  <c r="R1122" i="3"/>
  <c r="R1121" i="3"/>
  <c r="R1120" i="3"/>
  <c r="R1119" i="3"/>
  <c r="R1118" i="3"/>
  <c r="R1117" i="3"/>
  <c r="R1116" i="3"/>
  <c r="R1115" i="3"/>
  <c r="R1114" i="3"/>
  <c r="R1113" i="3"/>
  <c r="R1112" i="3"/>
  <c r="R1111" i="3"/>
  <c r="R1110" i="3"/>
  <c r="R1109" i="3"/>
  <c r="R1108" i="3"/>
  <c r="R1107" i="3"/>
  <c r="R1106" i="3"/>
  <c r="R1105" i="3"/>
  <c r="R1104" i="3"/>
  <c r="R1103" i="3"/>
  <c r="R1102" i="3"/>
  <c r="R1101" i="3"/>
  <c r="R1100" i="3"/>
  <c r="R1099" i="3"/>
  <c r="R1098" i="3"/>
  <c r="R1097" i="3"/>
  <c r="R1096" i="3"/>
  <c r="R1095" i="3"/>
  <c r="R1094" i="3"/>
  <c r="R1093" i="3"/>
  <c r="R1092" i="3"/>
  <c r="R1091" i="3"/>
  <c r="R1090" i="3"/>
  <c r="R1089" i="3"/>
  <c r="R1088" i="3"/>
  <c r="R1087" i="3"/>
  <c r="R1086" i="3"/>
  <c r="R1085" i="3"/>
  <c r="R1084" i="3"/>
  <c r="R1083" i="3"/>
  <c r="R1082" i="3"/>
  <c r="R1081" i="3"/>
  <c r="R1080" i="3"/>
  <c r="R1079" i="3"/>
  <c r="R1078" i="3"/>
  <c r="R1077" i="3"/>
  <c r="R1076" i="3"/>
  <c r="R1075" i="3"/>
  <c r="R1074" i="3"/>
  <c r="R1073" i="3"/>
  <c r="R1072" i="3"/>
  <c r="R1071" i="3"/>
  <c r="R1070" i="3"/>
  <c r="R1069" i="3"/>
  <c r="R1068" i="3"/>
  <c r="R1067" i="3"/>
  <c r="R1066" i="3"/>
  <c r="R1065" i="3"/>
  <c r="R1064" i="3"/>
  <c r="R1063" i="3"/>
  <c r="R1062" i="3"/>
  <c r="R1061" i="3"/>
  <c r="R1060" i="3"/>
  <c r="R1059" i="3"/>
  <c r="R1058" i="3"/>
  <c r="R1057" i="3"/>
  <c r="R1056" i="3"/>
  <c r="R1055" i="3"/>
  <c r="R1054" i="3"/>
  <c r="R1053" i="3"/>
  <c r="R1052" i="3"/>
  <c r="R1051" i="3"/>
  <c r="R1050" i="3"/>
  <c r="R1049" i="3"/>
  <c r="R1048" i="3"/>
  <c r="R1047" i="3"/>
  <c r="R1046" i="3"/>
  <c r="R1045" i="3"/>
  <c r="R1044" i="3"/>
  <c r="R1043" i="3"/>
  <c r="R1042" i="3"/>
  <c r="R1041" i="3"/>
  <c r="R1040" i="3"/>
  <c r="R1039" i="3"/>
  <c r="R1038" i="3"/>
  <c r="R1037" i="3"/>
  <c r="R1036" i="3"/>
  <c r="R1035" i="3"/>
  <c r="R1034" i="3"/>
  <c r="R1033" i="3"/>
  <c r="R1032" i="3"/>
  <c r="R1031" i="3"/>
  <c r="R1030" i="3"/>
  <c r="R1029" i="3"/>
  <c r="R1028" i="3"/>
  <c r="R1027" i="3"/>
  <c r="R1026" i="3"/>
  <c r="R1025" i="3"/>
  <c r="R1024" i="3"/>
  <c r="R1023" i="3"/>
  <c r="R1022" i="3"/>
  <c r="R1021" i="3"/>
  <c r="R1020" i="3"/>
  <c r="R1019" i="3"/>
  <c r="R1018" i="3"/>
  <c r="R1017" i="3"/>
  <c r="R1016" i="3"/>
  <c r="R1015" i="3"/>
  <c r="R1014" i="3"/>
  <c r="R1013" i="3"/>
  <c r="R1012" i="3"/>
  <c r="R1011" i="3"/>
  <c r="R1010" i="3"/>
  <c r="R1009" i="3"/>
  <c r="R1008" i="3"/>
  <c r="R1007" i="3"/>
  <c r="R1006" i="3"/>
  <c r="R1005" i="3"/>
  <c r="R1004" i="3"/>
  <c r="R1003" i="3"/>
  <c r="R1002" i="3"/>
  <c r="R1001" i="3"/>
  <c r="R1000" i="3"/>
  <c r="R999" i="3"/>
  <c r="R998" i="3"/>
  <c r="R997" i="3"/>
  <c r="R996" i="3"/>
  <c r="R995" i="3"/>
  <c r="R994" i="3"/>
  <c r="R993" i="3"/>
  <c r="R992" i="3"/>
  <c r="R991" i="3"/>
  <c r="R990" i="3"/>
  <c r="R989" i="3"/>
  <c r="R988" i="3"/>
  <c r="R987" i="3"/>
  <c r="R986" i="3"/>
  <c r="R985" i="3"/>
  <c r="R984" i="3"/>
  <c r="R983" i="3"/>
  <c r="R982" i="3"/>
  <c r="R981" i="3"/>
  <c r="R980" i="3"/>
  <c r="R979" i="3"/>
  <c r="R978" i="3"/>
  <c r="R977" i="3"/>
  <c r="R976" i="3"/>
  <c r="R975" i="3"/>
  <c r="R974" i="3"/>
  <c r="R973" i="3"/>
  <c r="R972" i="3"/>
  <c r="R971" i="3"/>
  <c r="R970" i="3"/>
  <c r="R969" i="3"/>
  <c r="R968" i="3"/>
  <c r="R967" i="3"/>
  <c r="R966" i="3"/>
  <c r="R965" i="3"/>
  <c r="R964" i="3"/>
  <c r="R963" i="3"/>
  <c r="R962" i="3"/>
  <c r="R961" i="3"/>
  <c r="R960" i="3"/>
  <c r="R959" i="3"/>
  <c r="R958" i="3"/>
  <c r="R957" i="3"/>
  <c r="R956" i="3"/>
  <c r="R955" i="3"/>
  <c r="R954" i="3"/>
  <c r="R953" i="3"/>
  <c r="R952" i="3"/>
  <c r="R951" i="3"/>
  <c r="R950" i="3"/>
  <c r="R949" i="3"/>
  <c r="R948" i="3"/>
  <c r="R947" i="3"/>
  <c r="R946" i="3"/>
  <c r="R945" i="3"/>
  <c r="R944" i="3"/>
  <c r="R943" i="3"/>
  <c r="R942" i="3"/>
  <c r="R941" i="3"/>
  <c r="R940" i="3"/>
  <c r="R939" i="3"/>
  <c r="R938" i="3"/>
  <c r="R937" i="3"/>
  <c r="R936" i="3"/>
  <c r="R935" i="3"/>
  <c r="R934" i="3"/>
  <c r="R933" i="3"/>
  <c r="R932" i="3"/>
  <c r="R931" i="3"/>
  <c r="R930" i="3"/>
  <c r="R929" i="3"/>
  <c r="R928" i="3"/>
  <c r="R927" i="3"/>
  <c r="R926" i="3"/>
  <c r="R925" i="3"/>
  <c r="R924" i="3"/>
  <c r="R923" i="3"/>
  <c r="R922" i="3"/>
  <c r="R921" i="3"/>
  <c r="R920" i="3"/>
  <c r="R919" i="3"/>
  <c r="R918" i="3"/>
  <c r="R917" i="3"/>
  <c r="R916" i="3"/>
  <c r="R915" i="3"/>
  <c r="R914" i="3"/>
  <c r="R913" i="3"/>
  <c r="R912" i="3"/>
  <c r="R911" i="3"/>
  <c r="R910" i="3"/>
  <c r="R909" i="3"/>
  <c r="R908" i="3"/>
  <c r="R907" i="3"/>
  <c r="R906" i="3"/>
  <c r="R905" i="3"/>
  <c r="R904" i="3"/>
  <c r="R903" i="3"/>
  <c r="R902" i="3"/>
  <c r="R901" i="3"/>
  <c r="R900" i="3"/>
  <c r="R899" i="3"/>
  <c r="R898" i="3"/>
  <c r="R897" i="3"/>
  <c r="R896" i="3"/>
  <c r="R895" i="3"/>
  <c r="R894" i="3"/>
  <c r="R893" i="3"/>
  <c r="R892" i="3"/>
  <c r="R891" i="3"/>
  <c r="R890" i="3"/>
  <c r="R889" i="3"/>
  <c r="R888" i="3"/>
  <c r="R887" i="3"/>
  <c r="R886" i="3"/>
  <c r="R885" i="3"/>
  <c r="R884" i="3"/>
  <c r="R883" i="3"/>
  <c r="R882" i="3"/>
  <c r="R881" i="3"/>
  <c r="R880" i="3"/>
  <c r="R879" i="3"/>
  <c r="R878" i="3"/>
  <c r="R877" i="3"/>
  <c r="R876" i="3"/>
  <c r="R875" i="3"/>
  <c r="R874" i="3"/>
  <c r="R873" i="3"/>
  <c r="R872" i="3"/>
  <c r="R871" i="3"/>
  <c r="R870" i="3"/>
  <c r="R869" i="3"/>
  <c r="R868" i="3"/>
  <c r="R867" i="3"/>
  <c r="R866" i="3"/>
  <c r="R865" i="3"/>
  <c r="R864" i="3"/>
  <c r="R863" i="3"/>
  <c r="R862" i="3"/>
  <c r="R861" i="3"/>
  <c r="R860" i="3"/>
  <c r="R859" i="3"/>
  <c r="R858" i="3"/>
  <c r="R857" i="3"/>
  <c r="R856" i="3"/>
  <c r="R855" i="3"/>
  <c r="R854" i="3"/>
  <c r="R853" i="3"/>
  <c r="R852" i="3"/>
  <c r="R851" i="3"/>
  <c r="R850" i="3"/>
  <c r="R849" i="3"/>
  <c r="R848" i="3"/>
  <c r="R847" i="3"/>
  <c r="R846" i="3"/>
  <c r="R845" i="3"/>
  <c r="R844" i="3"/>
  <c r="R843" i="3"/>
  <c r="R842" i="3"/>
  <c r="R841" i="3"/>
  <c r="R840" i="3"/>
  <c r="R839" i="3"/>
  <c r="R838" i="3"/>
  <c r="R837" i="3"/>
  <c r="R836" i="3"/>
  <c r="R835" i="3"/>
  <c r="R834" i="3"/>
  <c r="R833" i="3"/>
  <c r="R832" i="3"/>
  <c r="R831" i="3"/>
  <c r="R830" i="3"/>
  <c r="R829" i="3"/>
  <c r="R828" i="3"/>
  <c r="R827" i="3"/>
  <c r="R826" i="3"/>
  <c r="R825" i="3"/>
  <c r="R824" i="3"/>
  <c r="R823" i="3"/>
  <c r="R822" i="3"/>
  <c r="R821" i="3"/>
  <c r="R820" i="3"/>
  <c r="R819" i="3"/>
  <c r="R818" i="3"/>
  <c r="R817" i="3"/>
  <c r="R816" i="3"/>
  <c r="R815" i="3"/>
  <c r="R814" i="3"/>
  <c r="R813" i="3"/>
  <c r="R812" i="3"/>
  <c r="R811" i="3"/>
  <c r="R810" i="3"/>
  <c r="R809" i="3"/>
  <c r="R808" i="3"/>
  <c r="R807" i="3"/>
  <c r="R806" i="3"/>
  <c r="R805" i="3"/>
  <c r="R804" i="3"/>
  <c r="R803" i="3"/>
  <c r="R802" i="3"/>
  <c r="R801" i="3"/>
  <c r="R800" i="3"/>
  <c r="R799" i="3"/>
  <c r="R798" i="3"/>
  <c r="R797" i="3"/>
  <c r="R796" i="3"/>
  <c r="R795" i="3"/>
  <c r="R794" i="3"/>
  <c r="R793" i="3"/>
  <c r="R792" i="3"/>
  <c r="R791" i="3"/>
  <c r="R790" i="3"/>
  <c r="R789" i="3"/>
  <c r="R788" i="3"/>
  <c r="R787" i="3"/>
  <c r="R786" i="3"/>
  <c r="R785" i="3"/>
  <c r="R784" i="3"/>
  <c r="R783" i="3"/>
  <c r="R782" i="3"/>
  <c r="R781" i="3"/>
  <c r="R780" i="3"/>
  <c r="R779" i="3"/>
  <c r="R778" i="3"/>
  <c r="R777" i="3"/>
  <c r="R776" i="3"/>
  <c r="R775" i="3"/>
  <c r="R774" i="3"/>
  <c r="R773" i="3"/>
  <c r="R772" i="3"/>
  <c r="R771" i="3"/>
  <c r="R770" i="3"/>
  <c r="R769" i="3"/>
  <c r="R768" i="3"/>
  <c r="R767" i="3"/>
  <c r="R766" i="3"/>
  <c r="R765" i="3"/>
  <c r="R764" i="3"/>
  <c r="R763" i="3"/>
  <c r="R762" i="3"/>
  <c r="R761" i="3"/>
  <c r="R760" i="3"/>
  <c r="R759" i="3"/>
  <c r="R758" i="3"/>
  <c r="R757" i="3"/>
  <c r="R756" i="3"/>
  <c r="R755" i="3"/>
  <c r="R754" i="3"/>
  <c r="R753" i="3"/>
  <c r="R752" i="3"/>
  <c r="R751" i="3"/>
  <c r="R750" i="3"/>
  <c r="R749" i="3"/>
  <c r="R748" i="3"/>
  <c r="R747" i="3"/>
  <c r="R746" i="3"/>
  <c r="R745" i="3"/>
  <c r="R744" i="3"/>
  <c r="R743" i="3"/>
  <c r="R742" i="3"/>
  <c r="R741" i="3"/>
  <c r="R740" i="3"/>
  <c r="R739" i="3"/>
  <c r="R738" i="3"/>
  <c r="R737" i="3"/>
  <c r="R736" i="3"/>
  <c r="R735" i="3"/>
  <c r="R734" i="3"/>
  <c r="R733" i="3"/>
  <c r="R732" i="3"/>
  <c r="R731" i="3"/>
  <c r="R730" i="3"/>
  <c r="R729" i="3"/>
  <c r="R728" i="3"/>
  <c r="R727" i="3"/>
  <c r="R726" i="3"/>
  <c r="R725" i="3"/>
  <c r="R724" i="3"/>
  <c r="R723" i="3"/>
  <c r="R722" i="3"/>
  <c r="R721" i="3"/>
  <c r="R720" i="3"/>
  <c r="R719" i="3"/>
  <c r="R718" i="3"/>
  <c r="R717" i="3"/>
  <c r="R716" i="3"/>
  <c r="R715" i="3"/>
  <c r="R714" i="3"/>
  <c r="R713" i="3"/>
  <c r="R712" i="3"/>
  <c r="R711" i="3"/>
  <c r="R710" i="3"/>
  <c r="R709" i="3"/>
  <c r="R708" i="3"/>
  <c r="R707" i="3"/>
  <c r="R706" i="3"/>
  <c r="R705" i="3"/>
  <c r="R704" i="3"/>
  <c r="R703" i="3"/>
  <c r="R702" i="3"/>
  <c r="R701" i="3"/>
  <c r="R700" i="3"/>
  <c r="R699" i="3"/>
  <c r="R698" i="3"/>
  <c r="R697" i="3"/>
  <c r="R696" i="3"/>
  <c r="R695" i="3"/>
  <c r="R694" i="3"/>
  <c r="R693" i="3"/>
  <c r="R692" i="3"/>
  <c r="R691" i="3"/>
  <c r="R690" i="3"/>
  <c r="R689" i="3"/>
  <c r="R688" i="3"/>
  <c r="R687" i="3"/>
  <c r="R686" i="3"/>
  <c r="R685" i="3"/>
  <c r="R684" i="3"/>
  <c r="R683" i="3"/>
  <c r="R682" i="3"/>
  <c r="R681" i="3"/>
  <c r="R680" i="3"/>
  <c r="R679" i="3"/>
  <c r="R678" i="3"/>
  <c r="R677" i="3"/>
  <c r="R676" i="3"/>
  <c r="R675" i="3"/>
  <c r="R674" i="3"/>
  <c r="R673" i="3"/>
  <c r="R672" i="3"/>
  <c r="R671" i="3"/>
  <c r="R670" i="3"/>
  <c r="R669" i="3"/>
  <c r="R668" i="3"/>
  <c r="R667" i="3"/>
  <c r="R666" i="3"/>
  <c r="R665" i="3"/>
  <c r="R664" i="3"/>
  <c r="R663" i="3"/>
  <c r="R662" i="3"/>
  <c r="R661" i="3"/>
  <c r="R660" i="3"/>
  <c r="R659" i="3"/>
  <c r="R658" i="3"/>
  <c r="R657" i="3"/>
  <c r="R656" i="3"/>
  <c r="R655" i="3"/>
  <c r="R654" i="3"/>
  <c r="R653" i="3"/>
  <c r="R652" i="3"/>
  <c r="R651" i="3"/>
  <c r="R650" i="3"/>
  <c r="R649" i="3"/>
  <c r="R648" i="3"/>
  <c r="R647" i="3"/>
  <c r="R646" i="3"/>
  <c r="R645" i="3"/>
  <c r="R644" i="3"/>
  <c r="R643" i="3"/>
  <c r="R642" i="3"/>
  <c r="R641" i="3"/>
  <c r="R640" i="3"/>
  <c r="R639" i="3"/>
  <c r="R638" i="3"/>
  <c r="R637" i="3"/>
  <c r="R636" i="3"/>
  <c r="R635" i="3"/>
  <c r="R634" i="3"/>
  <c r="R633" i="3"/>
  <c r="R632" i="3"/>
  <c r="R631" i="3"/>
  <c r="R630" i="3"/>
  <c r="R629" i="3"/>
  <c r="R628" i="3"/>
  <c r="R627" i="3"/>
  <c r="R626" i="3"/>
  <c r="R625" i="3"/>
  <c r="R624" i="3"/>
  <c r="R623" i="3"/>
  <c r="R622" i="3"/>
  <c r="R621" i="3"/>
  <c r="R620" i="3"/>
  <c r="R619" i="3"/>
  <c r="R618" i="3"/>
  <c r="R617" i="3"/>
  <c r="R616" i="3"/>
  <c r="R615" i="3"/>
  <c r="R614" i="3"/>
  <c r="R613" i="3"/>
  <c r="R612" i="3"/>
  <c r="R611" i="3"/>
  <c r="R610" i="3"/>
  <c r="R609" i="3"/>
  <c r="R608" i="3"/>
  <c r="R607" i="3"/>
  <c r="R606" i="3"/>
  <c r="R605" i="3"/>
  <c r="R604" i="3"/>
  <c r="R603" i="3"/>
  <c r="R602" i="3"/>
  <c r="R601" i="3"/>
  <c r="R600" i="3"/>
  <c r="R599" i="3"/>
  <c r="R598" i="3"/>
  <c r="R597" i="3"/>
  <c r="R596" i="3"/>
  <c r="R595" i="3"/>
  <c r="R594" i="3"/>
  <c r="R593" i="3"/>
  <c r="R592" i="3"/>
  <c r="R591" i="3"/>
  <c r="R590" i="3"/>
  <c r="R589" i="3"/>
  <c r="R588" i="3"/>
  <c r="R587" i="3"/>
  <c r="R586" i="3"/>
  <c r="R585" i="3"/>
  <c r="R584" i="3"/>
  <c r="R583" i="3"/>
  <c r="R582" i="3"/>
  <c r="R581" i="3"/>
  <c r="R580" i="3"/>
  <c r="R579" i="3"/>
  <c r="R578" i="3"/>
  <c r="R577" i="3"/>
  <c r="R576" i="3"/>
  <c r="R575" i="3"/>
  <c r="R574" i="3"/>
  <c r="R573" i="3"/>
  <c r="R572" i="3"/>
  <c r="R571" i="3"/>
  <c r="R570" i="3"/>
  <c r="R569" i="3"/>
  <c r="R568" i="3"/>
  <c r="R567" i="3"/>
  <c r="R566" i="3"/>
  <c r="R565" i="3"/>
  <c r="R564" i="3"/>
  <c r="R563" i="3"/>
  <c r="R562" i="3"/>
  <c r="R561" i="3"/>
  <c r="R560" i="3"/>
  <c r="R559" i="3"/>
  <c r="R558" i="3"/>
  <c r="R557" i="3"/>
  <c r="R556" i="3"/>
  <c r="R555" i="3"/>
  <c r="R554" i="3"/>
  <c r="R553" i="3"/>
  <c r="R552" i="3"/>
  <c r="R551" i="3"/>
  <c r="R550" i="3"/>
  <c r="R549" i="3"/>
  <c r="R548" i="3"/>
  <c r="R547" i="3"/>
  <c r="R546" i="3"/>
  <c r="R545" i="3"/>
  <c r="R544" i="3"/>
  <c r="R543" i="3"/>
  <c r="R542" i="3"/>
  <c r="R541" i="3"/>
  <c r="R540" i="3"/>
  <c r="R539" i="3"/>
  <c r="R538" i="3"/>
  <c r="R537" i="3"/>
  <c r="R536" i="3"/>
  <c r="R535" i="3"/>
  <c r="R534" i="3"/>
  <c r="R533" i="3"/>
  <c r="R532" i="3"/>
  <c r="R531" i="3"/>
  <c r="R530" i="3"/>
  <c r="R529" i="3"/>
  <c r="R528" i="3"/>
  <c r="R527" i="3"/>
  <c r="R526" i="3"/>
  <c r="R525" i="3"/>
  <c r="R524" i="3"/>
  <c r="R523" i="3"/>
  <c r="R522" i="3"/>
  <c r="R521" i="3"/>
  <c r="R520" i="3"/>
  <c r="R519" i="3"/>
  <c r="R518" i="3"/>
  <c r="R517" i="3"/>
  <c r="R516" i="3"/>
  <c r="R515" i="3"/>
  <c r="R514" i="3"/>
  <c r="R513" i="3"/>
  <c r="R512" i="3"/>
  <c r="R511" i="3"/>
  <c r="R510" i="3"/>
  <c r="R509" i="3"/>
  <c r="R508" i="3"/>
  <c r="R507" i="3"/>
  <c r="R506" i="3"/>
  <c r="R505" i="3"/>
  <c r="R504" i="3"/>
  <c r="R503" i="3"/>
  <c r="R502" i="3"/>
  <c r="R501" i="3"/>
  <c r="R500" i="3"/>
  <c r="R499" i="3"/>
  <c r="R498" i="3"/>
  <c r="R497" i="3"/>
  <c r="R496" i="3"/>
  <c r="R495" i="3"/>
  <c r="R494" i="3"/>
  <c r="R493" i="3"/>
  <c r="R492" i="3"/>
  <c r="R491" i="3"/>
  <c r="R490" i="3"/>
  <c r="R489" i="3"/>
  <c r="R488" i="3"/>
  <c r="R487" i="3"/>
  <c r="R486" i="3"/>
  <c r="R485" i="3"/>
  <c r="R484" i="3"/>
  <c r="R483" i="3"/>
  <c r="R482" i="3"/>
  <c r="R481" i="3"/>
  <c r="R480" i="3"/>
  <c r="R479" i="3"/>
  <c r="R478" i="3"/>
  <c r="R477" i="3"/>
  <c r="R476" i="3"/>
  <c r="R475" i="3"/>
  <c r="R474" i="3"/>
  <c r="R473" i="3"/>
  <c r="R472" i="3"/>
  <c r="R471" i="3"/>
  <c r="R470" i="3"/>
  <c r="R469" i="3"/>
  <c r="R468" i="3"/>
  <c r="R467" i="3"/>
  <c r="R466" i="3"/>
  <c r="R465" i="3"/>
  <c r="R464" i="3"/>
  <c r="R463" i="3"/>
  <c r="R462" i="3"/>
  <c r="R461" i="3"/>
  <c r="R460" i="3"/>
  <c r="R459" i="3"/>
  <c r="R458" i="3"/>
  <c r="R457" i="3"/>
  <c r="R456" i="3"/>
  <c r="R455" i="3"/>
  <c r="R454" i="3"/>
  <c r="R453" i="3"/>
  <c r="R452" i="3"/>
  <c r="R451" i="3"/>
  <c r="R450" i="3"/>
  <c r="R449" i="3"/>
  <c r="R448" i="3"/>
  <c r="R447" i="3"/>
  <c r="R446" i="3"/>
  <c r="R445" i="3"/>
  <c r="R444" i="3"/>
  <c r="R443" i="3"/>
  <c r="R442" i="3"/>
  <c r="R441" i="3"/>
  <c r="R440" i="3"/>
  <c r="R439" i="3"/>
  <c r="R438" i="3"/>
  <c r="R437" i="3"/>
  <c r="R436" i="3"/>
  <c r="R435" i="3"/>
  <c r="R434" i="3"/>
  <c r="R433" i="3"/>
  <c r="R432" i="3"/>
  <c r="R431" i="3"/>
  <c r="R430" i="3"/>
  <c r="R429" i="3"/>
  <c r="R428" i="3"/>
  <c r="R427" i="3"/>
  <c r="R426" i="3"/>
  <c r="R425" i="3"/>
  <c r="R424" i="3"/>
  <c r="R423" i="3"/>
  <c r="R422" i="3"/>
  <c r="R421" i="3"/>
  <c r="R420" i="3"/>
  <c r="R419" i="3"/>
  <c r="R418" i="3"/>
  <c r="R417" i="3"/>
  <c r="R416" i="3"/>
  <c r="R415" i="3"/>
  <c r="R414" i="3"/>
  <c r="R413" i="3"/>
  <c r="R412" i="3"/>
  <c r="R411" i="3"/>
  <c r="R410" i="3"/>
  <c r="R409" i="3"/>
  <c r="R408" i="3"/>
  <c r="R407" i="3"/>
  <c r="R406" i="3"/>
  <c r="R405" i="3"/>
  <c r="R404" i="3"/>
  <c r="R403" i="3"/>
  <c r="R402" i="3"/>
  <c r="R401" i="3"/>
  <c r="R400" i="3"/>
  <c r="R399" i="3"/>
  <c r="R398" i="3"/>
  <c r="R397" i="3"/>
  <c r="R396" i="3"/>
  <c r="R395" i="3"/>
  <c r="R394" i="3"/>
  <c r="R393" i="3"/>
  <c r="R392" i="3"/>
  <c r="R391" i="3"/>
  <c r="R390" i="3"/>
  <c r="R389" i="3"/>
  <c r="R388" i="3"/>
  <c r="R387" i="3"/>
  <c r="R386" i="3"/>
  <c r="R385" i="3"/>
  <c r="R384" i="3"/>
  <c r="R383" i="3"/>
  <c r="R382" i="3"/>
  <c r="R381" i="3"/>
  <c r="R380" i="3"/>
  <c r="R379" i="3"/>
  <c r="R378" i="3"/>
  <c r="R377" i="3"/>
  <c r="R376" i="3"/>
  <c r="R375" i="3"/>
  <c r="R374" i="3"/>
  <c r="R373" i="3"/>
  <c r="R372" i="3"/>
  <c r="R371" i="3"/>
  <c r="R370" i="3"/>
  <c r="R369" i="3"/>
  <c r="R368" i="3"/>
  <c r="R367" i="3"/>
  <c r="R366" i="3"/>
  <c r="R365" i="3"/>
  <c r="R364" i="3"/>
  <c r="R363" i="3"/>
  <c r="R362" i="3"/>
  <c r="R361" i="3"/>
  <c r="R360" i="3"/>
  <c r="R359" i="3"/>
  <c r="R358" i="3"/>
  <c r="R357" i="3"/>
  <c r="R356" i="3"/>
  <c r="R355" i="3"/>
  <c r="R354" i="3"/>
  <c r="R353" i="3"/>
  <c r="R352" i="3"/>
  <c r="R351" i="3"/>
  <c r="R350" i="3"/>
  <c r="R349" i="3"/>
  <c r="R348" i="3"/>
  <c r="R347" i="3"/>
  <c r="R346" i="3"/>
  <c r="R345" i="3"/>
  <c r="R344" i="3"/>
  <c r="R343" i="3"/>
  <c r="R342" i="3"/>
  <c r="R341" i="3"/>
  <c r="R340" i="3"/>
  <c r="R339" i="3"/>
  <c r="R338" i="3"/>
  <c r="R337" i="3"/>
  <c r="R336" i="3"/>
  <c r="R335" i="3"/>
  <c r="R334" i="3"/>
  <c r="R333" i="3"/>
  <c r="R332" i="3"/>
  <c r="R331" i="3"/>
  <c r="R330" i="3"/>
  <c r="R329" i="3"/>
  <c r="R328" i="3"/>
  <c r="R327" i="3"/>
  <c r="R326" i="3"/>
  <c r="R325" i="3"/>
  <c r="R324" i="3"/>
  <c r="R323" i="3"/>
  <c r="R322" i="3"/>
  <c r="R321" i="3"/>
  <c r="R320" i="3"/>
  <c r="R319" i="3"/>
  <c r="R318" i="3"/>
  <c r="R317" i="3"/>
  <c r="R316" i="3"/>
  <c r="R315" i="3"/>
  <c r="R314" i="3"/>
  <c r="R313" i="3"/>
  <c r="R312" i="3"/>
  <c r="R311" i="3"/>
  <c r="R310" i="3"/>
  <c r="R309" i="3"/>
  <c r="R308" i="3"/>
  <c r="R307" i="3"/>
  <c r="R306" i="3"/>
  <c r="R305" i="3"/>
  <c r="R304" i="3"/>
  <c r="R303" i="3"/>
  <c r="R302" i="3"/>
  <c r="R301" i="3"/>
  <c r="R300" i="3"/>
  <c r="R299" i="3"/>
  <c r="R298" i="3"/>
  <c r="R297" i="3"/>
  <c r="R296" i="3"/>
  <c r="R295" i="3"/>
  <c r="R294" i="3"/>
  <c r="R293" i="3"/>
  <c r="R292" i="3"/>
  <c r="R291" i="3"/>
  <c r="R290" i="3"/>
  <c r="R289" i="3"/>
  <c r="R288" i="3"/>
  <c r="R287" i="3"/>
  <c r="R286" i="3"/>
  <c r="R285" i="3"/>
  <c r="R284" i="3"/>
  <c r="R283" i="3"/>
  <c r="R282" i="3"/>
  <c r="R281" i="3"/>
  <c r="R280" i="3"/>
  <c r="R279" i="3"/>
  <c r="R278" i="3"/>
  <c r="R277" i="3"/>
  <c r="R276" i="3"/>
  <c r="R275" i="3"/>
  <c r="R274" i="3"/>
  <c r="R273" i="3"/>
  <c r="R272" i="3"/>
  <c r="R271" i="3"/>
  <c r="R270" i="3"/>
  <c r="R269" i="3"/>
  <c r="R268" i="3"/>
  <c r="R267" i="3"/>
  <c r="R266" i="3"/>
  <c r="R265" i="3"/>
  <c r="R264" i="3"/>
  <c r="R263" i="3"/>
  <c r="R262" i="3"/>
  <c r="R261" i="3"/>
  <c r="R260" i="3"/>
  <c r="R259" i="3"/>
  <c r="R258" i="3"/>
  <c r="R257" i="3"/>
  <c r="R256" i="3"/>
  <c r="R255" i="3"/>
  <c r="R254" i="3"/>
  <c r="R253" i="3"/>
  <c r="R252" i="3"/>
  <c r="R251" i="3"/>
  <c r="R250" i="3"/>
  <c r="R249" i="3"/>
  <c r="R248" i="3"/>
  <c r="R247" i="3"/>
  <c r="R246" i="3"/>
  <c r="R245" i="3"/>
  <c r="R244" i="3"/>
  <c r="R243" i="3"/>
  <c r="R242" i="3"/>
  <c r="R241" i="3"/>
  <c r="R240" i="3"/>
  <c r="R239" i="3"/>
  <c r="R238" i="3"/>
  <c r="R237" i="3"/>
  <c r="R236" i="3"/>
  <c r="R235" i="3"/>
  <c r="R234" i="3"/>
  <c r="R233" i="3"/>
  <c r="R232" i="3"/>
  <c r="R231" i="3"/>
  <c r="R230" i="3"/>
  <c r="R229" i="3"/>
  <c r="R228" i="3"/>
  <c r="R227" i="3"/>
  <c r="R226" i="3"/>
  <c r="R225" i="3"/>
  <c r="R224" i="3"/>
  <c r="R223" i="3"/>
  <c r="R222" i="3"/>
  <c r="R221" i="3"/>
  <c r="R220" i="3"/>
  <c r="R219" i="3"/>
  <c r="R218" i="3"/>
  <c r="R217" i="3"/>
  <c r="R216" i="3"/>
  <c r="R215" i="3"/>
  <c r="R214" i="3"/>
  <c r="R213" i="3"/>
  <c r="R212" i="3"/>
  <c r="R211" i="3"/>
  <c r="R210" i="3"/>
  <c r="R209" i="3"/>
  <c r="R208" i="3"/>
  <c r="R207" i="3"/>
  <c r="R206" i="3"/>
  <c r="R205" i="3"/>
  <c r="R204" i="3"/>
  <c r="R203" i="3"/>
  <c r="R202" i="3"/>
  <c r="R201" i="3"/>
  <c r="R200" i="3"/>
  <c r="R199" i="3"/>
  <c r="R198" i="3"/>
  <c r="R197" i="3"/>
  <c r="R196" i="3"/>
  <c r="R195" i="3"/>
  <c r="R194" i="3"/>
  <c r="R193" i="3"/>
  <c r="R192" i="3"/>
  <c r="R191" i="3"/>
  <c r="R190" i="3"/>
  <c r="R189" i="3"/>
  <c r="R188" i="3"/>
  <c r="R187" i="3"/>
  <c r="R186" i="3"/>
  <c r="R185" i="3"/>
  <c r="R184" i="3"/>
  <c r="R183" i="3"/>
  <c r="R182" i="3"/>
  <c r="R181" i="3"/>
  <c r="R180" i="3"/>
  <c r="R179" i="3"/>
  <c r="R178" i="3"/>
  <c r="R177" i="3"/>
  <c r="R176" i="3"/>
  <c r="R175" i="3"/>
  <c r="R174" i="3"/>
  <c r="R173" i="3"/>
  <c r="R172" i="3"/>
  <c r="R171" i="3"/>
  <c r="R170" i="3"/>
  <c r="R169" i="3"/>
  <c r="R168" i="3"/>
  <c r="R167" i="3"/>
  <c r="R166" i="3"/>
  <c r="R165" i="3"/>
  <c r="R164" i="3"/>
  <c r="R163" i="3"/>
  <c r="R162" i="3"/>
  <c r="R161" i="3"/>
  <c r="R160" i="3"/>
  <c r="R159" i="3"/>
  <c r="R158" i="3"/>
  <c r="R157" i="3"/>
  <c r="R156" i="3"/>
  <c r="R155" i="3"/>
  <c r="R154" i="3"/>
  <c r="R153" i="3"/>
  <c r="R152" i="3"/>
  <c r="R151" i="3"/>
  <c r="R150" i="3"/>
  <c r="R149" i="3"/>
  <c r="R148" i="3"/>
  <c r="R147" i="3"/>
  <c r="R146" i="3"/>
  <c r="R145" i="3"/>
  <c r="R144" i="3"/>
  <c r="R143" i="3"/>
  <c r="R142" i="3"/>
  <c r="R141" i="3"/>
  <c r="R140" i="3"/>
  <c r="R139" i="3"/>
  <c r="R138" i="3"/>
  <c r="R137" i="3"/>
  <c r="R136" i="3"/>
  <c r="R135" i="3"/>
  <c r="R134" i="3"/>
  <c r="R133" i="3"/>
  <c r="R132" i="3"/>
  <c r="R131" i="3"/>
  <c r="R130" i="3"/>
  <c r="R129" i="3"/>
  <c r="R128" i="3"/>
  <c r="R127" i="3"/>
  <c r="R126" i="3"/>
  <c r="R125" i="3"/>
  <c r="R124" i="3"/>
  <c r="R123" i="3"/>
  <c r="R122" i="3"/>
  <c r="R121" i="3"/>
  <c r="R120" i="3"/>
  <c r="R119" i="3"/>
  <c r="R118" i="3"/>
  <c r="R117" i="3"/>
  <c r="R116" i="3"/>
  <c r="R115" i="3"/>
  <c r="R114" i="3"/>
  <c r="R113" i="3"/>
  <c r="R112" i="3"/>
  <c r="R111" i="3"/>
  <c r="R110" i="3"/>
  <c r="R109" i="3"/>
  <c r="R108" i="3"/>
  <c r="R107" i="3"/>
  <c r="R106" i="3"/>
  <c r="R105" i="3"/>
  <c r="R104" i="3"/>
  <c r="R103" i="3"/>
  <c r="R102" i="3"/>
  <c r="R101" i="3"/>
  <c r="R100" i="3"/>
  <c r="R99" i="3"/>
  <c r="R98" i="3"/>
  <c r="R97" i="3"/>
  <c r="R96" i="3"/>
  <c r="R95" i="3"/>
  <c r="R94" i="3"/>
  <c r="R93" i="3"/>
  <c r="R92" i="3"/>
  <c r="R91" i="3"/>
  <c r="R90" i="3"/>
  <c r="R89" i="3"/>
  <c r="R88" i="3"/>
  <c r="R87" i="3"/>
  <c r="R86" i="3"/>
  <c r="R85" i="3"/>
  <c r="R84" i="3"/>
  <c r="R83" i="3"/>
  <c r="R82" i="3"/>
  <c r="R81" i="3"/>
  <c r="R80" i="3"/>
  <c r="R79" i="3"/>
  <c r="R78" i="3"/>
  <c r="R77" i="3"/>
  <c r="R76" i="3"/>
  <c r="R75" i="3"/>
  <c r="R74" i="3"/>
  <c r="R73" i="3"/>
  <c r="R72" i="3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R4" i="3"/>
  <c r="R3" i="3"/>
  <c r="R2" i="3"/>
  <c r="E22" i="2"/>
  <c r="E21" i="2"/>
  <c r="H20" i="2"/>
  <c r="E20" i="2"/>
  <c r="H19" i="2"/>
  <c r="E19" i="2"/>
  <c r="H18" i="2"/>
  <c r="E18" i="2"/>
  <c r="H17" i="2"/>
  <c r="E17" i="2"/>
  <c r="H16" i="2"/>
  <c r="E16" i="2"/>
  <c r="H15" i="2"/>
  <c r="E15" i="2"/>
  <c r="B15" i="2"/>
  <c r="H14" i="2"/>
  <c r="E14" i="2"/>
  <c r="B14" i="2"/>
  <c r="H13" i="2"/>
  <c r="E13" i="2"/>
  <c r="B13" i="2"/>
  <c r="H12" i="2"/>
  <c r="E12" i="2"/>
  <c r="B12" i="2"/>
  <c r="H11" i="2"/>
  <c r="E11" i="2"/>
  <c r="G7" i="2"/>
  <c r="E7" i="2"/>
  <c r="C7" i="2"/>
  <c r="A7" i="2"/>
</calcChain>
</file>

<file path=xl/sharedStrings.xml><?xml version="1.0" encoding="utf-8"?>
<sst xmlns="http://schemas.openxmlformats.org/spreadsheetml/2006/main" count="20399" uniqueCount="890">
  <si>
    <t>Sales &amp; Financial Performance Dashboard</t>
  </si>
  <si>
    <t>Advanced Excel Portfolio Project | Data Analyst</t>
  </si>
  <si>
    <t>PROJECT OVERVIEW</t>
  </si>
  <si>
    <t>This workbook simulates 2 years (2024-2025) of retail sales across 4 regions, 4 product categories, and 10 salespeople. It demonstrates advanced Excel skills used in real Data Analyst roles: formulas, dynamic summary tables, what-if analysis, and a KPI dashboard.</t>
  </si>
  <si>
    <t>SHEETS IN THIS WORKBOOK</t>
  </si>
  <si>
    <t>1. README - this sheet</t>
  </si>
  <si>
    <t>2. Raw_Sales_Data - 2,500+ row transactional dataset (source of truth for all formulas)</t>
  </si>
  <si>
    <t>3. Formulas_Reference - live examples of XLOOKUP, INDEX-MATCH, SUMIFS, nested IF, commission logic</t>
  </si>
  <si>
    <t>4. Pivot_Analysis - summary tables (Region x Month, Category, Top Salespeople) built with SUMIFS so they recalculate automatically when Raw_Sales_Data changes</t>
  </si>
  <si>
    <t>5. What_If_Analysis - Scenario Manager style inputs (Best/Likely/Worst case) plus a one-variable data table showing profit sensitivity to discount %</t>
  </si>
  <si>
    <t>6. Dashboard - KPI cards, interactive region filter (dropdown), and charts</t>
  </si>
  <si>
    <t>HOW TO EXTEND THIS IN EXCEL (steps that require the Excel desktop app itself)</t>
  </si>
  <si>
    <t>Power Query: Data tab &gt; Get Data &gt; From Table/Range &gt; select Raw_Sales_Data &gt; use this to practice merging additional data sources or cleaning steps.</t>
  </si>
  <si>
    <t>Power Pivot / Data Model: Insert tab &gt; PivotTable &gt; Add to Data Model &gt; check Raw_Sales_Data &gt; create DAX measures such as:</t>
  </si>
  <si>
    <t xml:space="preserve">   Total Revenue := SUMX(Raw_Sales_Data, [Units Sold]*[Unit Price]*(1-[Discount %]))</t>
  </si>
  <si>
    <t xml:space="preserve">   YoY Growth % := DIVIDE([Total Revenue] - CALCULATE([Total Revenue], SAMEPERIODLASTYEAR('Calendar'[Date])), CALCULATE([Total Revenue], SAMEPERIODLASTYEAR('Calendar'[Date])))</t>
  </si>
  <si>
    <t>Slicers: select any PivotTable &gt; PivotTable Analyze tab &gt; Insert Slicer &gt; choose Region, Category, Year</t>
  </si>
  <si>
    <t>Goal Seek: Data tab &gt; What-If Analysis &gt; Goal Seek - try it on the What_If_Analysis sheet (set Net Profit cell to a target by changing Discount %)</t>
  </si>
  <si>
    <t>VBA Macro (optional): Developer tab &gt; Visual Basic &gt; insert this macro to auto-refresh all data connections and export the Dashboard sheet as PDF:</t>
  </si>
  <si>
    <t xml:space="preserve">   Sub RefreshAndExport()</t>
  </si>
  <si>
    <t xml:space="preserve">       ThisWorkbook.RefreshAll</t>
  </si>
  <si>
    <t xml:space="preserve">       ThisWorkbook.Sheets("Dashboard").ExportAsFixedFormat Type:=xlTypePDF, _</t>
  </si>
  <si>
    <t xml:space="preserve">           Filename:=ThisWorkbook.Path &amp; "\Dashboard_Export.pdf"</t>
  </si>
  <si>
    <t xml:space="preserve">   End Sub</t>
  </si>
  <si>
    <t>SKILLS DEMONSTRATED</t>
  </si>
  <si>
    <t>Power Query-ready structured data, advanced formulas (XLOOKUP, INDEX-MATCH, SUMIFS, nested IF), dynamic summary tables, scenario/what-if analysis, conditional formatting KPI indicators, data validation dropdowns, interactive charts, dashboard design.</t>
  </si>
  <si>
    <t>SALES &amp; FINANCIAL PERFORMANCE DASHBOARD</t>
  </si>
  <si>
    <t>FY 2024-2025 | All figures in INR</t>
  </si>
  <si>
    <t>Filter by Region:</t>
  </si>
  <si>
    <t>Total Revenue</t>
  </si>
  <si>
    <t>Total Profit</t>
  </si>
  <si>
    <t>Avg Profit Margin</t>
  </si>
  <si>
    <t>Total Units Sold</t>
  </si>
  <si>
    <t>Category Breakdown (respects Region filter above)</t>
  </si>
  <si>
    <t>Month</t>
  </si>
  <si>
    <t>Revenue</t>
  </si>
  <si>
    <t>Salesperson</t>
  </si>
  <si>
    <t>Profit</t>
  </si>
  <si>
    <t>Category</t>
  </si>
  <si>
    <t>Jan</t>
  </si>
  <si>
    <t>Aarav Shah</t>
  </si>
  <si>
    <t>Electronics</t>
  </si>
  <si>
    <t>Feb</t>
  </si>
  <si>
    <t>Priya Nair</t>
  </si>
  <si>
    <t>Furniture</t>
  </si>
  <si>
    <t>Mar</t>
  </si>
  <si>
    <t>Rohan Mehta</t>
  </si>
  <si>
    <t>Apparel</t>
  </si>
  <si>
    <t>Apr</t>
  </si>
  <si>
    <t>Sneha Kulkarni</t>
  </si>
  <si>
    <t>Home Appliances</t>
  </si>
  <si>
    <t>May</t>
  </si>
  <si>
    <t>Vikram Rao</t>
  </si>
  <si>
    <t>Jun</t>
  </si>
  <si>
    <t>Ananya Iyer</t>
  </si>
  <si>
    <t>Jul</t>
  </si>
  <si>
    <t>Karan Malhotra</t>
  </si>
  <si>
    <t>Aug</t>
  </si>
  <si>
    <t>Divya Reddy</t>
  </si>
  <si>
    <t>Sep</t>
  </si>
  <si>
    <t>Arjun Kapoor</t>
  </si>
  <si>
    <t>Oct</t>
  </si>
  <si>
    <t>Neha Joshi</t>
  </si>
  <si>
    <t>Nov</t>
  </si>
  <si>
    <t>Dec</t>
  </si>
  <si>
    <t>Order ID</t>
  </si>
  <si>
    <t>Order Date</t>
  </si>
  <si>
    <t>Year</t>
  </si>
  <si>
    <t>Region</t>
  </si>
  <si>
    <t>City</t>
  </si>
  <si>
    <t>Product</t>
  </si>
  <si>
    <t>Customer Segment</t>
  </si>
  <si>
    <t>Units Sold</t>
  </si>
  <si>
    <t>Unit Price</t>
  </si>
  <si>
    <t>Discount %</t>
  </si>
  <si>
    <t>Cost Ratio</t>
  </si>
  <si>
    <t>Cost</t>
  </si>
  <si>
    <t>Profit Margin %</t>
  </si>
  <si>
    <t>2024-01-01</t>
  </si>
  <si>
    <t>North</t>
  </si>
  <si>
    <t>Lucknow</t>
  </si>
  <si>
    <t>T-Shirt</t>
  </si>
  <si>
    <t>Consumer</t>
  </si>
  <si>
    <t>Mixer Grinder</t>
  </si>
  <si>
    <t>2024-01-02</t>
  </si>
  <si>
    <t>East</t>
  </si>
  <si>
    <t>Kolkata</t>
  </si>
  <si>
    <t>Vacuum Cleaner</t>
  </si>
  <si>
    <t>South</t>
  </si>
  <si>
    <t>Chennai</t>
  </si>
  <si>
    <t>Smartphone</t>
  </si>
  <si>
    <t>Corporate</t>
  </si>
  <si>
    <t>2024-01-03</t>
  </si>
  <si>
    <t>Hyderabad</t>
  </si>
  <si>
    <t>Patna</t>
  </si>
  <si>
    <t>Bookshelf</t>
  </si>
  <si>
    <t>2024-01-04</t>
  </si>
  <si>
    <t>Air Purifier</t>
  </si>
  <si>
    <t>West</t>
  </si>
  <si>
    <t>Ahmedabad</t>
  </si>
  <si>
    <t>Delhi</t>
  </si>
  <si>
    <t>Laptop</t>
  </si>
  <si>
    <t>Small Business</t>
  </si>
  <si>
    <t>Shoes</t>
  </si>
  <si>
    <t>2024-01-05</t>
  </si>
  <si>
    <t>Chandigarh</t>
  </si>
  <si>
    <t>Headphones</t>
  </si>
  <si>
    <t>Jacket</t>
  </si>
  <si>
    <t>2024-01-06</t>
  </si>
  <si>
    <t>Pune</t>
  </si>
  <si>
    <t>Bengaluru</t>
  </si>
  <si>
    <t>2024-01-07</t>
  </si>
  <si>
    <t>Smartwatch</t>
  </si>
  <si>
    <t>2024-01-08</t>
  </si>
  <si>
    <t>Study Table</t>
  </si>
  <si>
    <t>2024-01-09</t>
  </si>
  <si>
    <t>2024-01-10</t>
  </si>
  <si>
    <t>Mumbai</t>
  </si>
  <si>
    <t>2024-01-11</t>
  </si>
  <si>
    <t>Office Chair</t>
  </si>
  <si>
    <t>2024-01-12</t>
  </si>
  <si>
    <t>Bhubaneswar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</si>
  <si>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</si>
  <si>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</si>
  <si>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</si>
  <si>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</si>
  <si>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</si>
  <si>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</si>
  <si>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</si>
  <si>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</si>
  <si>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</si>
  <si>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</si>
  <si>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</si>
  <si>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</si>
  <si>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</si>
  <si>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</si>
  <si>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</si>
  <si>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</si>
  <si>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</si>
  <si>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</si>
  <si>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</si>
  <si>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</si>
  <si>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</si>
  <si>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</si>
  <si>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</si>
  <si>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</si>
  <si>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</si>
  <si>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</si>
  <si>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</si>
  <si>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</si>
  <si>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</si>
  <si>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</si>
  <si>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</si>
  <si>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</si>
  <si>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</si>
  <si>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</si>
  <si>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</si>
  <si>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</si>
  <si>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</si>
  <si>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</si>
  <si>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</si>
  <si>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</si>
  <si>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</si>
  <si>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</si>
  <si>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</si>
  <si>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</si>
  <si>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</si>
  <si>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</si>
  <si>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</si>
  <si>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</si>
  <si>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</si>
  <si>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</si>
  <si>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</si>
  <si>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</si>
  <si>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</si>
  <si>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</si>
  <si>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</si>
  <si>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</si>
  <si>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</si>
  <si>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</si>
  <si>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</si>
  <si>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</si>
  <si>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</si>
  <si>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</si>
  <si>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</si>
  <si>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</si>
  <si>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</si>
  <si>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</si>
  <si>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</si>
  <si>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</si>
  <si>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</si>
  <si>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</si>
  <si>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</si>
  <si>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</si>
  <si>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</si>
  <si>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</si>
  <si>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</si>
  <si>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</si>
  <si>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</si>
  <si>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</si>
  <si>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</si>
  <si>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</si>
  <si>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</si>
  <si>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</si>
  <si>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</si>
  <si>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</si>
  <si>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</si>
  <si>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</si>
  <si>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</si>
  <si>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</si>
  <si>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</si>
  <si>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</si>
  <si>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</si>
  <si>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</si>
  <si>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</si>
  <si>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</si>
  <si>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</si>
  <si>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</si>
  <si>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</si>
  <si>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</si>
  <si>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</si>
  <si>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</si>
  <si>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</si>
  <si>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</si>
  <si>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</si>
  <si>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</si>
  <si>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</si>
  <si>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</si>
  <si>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</si>
  <si>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</si>
  <si>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</si>
  <si>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</si>
  <si>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</si>
  <si>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</si>
  <si>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</si>
  <si>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</si>
  <si>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</si>
  <si>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</si>
  <si>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</si>
  <si>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</si>
  <si>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</si>
  <si>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</si>
  <si>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</si>
  <si>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</si>
  <si>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</si>
  <si>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</si>
  <si>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</si>
  <si>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</si>
  <si>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</si>
  <si>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</si>
  <si>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</si>
  <si>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</si>
  <si>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</si>
  <si>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</si>
  <si>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</si>
  <si>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</si>
  <si>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</si>
  <si>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</si>
  <si>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</si>
  <si>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</si>
  <si>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</si>
  <si>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</si>
  <si>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</si>
  <si>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</si>
  <si>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</si>
  <si>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</si>
  <si>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</si>
  <si>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</si>
  <si>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</si>
  <si>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</si>
  <si>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</si>
  <si>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</si>
  <si>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</si>
  <si>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</si>
  <si>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</si>
  <si>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</si>
  <si>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</si>
  <si>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</si>
  <si>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</si>
  <si>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</si>
  <si>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</si>
  <si>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</si>
  <si>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</si>
  <si>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</si>
  <si>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</si>
  <si>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</si>
  <si>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</si>
  <si>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</si>
  <si>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</si>
  <si>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</si>
  <si>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</si>
  <si>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</si>
  <si>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</si>
  <si>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</si>
  <si>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</si>
  <si>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</si>
  <si>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</si>
  <si>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</si>
  <si>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</si>
  <si>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</si>
  <si>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</si>
  <si>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</si>
  <si>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</si>
  <si>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</si>
  <si>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</si>
  <si>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</si>
  <si>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</si>
  <si>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</si>
  <si>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</si>
  <si>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</si>
  <si>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</si>
  <si>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</si>
  <si>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</si>
  <si>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</si>
  <si>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</si>
  <si>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</si>
  <si>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</si>
  <si>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</si>
  <si>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</si>
  <si>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</si>
  <si>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</si>
  <si>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</si>
  <si>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</si>
  <si>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</si>
  <si>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</si>
  <si>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</si>
  <si>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</si>
  <si>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</si>
  <si>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</si>
  <si>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</si>
  <si>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</si>
  <si>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</si>
  <si>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</si>
  <si>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</si>
  <si>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</si>
  <si>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</si>
  <si>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</si>
  <si>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</si>
  <si>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</si>
  <si>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</si>
  <si>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</si>
  <si>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</si>
  <si>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</si>
  <si>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</si>
  <si>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</si>
  <si>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</si>
  <si>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</si>
  <si>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</si>
  <si>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</si>
  <si>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</si>
  <si>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</si>
  <si>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</si>
  <si>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</si>
  <si>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</si>
  <si>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</si>
  <si>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</si>
  <si>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</si>
  <si>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</si>
  <si>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</si>
  <si>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</si>
  <si>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</si>
  <si>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</si>
  <si>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</si>
  <si>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</si>
  <si>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</si>
  <si>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</si>
  <si>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</si>
  <si>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</si>
  <si>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</si>
  <si>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</si>
  <si>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</si>
  <si>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</si>
  <si>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</si>
  <si>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</si>
  <si>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</si>
  <si>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</si>
  <si>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</si>
  <si>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</si>
  <si>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</si>
  <si>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</si>
  <si>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</si>
  <si>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</si>
  <si>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</si>
  <si>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</si>
  <si>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</si>
  <si>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</si>
  <si>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</si>
  <si>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</si>
  <si>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</si>
  <si>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</si>
  <si>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</si>
  <si>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</si>
  <si>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</si>
  <si>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</si>
  <si>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</si>
  <si>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</si>
  <si>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</si>
  <si>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</si>
  <si>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</si>
  <si>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</si>
  <si>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</si>
  <si>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</si>
  <si>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</si>
  <si>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</si>
  <si>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</si>
  <si>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</si>
  <si>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</si>
  <si>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</si>
  <si>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</si>
  <si>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</si>
  <si>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</si>
  <si>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</si>
  <si>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</si>
  <si>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</si>
  <si>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</si>
  <si>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</si>
  <si>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</si>
  <si>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</si>
  <si>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</si>
  <si>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</si>
  <si>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</si>
  <si>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</si>
  <si>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</si>
  <si>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</si>
  <si>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</si>
  <si>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</si>
  <si>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</si>
  <si>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</si>
  <si>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</si>
  <si>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</si>
  <si>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</si>
  <si>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</si>
  <si>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</si>
  <si>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</si>
  <si>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</si>
  <si>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</si>
  <si>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</si>
  <si>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</si>
  <si>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</si>
  <si>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</si>
  <si>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</si>
  <si>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</si>
  <si>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</si>
  <si>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</si>
  <si>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</si>
  <si>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</si>
  <si>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</si>
  <si>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</si>
  <si>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</si>
  <si>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</si>
  <si>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</si>
  <si>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</si>
  <si>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</si>
  <si>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</si>
  <si>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</si>
  <si>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</si>
  <si>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</si>
  <si>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</si>
  <si>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</si>
  <si>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</si>
  <si>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</si>
  <si>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</si>
  <si>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</si>
  <si>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</si>
  <si>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</si>
  <si>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</si>
  <si>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</si>
  <si>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</si>
  <si>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</si>
  <si>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</si>
  <si>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</si>
  <si>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</si>
  <si>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</si>
  <si>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</si>
  <si>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</si>
  <si>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</si>
  <si>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</si>
  <si>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</si>
  <si>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</si>
  <si>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</si>
  <si>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</si>
  <si>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</si>
  <si>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</si>
  <si>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</si>
  <si>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</si>
  <si>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</si>
  <si>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</si>
  <si>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</si>
  <si>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</si>
  <si>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</si>
  <si>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</si>
  <si>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</si>
  <si>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</si>
  <si>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</si>
  <si>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</si>
  <si>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</si>
  <si>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</si>
  <si>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</si>
  <si>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</si>
  <si>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</si>
  <si>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</si>
  <si>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</si>
  <si>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</si>
  <si>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</si>
  <si>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</si>
  <si>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</si>
  <si>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</si>
  <si>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</si>
  <si>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</si>
  <si>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</si>
  <si>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</si>
  <si>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</si>
  <si>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</si>
  <si>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</si>
  <si>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</si>
  <si>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</si>
  <si>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</si>
  <si>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</si>
  <si>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</si>
  <si>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</si>
  <si>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</si>
  <si>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</si>
  <si>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</si>
  <si>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</si>
  <si>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</si>
  <si>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</si>
  <si>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</si>
  <si>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</si>
  <si>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</si>
  <si>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</si>
  <si>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</si>
  <si>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</si>
  <si>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</si>
  <si>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</si>
  <si>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</si>
  <si>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</si>
  <si>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</si>
  <si>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</si>
  <si>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</si>
  <si>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</si>
  <si>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</si>
  <si>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</si>
  <si>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</si>
  <si>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</si>
  <si>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</si>
  <si>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</si>
  <si>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</si>
  <si>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</si>
  <si>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</si>
  <si>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</si>
  <si>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</si>
  <si>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</si>
  <si>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</si>
  <si>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</si>
  <si>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</si>
  <si>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</si>
  <si>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</si>
  <si>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</si>
  <si>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</si>
  <si>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</si>
  <si>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</si>
  <si>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</si>
  <si>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</si>
  <si>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</si>
  <si>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</si>
  <si>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</si>
  <si>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</si>
  <si>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</si>
  <si>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</si>
  <si>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</si>
  <si>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</si>
  <si>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</si>
  <si>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</si>
  <si>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</si>
  <si>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</si>
  <si>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</si>
  <si>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</si>
  <si>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</si>
  <si>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</si>
  <si>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</si>
  <si>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</si>
  <si>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</si>
  <si>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</si>
  <si>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</si>
  <si>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</si>
  <si>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</si>
  <si>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</si>
  <si>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</si>
  <si>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</si>
  <si>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</si>
  <si>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</si>
  <si>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</si>
  <si>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</si>
  <si>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</si>
  <si>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</si>
  <si>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</si>
  <si>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</si>
  <si>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</si>
  <si>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</si>
  <si>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</si>
  <si>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</si>
  <si>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</si>
  <si>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</si>
  <si>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</si>
  <si>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</si>
  <si>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</si>
  <si>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</si>
  <si>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</si>
  <si>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</si>
  <si>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</si>
  <si>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</si>
  <si>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</si>
  <si>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</si>
  <si>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</si>
  <si>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</si>
  <si>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</si>
  <si>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</si>
  <si>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</si>
  <si>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</si>
  <si>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</si>
  <si>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</si>
  <si>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</si>
  <si>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</si>
  <si>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</si>
  <si>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</si>
  <si>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</si>
  <si>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</si>
  <si>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</si>
  <si>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</si>
  <si>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</si>
  <si>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</si>
  <si>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</si>
  <si>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</si>
  <si>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</si>
  <si>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</si>
  <si>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</si>
  <si>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</si>
  <si>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</si>
  <si>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</si>
  <si>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</si>
  <si>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</si>
  <si>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</si>
  <si>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</si>
  <si>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</si>
  <si>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</si>
  <si>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</si>
  <si>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</si>
  <si>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</si>
  <si>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</si>
  <si>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</si>
  <si>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</si>
  <si>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</si>
  <si>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</si>
  <si>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</si>
  <si>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</si>
  <si>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</si>
  <si>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</si>
  <si>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</si>
  <si>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</si>
  <si>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</si>
  <si>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</si>
  <si>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</si>
  <si>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</si>
  <si>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</si>
  <si>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</si>
  <si>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</si>
  <si>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</si>
  <si>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</si>
  <si>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</si>
  <si>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</si>
  <si>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</si>
  <si>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</si>
  <si>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</si>
  <si>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</si>
  <si>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</si>
  <si>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</si>
  <si>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</si>
  <si>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</si>
  <si>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</si>
  <si>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</si>
  <si>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</si>
  <si>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</si>
  <si>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</si>
  <si>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</si>
  <si>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</si>
  <si>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</si>
  <si>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</si>
  <si>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</si>
  <si>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</si>
  <si>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</si>
  <si>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</si>
  <si>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</si>
  <si>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</si>
  <si>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</si>
  <si>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</si>
  <si>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</si>
  <si>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</si>
  <si>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</si>
  <si>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</si>
  <si>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</si>
  <si>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</si>
  <si>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</si>
  <si>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</si>
  <si>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</si>
  <si>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</si>
  <si>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</si>
  <si>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</si>
  <si>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</si>
  <si>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</si>
  <si>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</si>
  <si>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</si>
  <si>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</si>
  <si>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</si>
  <si>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</si>
  <si>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</si>
  <si>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</si>
  <si>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</si>
  <si>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</si>
  <si>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</si>
  <si>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</si>
  <si>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</si>
  <si>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</si>
  <si>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</si>
  <si>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</si>
  <si>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</si>
  <si>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</si>
  <si>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</si>
  <si>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</si>
  <si>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</si>
  <si>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</si>
  <si>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</si>
  <si>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</si>
  <si>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</si>
  <si>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</si>
  <si>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</si>
  <si>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</si>
  <si>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</si>
  <si>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</si>
  <si>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</si>
  <si>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</si>
  <si>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</si>
  <si>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</si>
  <si>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</si>
  <si>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</si>
  <si>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</si>
  <si>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</si>
  <si>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</si>
  <si>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</si>
  <si>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</si>
  <si>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</si>
  <si>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</si>
  <si>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</si>
  <si>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</si>
  <si>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</si>
  <si>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</si>
  <si>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</si>
  <si>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</si>
  <si>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</si>
  <si>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</si>
  <si>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</si>
  <si>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</si>
  <si>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</si>
  <si>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</si>
  <si>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</si>
  <si>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</si>
  <si>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</si>
  <si>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</si>
  <si>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</si>
  <si>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</si>
  <si>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</si>
  <si>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</si>
  <si>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</si>
  <si>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</si>
  <si>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</si>
  <si>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</si>
  <si>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</si>
  <si>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</si>
  <si>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</si>
  <si>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</si>
  <si>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</si>
  <si>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</si>
  <si>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</si>
  <si>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</si>
  <si>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</si>
  <si>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</si>
  <si>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</si>
  <si>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</si>
  <si>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</si>
  <si>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</si>
  <si>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</si>
  <si>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</si>
  <si>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</si>
  <si>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</si>
  <si>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</si>
  <si>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</si>
  <si>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</si>
  <si>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</si>
  <si>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</si>
  <si>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</si>
  <si>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</si>
  <si>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</si>
  <si>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</si>
  <si>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</si>
  <si>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</si>
  <si>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</si>
  <si>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</si>
  <si>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</si>
  <si>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</si>
  <si>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</si>
  <si>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</si>
  <si>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</si>
  <si>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</si>
  <si>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</si>
  <si>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</si>
  <si>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</si>
  <si>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</si>
  <si>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</si>
  <si>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</si>
  <si>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</si>
  <si>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</si>
  <si>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</si>
  <si>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</si>
  <si>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</si>
  <si>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</si>
  <si>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</si>
  <si>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</si>
  <si>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</si>
  <si>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</si>
  <si>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</si>
  <si>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</si>
  <si>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</si>
  <si>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</si>
  <si>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</si>
  <si>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</si>
  <si>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</si>
  <si>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</si>
  <si>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</si>
  <si>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</si>
  <si>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</si>
  <si>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</si>
  <si>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</si>
  <si>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Advanced Formula Reference</t>
  </si>
  <si>
    <t>Live formulas pulling from Raw_Sales_Data — change the input cells (blue) to see them update</t>
  </si>
  <si>
    <t>1. SUMIFS — Conditional Aggregation</t>
  </si>
  <si>
    <t>Total Revenue for Region:</t>
  </si>
  <si>
    <t>Total Profit for Category:</t>
  </si>
  <si>
    <t>Region + Category combined:</t>
  </si>
  <si>
    <t>2. XLOOKUP — Exact Match Lookup</t>
  </si>
  <si>
    <t>Salesperson:</t>
  </si>
  <si>
    <t>Revenue (₹):</t>
  </si>
  <si>
    <t>Note: formulas use IFERROR(XLOOKUP(...), INDEX/MATCH(...)) so this works in Excel 2019/LibreOffice (no native XLOOKUP) as well as Excel 365.</t>
  </si>
  <si>
    <t>3. INDEX-MATCH — Flexible Two-Way Lookup</t>
  </si>
  <si>
    <t>Same Order ID as above:</t>
  </si>
  <si>
    <t>Category (INDEX-MATCH):</t>
  </si>
  <si>
    <t>4. Nested IF — Commission Tier Logic</t>
  </si>
  <si>
    <t>Total Revenue Generated:</t>
  </si>
  <si>
    <t>Commission Tier:</t>
  </si>
  <si>
    <t>Commission Amount (₹):</t>
  </si>
  <si>
    <t>5. Date &amp; Text Functions</t>
  </si>
  <si>
    <t>Highest single-order Revenue:</t>
  </si>
  <si>
    <t>Average Order Value:</t>
  </si>
  <si>
    <t>Total Orders (COUNTA):</t>
  </si>
  <si>
    <t>% of orders with a discount (COUNTIFS):</t>
  </si>
  <si>
    <t>Pivot-Style Summary Tables</t>
  </si>
  <si>
    <t>Built with SUMIFS so tables auto-update when Raw_Sales_Data changes (in Excel, also try Insert &gt; PivotTable on the same range for a native pivot)</t>
  </si>
  <si>
    <t>Region x Month Revenue Matrix (2025)</t>
  </si>
  <si>
    <t>Total</t>
  </si>
  <si>
    <t>Category Performance Summary</t>
  </si>
  <si>
    <t>Avg Margin %</t>
  </si>
  <si>
    <t>Salesperson Performance (Ranked by Profit)</t>
  </si>
  <si>
    <t>Rank</t>
  </si>
  <si>
    <t>What-If &amp; Scenario Analysis</t>
  </si>
  <si>
    <t>Change the blue Scenario dropdown, or try Data &gt; What-If Analysis &gt; Goal Seek on Net Profit</t>
  </si>
  <si>
    <t>Scenario Manager Inputs</t>
  </si>
  <si>
    <t>Scenario</t>
  </si>
  <si>
    <t>Likely</t>
  </si>
  <si>
    <t>Best</t>
  </si>
  <si>
    <t>Worst</t>
  </si>
  <si>
    <t>Avg Discount %</t>
  </si>
  <si>
    <t>Revenue Growth %</t>
  </si>
  <si>
    <t>Selected Scenario Output</t>
  </si>
  <si>
    <t>Active Avg Discount %:</t>
  </si>
  <si>
    <t>Active Revenue Growth %:</t>
  </si>
  <si>
    <t>Active Cost Ratio:</t>
  </si>
  <si>
    <t>Current Total Revenue (₹):</t>
  </si>
  <si>
    <t>Projected Revenue Next Year (₹):</t>
  </si>
  <si>
    <t>Projected Cost (₹):</t>
  </si>
  <si>
    <t>Projected Net Profit (₹):</t>
  </si>
  <si>
    <t>Sensitivity: Discount % vs Projected Net Profit</t>
  </si>
  <si>
    <t>Net Profit 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</si>
</sst>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\₹#,##0,,\L"/>
    <numFmt numFmtId="165" formatCode="0.0%"/>
    <numFmt numFmtId="166" formatCode="\₹#,##0"/>
    <numFmt numFmtId="167" formatCode="yyyy\-mm\-dd"/>
  </numFmts>
  <fonts count="13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2"/>
      <color rgb="FF1F4E78"/>
      <name val="Arial"/>
      <charset val="1"/>
    </font>
    <font>
      <b/>
      <sz val="18"/>
      <color rgb="FF1F4E78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b/>
      <sz val="10"/>
      <color rgb="FFFFFFFF"/>
      <name val="Arial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9F9F9"/>
      </patternFill>
    </fill>
    <fill>
      <patternFill patternType="solid">
        <fgColor rgb="FF2E75B6"/>
        <bgColor rgb="FF4F81BD"/>
      </patternFill>
    </fill>
    <fill>
      <patternFill patternType="solid">
        <fgColor rgb="FFD9E2F3"/>
        <bgColor rgb="FFD9D9D9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">
    <xf numFmtId="0" fontId="0" fillId="0" borderId="0" xfId="0"/>
    <xf numFmtId="3" fontId="1" fillId="4" borderId="0" xfId="0" applyNumberFormat="1" applyFont="1" applyFill="1" applyBorder="1" applyAlignment="1">
      <alignment horizontal="center"/>
    </xf>
    <xf numFmtId="165" fontId="1" fillId="4" borderId="0" xfId="0" applyNumberFormat="1" applyFont="1" applyFill="1" applyBorder="1" applyAlignment="1">
      <alignment horizontal="center"/>
    </xf>
    <xf numFmtId="164" fontId="1" fillId="4" borderId="0" xfId="0" applyNumberFormat="1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2" fillId="0" borderId="0" xfId="0" applyFont="1" applyBorder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/>
    <xf numFmtId="0" fontId="7" fillId="2" borderId="0" xfId="0" applyFont="1" applyFill="1"/>
    <xf numFmtId="0" fontId="9" fillId="3" borderId="0" xfId="0" applyFont="1" applyFill="1"/>
    <xf numFmtId="0" fontId="0" fillId="3" borderId="0" xfId="0" applyFill="1"/>
    <xf numFmtId="0" fontId="10" fillId="5" borderId="0" xfId="0" applyFont="1" applyFill="1"/>
    <xf numFmtId="0" fontId="0" fillId="0" borderId="0" xfId="0" applyFont="1"/>
    <xf numFmtId="166" fontId="0" fillId="0" borderId="0" xfId="0" applyNumberFormat="1"/>
    <xf numFmtId="0" fontId="10" fillId="5" borderId="1" xfId="0" applyFont="1" applyFill="1" applyBorder="1" applyAlignment="1">
      <alignment horizontal="center" vertical="center" wrapText="1"/>
    </xf>
    <xf numFmtId="0" fontId="11" fillId="0" borderId="1" xfId="0" applyFont="1" applyBorder="1"/>
    <xf numFmtId="167" fontId="11" fillId="0" borderId="1" xfId="0" applyNumberFormat="1" applyFont="1" applyBorder="1"/>
    <xf numFmtId="166" fontId="11" fillId="0" borderId="1" xfId="0" applyNumberFormat="1" applyFont="1" applyBorder="1"/>
    <xf numFmtId="9" fontId="11" fillId="0" borderId="1" xfId="0" applyNumberFormat="1" applyFont="1" applyBorder="1"/>
    <xf numFmtId="165" fontId="11" fillId="0" borderId="1" xfId="0" applyNumberFormat="1" applyFont="1" applyBorder="1"/>
    <xf numFmtId="0" fontId="7" fillId="0" borderId="0" xfId="0" applyFont="1"/>
    <xf numFmtId="165" fontId="0" fillId="0" borderId="0" xfId="0" applyNumberFormat="1"/>
    <xf numFmtId="0" fontId="10" fillId="5" borderId="0" xfId="0" applyFont="1" applyFill="1" applyAlignment="1">
      <alignment horizontal="center"/>
    </xf>
    <xf numFmtId="0" fontId="12" fillId="0" borderId="0" xfId="0" applyFont="1"/>
    <xf numFmtId="9" fontId="7" fillId="0" borderId="0" xfId="0" applyNumberFormat="1" applyFont="1"/>
    <xf numFmtId="9" fontId="0" fillId="0" borderId="0" xfId="0" applyNumberFormat="1"/>
    <xf numFmtId="166" fontId="12" fillId="0" borderId="0" xfId="0" applyNumberFormat="1" applyFont="1"/>
    <xf numFmtId="0" fontId="5" fillId="0" borderId="0" xfId="0" applyFont="1" applyBorder="1" applyAlignment="1">
      <alignment horizontal="left"/>
    </xf>
    <xf numFmtId="0" fontId="10" fillId="5" borderId="0" xfId="0" applyFont="1" applyFill="1" applyAlignment="1"/>
    <xf numFmtId="166" fontId="0" fillId="0" borderId="0" xfId="0" applyNumberFormat="1" applyAlignment="1"/>
    <xf numFmtId="166" fontId="0" fillId="0" borderId="0" xfId="0" applyNumberFormat="1" applyAlignment="1">
      <alignment horizontal="center"/>
    </xf>
    <xf numFmtId="0" fontId="0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12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2E75B6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C0504D"/>
      <rgbColor rgb="FF1F4E78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Share by Category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Dashboard!$B$10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</c:dPt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</c:dLbls>
          <c:cat>
            <c:strRef>
              <c:f>Dashboard!$A$12:$A$15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Apparel</c:v>
                </c:pt>
                <c:pt idx="3">
                  <c:v>Home Appliances</c:v>
                </c:pt>
              </c:strCache>
            </c:strRef>
          </c:cat>
          <c:val>
            <c:numRef>
              <c:f>Dashboard!$B$11:$B$15</c:f>
              <c:numCache>
                <c:formatCode>\₹#,##0</c:formatCode>
                <c:ptCount val="5"/>
                <c:pt idx="0" formatCode="General">
                  <c:v>0.0</c:v>
                </c:pt>
                <c:pt idx="1">
                  <c:v>2.06983450665E7</c:v>
                </c:pt>
                <c:pt idx="2">
                  <c:v>6.7653253655E6</c:v>
                </c:pt>
                <c:pt idx="3">
                  <c:v>2.135538246E6</c:v>
                </c:pt>
                <c:pt idx="4">
                  <c:v>8.366600046E6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Dashboard!$E$10</c:f>
              <c:strCache>
                <c:ptCount val="1"/>
                <c:pt idx="0">
                  <c:v>Revenue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Dashboard!$D$11:$D$22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Dashboard!$E$11:$E$22</c:f>
              <c:numCache>
                <c:formatCode>\₹#,##0</c:formatCode>
                <c:ptCount val="12"/>
                <c:pt idx="0">
                  <c:v>4.311692278E6</c:v>
                </c:pt>
                <c:pt idx="1">
                  <c:v>2.6664939425E6</c:v>
                </c:pt>
                <c:pt idx="2">
                  <c:v>2.5415929025E6</c:v>
                </c:pt>
                <c:pt idx="3">
                  <c:v>3.4115468325E6</c:v>
                </c:pt>
                <c:pt idx="4">
                  <c:v>3.8036989995E6</c:v>
                </c:pt>
                <c:pt idx="5">
                  <c:v>4.531325631E6</c:v>
                </c:pt>
                <c:pt idx="6">
                  <c:v>3.6430231305E6</c:v>
                </c:pt>
                <c:pt idx="7">
                  <c:v>3.1630305455E6</c:v>
                </c:pt>
                <c:pt idx="8">
                  <c:v>2.6334085755E6</c:v>
                </c:pt>
                <c:pt idx="9">
                  <c:v>2.159156986E6</c:v>
                </c:pt>
                <c:pt idx="10">
                  <c:v>3.390512702E6</c:v>
                </c:pt>
                <c:pt idx="11">
                  <c:v>1.7103261985E6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065880136"/>
        <c:axId val="2029491800"/>
      </c:lineChart>
      <c:catAx>
        <c:axId val="2065880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29491800"/>
        <c:crosses val="autoZero"/>
        <c:auto val="1"/>
        <c:lblAlgn val="ctr"/>
        <c:lblOffset val="100"/>
        <c:noMultiLvlLbl val="0"/>
      </c:catAx>
      <c:valAx>
        <c:axId val="20294918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658801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Profit by Salesperson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Dashboard!$H$10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Dashboard!$G$11:$G$20</c:f>
              <c:strCache>
                <c:ptCount val="10"/>
                <c:pt idx="0">
                  <c:v>Aarav Shah</c:v>
                </c:pt>
                <c:pt idx="1">
                  <c:v>Priya Nair</c:v>
                </c:pt>
                <c:pt idx="2">
                  <c:v>Rohan Mehta</c:v>
                </c:pt>
                <c:pt idx="3">
                  <c:v>Sneha Kulkarni</c:v>
                </c:pt>
                <c:pt idx="4">
                  <c:v>Vikram Rao</c:v>
                </c:pt>
                <c:pt idx="5">
                  <c:v>Ananya Iyer</c:v>
                </c:pt>
                <c:pt idx="6">
                  <c:v>Karan Malhotra</c:v>
                </c:pt>
                <c:pt idx="7">
                  <c:v>Divya Reddy</c:v>
                </c:pt>
                <c:pt idx="8">
                  <c:v>Arjun Kapoor</c:v>
                </c:pt>
                <c:pt idx="9">
                  <c:v>Neha Joshi</c:v>
                </c:pt>
              </c:strCache>
            </c:strRef>
          </c:cat>
          <c:val>
            <c:numRef>
              <c:f>Dashboard!$H$11:$H$20</c:f>
              <c:numCache>
                <c:formatCode>\₹#,##0</c:formatCode>
                <c:ptCount val="10"/>
                <c:pt idx="0">
                  <c:v>1.82378009232504E6</c:v>
                </c:pt>
                <c:pt idx="1">
                  <c:v>797719.8279311707</c:v>
                </c:pt>
                <c:pt idx="2">
                  <c:v>1.28417859271818E6</c:v>
                </c:pt>
                <c:pt idx="3">
                  <c:v>1.2891447254786E6</c:v>
                </c:pt>
                <c:pt idx="4">
                  <c:v>1.27360489755603E6</c:v>
                </c:pt>
                <c:pt idx="5">
                  <c:v>1.38500725886918E6</c:v>
                </c:pt>
                <c:pt idx="6">
                  <c:v>1.38846582511944E6</c:v>
                </c:pt>
                <c:pt idx="7">
                  <c:v>1.52684215832382E6</c:v>
                </c:pt>
                <c:pt idx="8">
                  <c:v>1.35330597211927E6</c:v>
                </c:pt>
                <c:pt idx="9">
                  <c:v>1.06600576192392E6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8995608"/>
        <c:axId val="2028999704"/>
      </c:barChart>
      <c:catAx>
        <c:axId val="2028995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28999704"/>
        <c:crosses val="autoZero"/>
        <c:auto val="1"/>
        <c:lblAlgn val="ctr"/>
        <c:lblOffset val="100"/>
        <c:noMultiLvlLbl val="0"/>
      </c:catAx>
      <c:valAx>
        <c:axId val="20289997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289956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Total Revenue by Region (2025, all data)</a:t>
            </a:r>
          </a:p>
        </c:rich>
      </c:tx>
      <c:layout>
        <c:manualLayout>
          <c:xMode val="edge"/>
          <c:yMode val="edge"/>
          <c:x val="0.122971006939921"/>
          <c:y val="0.0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Pivot_Analysis!$O$5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Pivot_Analysis!$A$6:$A$9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  <c:pt idx="3">
                  <c:v>East</c:v>
                </c:pt>
              </c:strCache>
            </c:strRef>
          </c:cat>
          <c:val>
            <c:numRef>
              <c:f>Pivot_Analysis!$O$6:$O$9</c:f>
              <c:numCache>
                <c:formatCode>\₹#,##0</c:formatCode>
                <c:ptCount val="4"/>
                <c:pt idx="0">
                  <c:v>1.73291410105E7</c:v>
                </c:pt>
                <c:pt idx="1">
                  <c:v>1.68557365555E7</c:v>
                </c:pt>
                <c:pt idx="2">
                  <c:v>1.68742771465E7</c:v>
                </c:pt>
                <c:pt idx="3">
                  <c:v>1.8993257191E7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5870984"/>
        <c:axId val="2065885224"/>
      </c:barChart>
      <c:catAx>
        <c:axId val="2065870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65885224"/>
        <c:crosses val="autoZero"/>
        <c:auto val="1"/>
        <c:lblAlgn val="ctr"/>
        <c:lblOffset val="100"/>
        <c:noMultiLvlLbl val="0"/>
      </c:catAx>
      <c:valAx>
        <c:axId val="20658852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658709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177800</xdr:colOff>
      <xdr:row>24</xdr:row>
      <xdr:rowOff>63500</xdr:rowOff>
    </xdr:from>
    <xdr:to>
      <xdr:col>19</xdr:col>
      <xdr:colOff>160240</xdr:colOff>
      <xdr:row>39</xdr:row>
      <xdr:rowOff>152260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152400</xdr:colOff>
      <xdr:row>5</xdr:row>
      <xdr:rowOff>0</xdr:rowOff>
    </xdr:from>
    <xdr:to>
      <xdr:col>17</xdr:col>
      <xdr:colOff>177800</xdr:colOff>
      <xdr:row>20</xdr:row>
      <xdr:rowOff>164960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1104900</xdr:colOff>
      <xdr:row>24</xdr:row>
      <xdr:rowOff>88900</xdr:rowOff>
    </xdr:from>
    <xdr:to>
      <xdr:col>12</xdr:col>
      <xdr:colOff>25400</xdr:colOff>
      <xdr:row>40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24</xdr:row>
      <xdr:rowOff>38100</xdr:rowOff>
    </xdr:from>
    <xdr:to>
      <xdr:col>4</xdr:col>
      <xdr:colOff>800100</xdr:colOff>
      <xdr:row>39</xdr:row>
      <xdr:rowOff>139700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showGridLines="0" workbookViewId="0"/>
  </sheetViews>
  <sheetFormatPr baseColWidth="10" defaultColWidth="8.6640625" defaultRowHeight="14" x14ac:dyDescent="0"/>
  <cols>
    <col min="1" max="1" width="100" customWidth="1"/>
  </cols>
  <sheetData>
    <row r="1" spans="1:1" ht="18">
      <c r="A1" s="6" t="s">
        <v>0</v>
      </c>
    </row>
    <row r="2" spans="1:1">
      <c r="A2" s="7" t="s">
        <v>1</v>
      </c>
    </row>
    <row r="3" spans="1:1" ht="15.75" customHeight="1">
      <c r="A3" s="8"/>
    </row>
    <row r="4" spans="1:1" ht="15.75" customHeight="1">
      <c r="A4" s="9" t="s">
        <v>2</v>
      </c>
    </row>
    <row r="5" spans="1:1" ht="30" customHeight="1">
      <c r="A5" s="8" t="s">
        <v>3</v>
      </c>
    </row>
    <row r="6" spans="1:1" ht="15.75" customHeight="1">
      <c r="A6" s="8"/>
    </row>
    <row r="7" spans="1:1" ht="15.75" customHeight="1">
      <c r="A7" s="9" t="s">
        <v>4</v>
      </c>
    </row>
    <row r="8" spans="1:1" ht="15.75" customHeight="1">
      <c r="A8" s="8" t="s">
        <v>5</v>
      </c>
    </row>
    <row r="9" spans="1:1" ht="15.75" customHeight="1">
      <c r="A9" s="8" t="s">
        <v>6</v>
      </c>
    </row>
    <row r="10" spans="1:1" ht="30" customHeight="1">
      <c r="A10" s="8" t="s">
        <v>7</v>
      </c>
    </row>
    <row r="11" spans="1:1" ht="30" customHeight="1">
      <c r="A11" s="8" t="s">
        <v>8</v>
      </c>
    </row>
    <row r="12" spans="1:1" ht="30" customHeight="1">
      <c r="A12" s="8" t="s">
        <v>9</v>
      </c>
    </row>
    <row r="13" spans="1:1" ht="15.75" customHeight="1">
      <c r="A13" s="8" t="s">
        <v>10</v>
      </c>
    </row>
    <row r="14" spans="1:1" ht="15.75" customHeight="1">
      <c r="A14" s="8"/>
    </row>
    <row r="15" spans="1:1" ht="15.75" customHeight="1">
      <c r="A15" s="8" t="s">
        <v>11</v>
      </c>
    </row>
    <row r="16" spans="1:1" ht="30" customHeight="1">
      <c r="A16" s="8" t="s">
        <v>12</v>
      </c>
    </row>
    <row r="17" spans="1:1" ht="30" customHeight="1">
      <c r="A17" s="8" t="s">
        <v>13</v>
      </c>
    </row>
    <row r="18" spans="1:1" ht="15.75" customHeight="1">
      <c r="A18" s="8" t="s">
        <v>14</v>
      </c>
    </row>
    <row r="19" spans="1:1" ht="30" customHeight="1">
      <c r="A19" s="8" t="s">
        <v>15</v>
      </c>
    </row>
    <row r="20" spans="1:1" ht="30" customHeight="1">
      <c r="A20" s="8" t="s">
        <v>16</v>
      </c>
    </row>
    <row r="21" spans="1:1" ht="30" customHeight="1">
      <c r="A21" s="8" t="s">
        <v>17</v>
      </c>
    </row>
    <row r="22" spans="1:1" ht="30" customHeight="1">
      <c r="A22" s="8" t="s">
        <v>18</v>
      </c>
    </row>
    <row r="23" spans="1:1" ht="15.75" customHeight="1">
      <c r="A23" s="8" t="s">
        <v>19</v>
      </c>
    </row>
    <row r="24" spans="1:1" ht="15.75" customHeight="1">
      <c r="A24" s="8" t="s">
        <v>20</v>
      </c>
    </row>
    <row r="25" spans="1:1" ht="15.75" customHeight="1">
      <c r="A25" s="8" t="s">
        <v>21</v>
      </c>
    </row>
    <row r="26" spans="1:1" ht="15.75" customHeight="1">
      <c r="A26" s="8" t="s">
        <v>22</v>
      </c>
    </row>
    <row r="27" spans="1:1" ht="15.75" customHeight="1">
      <c r="A27" s="8" t="s">
        <v>23</v>
      </c>
    </row>
    <row r="28" spans="1:1" ht="15.75" customHeight="1">
      <c r="A28" s="8"/>
    </row>
    <row r="29" spans="1:1" ht="15.75" customHeight="1">
      <c r="A29" s="9" t="s">
        <v>24</v>
      </c>
    </row>
    <row r="30" spans="1:1" ht="30" customHeight="1">
      <c r="A30" s="8" t="s">
        <v>25</v>
      </c>
    </row>
  </sheetData>
  <pageMargins left="0.75" right="0.75" top="1" bottom="1" header="0.511811023622047" footer="0.511811023622047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showGridLines="0" tabSelected="1" workbookViewId="0">
      <selection activeCell="I5" sqref="I5"/>
    </sheetView>
  </sheetViews>
  <sheetFormatPr baseColWidth="10" defaultColWidth="8.6640625" defaultRowHeight="14" x14ac:dyDescent="0"/>
  <cols>
    <col min="1" max="1" width="20" customWidth="1"/>
    <col min="2" max="2" width="16" customWidth="1"/>
    <col min="3" max="3" width="4" customWidth="1"/>
    <col min="4" max="4" width="10" customWidth="1"/>
    <col min="5" max="5" width="16" customWidth="1"/>
    <col min="6" max="6" width="4" customWidth="1"/>
    <col min="7" max="7" width="18" customWidth="1"/>
    <col min="8" max="8" width="16" customWidth="1"/>
  </cols>
  <sheetData>
    <row r="1" spans="1:8" ht="21">
      <c r="A1" s="30" t="s">
        <v>26</v>
      </c>
      <c r="B1" s="30"/>
      <c r="C1" s="30"/>
      <c r="D1" s="30"/>
      <c r="E1" s="30"/>
      <c r="F1" s="30"/>
      <c r="G1" s="30"/>
      <c r="H1" s="30"/>
    </row>
    <row r="2" spans="1:8">
      <c r="A2" s="5" t="s">
        <v>27</v>
      </c>
      <c r="B2" s="5"/>
      <c r="C2" s="5"/>
      <c r="D2" s="5"/>
      <c r="E2" s="5"/>
      <c r="F2" s="5"/>
      <c r="G2" s="5"/>
      <c r="H2" s="5"/>
    </row>
    <row r="4" spans="1:8">
      <c r="A4" s="10" t="s">
        <v>28</v>
      </c>
      <c r="B4" s="11" t="s">
        <v>85</v>
      </c>
    </row>
    <row r="6" spans="1:8">
      <c r="A6" s="4" t="s">
        <v>29</v>
      </c>
      <c r="B6" s="4"/>
      <c r="C6" s="4" t="s">
        <v>30</v>
      </c>
      <c r="D6" s="4"/>
      <c r="E6" s="4" t="s">
        <v>31</v>
      </c>
      <c r="F6" s="4"/>
      <c r="G6" s="4" t="s">
        <v>32</v>
      </c>
      <c r="H6" s="4"/>
    </row>
    <row r="7" spans="1:8" ht="18">
      <c r="A7" s="3">
        <f>IF($B$4="All",SUM(Raw_Sales_Data!$O$2:$O$2528),SUMIFS(Raw_Sales_Data!$O$2:$O$2528,Raw_Sales_Data!$E$2:$E$2528,$B$4))</f>
        <v>37965808.723999955</v>
      </c>
      <c r="B7" s="3"/>
      <c r="C7" s="3">
        <f>IF($B$4="All",SUM(Raw_Sales_Data!$Q$2:$Q$2528),SUMIFS(Raw_Sales_Data!$Q$2:$Q$2528,Raw_Sales_Data!$E$2:$E$2528,$B$4))</f>
        <v>13188055.11236468</v>
      </c>
      <c r="D7" s="3"/>
      <c r="E7" s="2">
        <f>IFERROR(IF($B$4="All",SUM(Raw_Sales_Data!$Q$2:$Q$2528)/SUM(Raw_Sales_Data!$O$2:$O$2528),SUMIFS(Raw_Sales_Data!$Q$2:$Q$2528,Raw_Sales_Data!$E$2:$E$2528,$B$4)/SUMIFS(Raw_Sales_Data!$O$2:$O$2528,Raw_Sales_Data!$E$2:$E$2528,$B$4)),0)</f>
        <v>0.34736663212518099</v>
      </c>
      <c r="F7" s="2"/>
      <c r="G7" s="1">
        <f>IF($B$4="All",SUM(Raw_Sales_Data!$K$2:$K$2528),SUMIFS(Raw_Sales_Data!$K$2:$K$2528,Raw_Sales_Data!$E$2:$E$2528,$B$4))</f>
        <v>4258</v>
      </c>
      <c r="H7" s="1"/>
    </row>
    <row r="10" spans="1:8" ht="15">
      <c r="A10" s="12" t="s">
        <v>33</v>
      </c>
      <c r="B10" s="13"/>
      <c r="C10" s="13"/>
      <c r="D10" s="14" t="s">
        <v>34</v>
      </c>
      <c r="E10" s="14" t="s">
        <v>35</v>
      </c>
      <c r="G10" s="14" t="s">
        <v>36</v>
      </c>
      <c r="H10" s="14" t="s">
        <v>37</v>
      </c>
    </row>
    <row r="11" spans="1:8">
      <c r="A11" s="14" t="s">
        <v>38</v>
      </c>
      <c r="B11" s="25" t="s">
        <v>35</v>
      </c>
      <c r="D11" s="15" t="s">
        <v>39</v>
      </c>
      <c r="E11" s="16">
        <f>IF($B$4="All",SUMIFS(Raw_Sales_Data!$O$2:$O$2528,Raw_Sales_Data!$D$2:$D$2528,D11),SUMIFS(Raw_Sales_Data!$O$2:$O$2528,Raw_Sales_Data!$D$2:$D$2528,D11,Raw_Sales_Data!$E$2:$E$2528,$B$4))</f>
        <v>4311692.277999999</v>
      </c>
      <c r="G11" s="15" t="s">
        <v>40</v>
      </c>
      <c r="H11" s="16">
        <f>IF($B$4="All",SUMIFS(Raw_Sales_Data!$Q$2:$Q$2528,Raw_Sales_Data!$I$2:$I$2528,G11),SUMIFS(Raw_Sales_Data!$Q$2:$Q$2528,Raw_Sales_Data!$I$2:$I$2528,G11,Raw_Sales_Data!$E$2:$E$2528,$B$4))</f>
        <v>1823780.0923250406</v>
      </c>
    </row>
    <row r="12" spans="1:8">
      <c r="A12" t="s">
        <v>41</v>
      </c>
      <c r="B12" s="33">
        <f>IF($B$4="All",SUMIFS(Raw_Sales_Data!$O$2:$O$2528,Raw_Sales_Data!$G$2:$G$2528,A12),SUMIFS(Raw_Sales_Data!$O$2:$O$2528,Raw_Sales_Data!$G$2:$G$2528,A12,Raw_Sales_Data!$E$2:$E$2528,$B$4))</f>
        <v>20698345.066500008</v>
      </c>
      <c r="D12" s="15" t="s">
        <v>42</v>
      </c>
      <c r="E12" s="16">
        <f>IF($B$4="All",SUMIFS(Raw_Sales_Data!$O$2:$O$2528,Raw_Sales_Data!$D$2:$D$2528,D12),SUMIFS(Raw_Sales_Data!$O$2:$O$2528,Raw_Sales_Data!$D$2:$D$2528,D12,Raw_Sales_Data!$E$2:$E$2528,$B$4))</f>
        <v>2666493.942499999</v>
      </c>
      <c r="G12" s="15" t="s">
        <v>43</v>
      </c>
      <c r="H12" s="16">
        <f>IF($B$4="All",SUMIFS(Raw_Sales_Data!$Q$2:$Q$2528,Raw_Sales_Data!$I$2:$I$2528,G12),SUMIFS(Raw_Sales_Data!$Q$2:$Q$2528,Raw_Sales_Data!$I$2:$I$2528,G12,Raw_Sales_Data!$E$2:$E$2528,$B$4))</f>
        <v>797719.8279311707</v>
      </c>
    </row>
    <row r="13" spans="1:8">
      <c r="A13" t="s">
        <v>44</v>
      </c>
      <c r="B13" s="33">
        <f>IF($B$4="All",SUMIFS(Raw_Sales_Data!$O$2:$O$2528,Raw_Sales_Data!$G$2:$G$2528,A13),SUMIFS(Raw_Sales_Data!$O$2:$O$2528,Raw_Sales_Data!$G$2:$G$2528,A13,Raw_Sales_Data!$E$2:$E$2528,$B$4))</f>
        <v>6765325.3655000012</v>
      </c>
      <c r="D13" s="15" t="s">
        <v>45</v>
      </c>
      <c r="E13" s="16">
        <f>IF($B$4="All",SUMIFS(Raw_Sales_Data!$O$2:$O$2528,Raw_Sales_Data!$D$2:$D$2528,D13),SUMIFS(Raw_Sales_Data!$O$2:$O$2528,Raw_Sales_Data!$D$2:$D$2528,D13,Raw_Sales_Data!$E$2:$E$2528,$B$4))</f>
        <v>2541592.9024999999</v>
      </c>
      <c r="G13" s="15" t="s">
        <v>46</v>
      </c>
      <c r="H13" s="16">
        <f>IF($B$4="All",SUMIFS(Raw_Sales_Data!$Q$2:$Q$2528,Raw_Sales_Data!$I$2:$I$2528,G13),SUMIFS(Raw_Sales_Data!$Q$2:$Q$2528,Raw_Sales_Data!$I$2:$I$2528,G13,Raw_Sales_Data!$E$2:$E$2528,$B$4))</f>
        <v>1284178.5927181798</v>
      </c>
    </row>
    <row r="14" spans="1:8">
      <c r="A14" t="s">
        <v>47</v>
      </c>
      <c r="B14" s="33">
        <f>IF($B$4="All",SUMIFS(Raw_Sales_Data!$O$2:$O$2528,Raw_Sales_Data!$G$2:$G$2528,A14),SUMIFS(Raw_Sales_Data!$O$2:$O$2528,Raw_Sales_Data!$G$2:$G$2528,A14,Raw_Sales_Data!$E$2:$E$2528,$B$4))</f>
        <v>2135538.2460000003</v>
      </c>
      <c r="D14" s="15" t="s">
        <v>48</v>
      </c>
      <c r="E14" s="16">
        <f>IF($B$4="All",SUMIFS(Raw_Sales_Data!$O$2:$O$2528,Raw_Sales_Data!$D$2:$D$2528,D14),SUMIFS(Raw_Sales_Data!$O$2:$O$2528,Raw_Sales_Data!$D$2:$D$2528,D14,Raw_Sales_Data!$E$2:$E$2528,$B$4))</f>
        <v>3411546.8324999996</v>
      </c>
      <c r="G14" s="15" t="s">
        <v>49</v>
      </c>
      <c r="H14" s="16">
        <f>IF($B$4="All",SUMIFS(Raw_Sales_Data!$Q$2:$Q$2528,Raw_Sales_Data!$I$2:$I$2528,G14),SUMIFS(Raw_Sales_Data!$Q$2:$Q$2528,Raw_Sales_Data!$I$2:$I$2528,G14,Raw_Sales_Data!$E$2:$E$2528,$B$4))</f>
        <v>1289144.7254786047</v>
      </c>
    </row>
    <row r="15" spans="1:8">
      <c r="A15" t="s">
        <v>50</v>
      </c>
      <c r="B15" s="33">
        <f>IF($B$4="All",SUMIFS(Raw_Sales_Data!$O$2:$O$2528,Raw_Sales_Data!$G$2:$G$2528,A15),SUMIFS(Raw_Sales_Data!$O$2:$O$2528,Raw_Sales_Data!$G$2:$G$2528,A15,Raw_Sales_Data!$E$2:$E$2528,$B$4))</f>
        <v>8366600.046000001</v>
      </c>
      <c r="D15" s="15" t="s">
        <v>51</v>
      </c>
      <c r="E15" s="16">
        <f>IF($B$4="All",SUMIFS(Raw_Sales_Data!$O$2:$O$2528,Raw_Sales_Data!$D$2:$D$2528,D15),SUMIFS(Raw_Sales_Data!$O$2:$O$2528,Raw_Sales_Data!$D$2:$D$2528,D15,Raw_Sales_Data!$E$2:$E$2528,$B$4))</f>
        <v>3803698.999499999</v>
      </c>
      <c r="G15" s="15" t="s">
        <v>52</v>
      </c>
      <c r="H15" s="16">
        <f>IF($B$4="All",SUMIFS(Raw_Sales_Data!$Q$2:$Q$2528,Raw_Sales_Data!$I$2:$I$2528,G15),SUMIFS(Raw_Sales_Data!$Q$2:$Q$2528,Raw_Sales_Data!$I$2:$I$2528,G15,Raw_Sales_Data!$E$2:$E$2528,$B$4))</f>
        <v>1273604.8975560328</v>
      </c>
    </row>
    <row r="16" spans="1:8">
      <c r="D16" t="s">
        <v>53</v>
      </c>
      <c r="E16" s="16">
        <f>IF($B$4="All",SUMIFS(Raw_Sales_Data!$O$2:$O$2528,Raw_Sales_Data!$D$2:$D$2528,D16),SUMIFS(Raw_Sales_Data!$O$2:$O$2528,Raw_Sales_Data!$D$2:$D$2528,D16,Raw_Sales_Data!$E$2:$E$2528,$B$4))</f>
        <v>4531325.6309999991</v>
      </c>
      <c r="G16" s="15" t="s">
        <v>54</v>
      </c>
      <c r="H16" s="16">
        <f>IF($B$4="All",SUMIFS(Raw_Sales_Data!$Q$2:$Q$2528,Raw_Sales_Data!$I$2:$I$2528,G16),SUMIFS(Raw_Sales_Data!$Q$2:$Q$2528,Raw_Sales_Data!$I$2:$I$2528,G16,Raw_Sales_Data!$E$2:$E$2528,$B$4))</f>
        <v>1385007.2588691767</v>
      </c>
    </row>
    <row r="17" spans="4:8">
      <c r="D17" t="s">
        <v>55</v>
      </c>
      <c r="E17" s="16">
        <f>IF($B$4="All",SUMIFS(Raw_Sales_Data!$O$2:$O$2528,Raw_Sales_Data!$D$2:$D$2528,D17),SUMIFS(Raw_Sales_Data!$O$2:$O$2528,Raw_Sales_Data!$D$2:$D$2528,D17,Raw_Sales_Data!$E$2:$E$2528,$B$4))</f>
        <v>3643023.1305000009</v>
      </c>
      <c r="G17" s="15" t="s">
        <v>56</v>
      </c>
      <c r="H17" s="16">
        <f>IF($B$4="All",SUMIFS(Raw_Sales_Data!$Q$2:$Q$2528,Raw_Sales_Data!$I$2:$I$2528,G17),SUMIFS(Raw_Sales_Data!$Q$2:$Q$2528,Raw_Sales_Data!$I$2:$I$2528,G17,Raw_Sales_Data!$E$2:$E$2528,$B$4))</f>
        <v>1388465.8251194418</v>
      </c>
    </row>
    <row r="18" spans="4:8">
      <c r="D18" t="s">
        <v>57</v>
      </c>
      <c r="E18" s="16">
        <f>IF($B$4="All",SUMIFS(Raw_Sales_Data!$O$2:$O$2528,Raw_Sales_Data!$D$2:$D$2528,D18),SUMIFS(Raw_Sales_Data!$O$2:$O$2528,Raw_Sales_Data!$D$2:$D$2528,D18,Raw_Sales_Data!$E$2:$E$2528,$B$4))</f>
        <v>3163030.5454999995</v>
      </c>
      <c r="G18" s="15" t="s">
        <v>58</v>
      </c>
      <c r="H18" s="16">
        <f>IF($B$4="All",SUMIFS(Raw_Sales_Data!$Q$2:$Q$2528,Raw_Sales_Data!$I$2:$I$2528,G18),SUMIFS(Raw_Sales_Data!$Q$2:$Q$2528,Raw_Sales_Data!$I$2:$I$2528,G18,Raw_Sales_Data!$E$2:$E$2528,$B$4))</f>
        <v>1526842.1583238221</v>
      </c>
    </row>
    <row r="19" spans="4:8">
      <c r="D19" t="s">
        <v>59</v>
      </c>
      <c r="E19" s="16">
        <f>IF($B$4="All",SUMIFS(Raw_Sales_Data!$O$2:$O$2528,Raw_Sales_Data!$D$2:$D$2528,D19),SUMIFS(Raw_Sales_Data!$O$2:$O$2528,Raw_Sales_Data!$D$2:$D$2528,D19,Raw_Sales_Data!$E$2:$E$2528,$B$4))</f>
        <v>2633408.5754999998</v>
      </c>
      <c r="G19" s="15" t="s">
        <v>60</v>
      </c>
      <c r="H19" s="16">
        <f>IF($B$4="All",SUMIFS(Raw_Sales_Data!$Q$2:$Q$2528,Raw_Sales_Data!$I$2:$I$2528,G19),SUMIFS(Raw_Sales_Data!$Q$2:$Q$2528,Raw_Sales_Data!$I$2:$I$2528,G19,Raw_Sales_Data!$E$2:$E$2528,$B$4))</f>
        <v>1353305.9721192722</v>
      </c>
    </row>
    <row r="20" spans="4:8">
      <c r="D20" t="s">
        <v>61</v>
      </c>
      <c r="E20" s="16">
        <f>IF($B$4="All",SUMIFS(Raw_Sales_Data!$O$2:$O$2528,Raw_Sales_Data!$D$2:$D$2528,D20),SUMIFS(Raw_Sales_Data!$O$2:$O$2528,Raw_Sales_Data!$D$2:$D$2528,D20,Raw_Sales_Data!$E$2:$E$2528,$B$4))</f>
        <v>2159156.9860000005</v>
      </c>
      <c r="G20" s="15" t="s">
        <v>62</v>
      </c>
      <c r="H20" s="16">
        <f>IF($B$4="All",SUMIFS(Raw_Sales_Data!$Q$2:$Q$2528,Raw_Sales_Data!$I$2:$I$2528,G20),SUMIFS(Raw_Sales_Data!$Q$2:$Q$2528,Raw_Sales_Data!$I$2:$I$2528,G20,Raw_Sales_Data!$E$2:$E$2528,$B$4))</f>
        <v>1066005.7619239199</v>
      </c>
    </row>
    <row r="21" spans="4:8">
      <c r="D21" t="s">
        <v>63</v>
      </c>
      <c r="E21" s="16">
        <f>IF($B$4="All",SUMIFS(Raw_Sales_Data!$O$2:$O$2528,Raw_Sales_Data!$D$2:$D$2528,D21),SUMIFS(Raw_Sales_Data!$O$2:$O$2528,Raw_Sales_Data!$D$2:$D$2528,D21,Raw_Sales_Data!$E$2:$E$2528,$B$4))</f>
        <v>3390512.7020000005</v>
      </c>
    </row>
    <row r="22" spans="4:8">
      <c r="D22" t="s">
        <v>64</v>
      </c>
      <c r="E22" s="16">
        <f>IF($B$4="All",SUMIFS(Raw_Sales_Data!$O$2:$O$2528,Raw_Sales_Data!$D$2:$D$2528,D22),SUMIFS(Raw_Sales_Data!$O$2:$O$2528,Raw_Sales_Data!$D$2:$D$2528,D22,Raw_Sales_Data!$E$2:$E$2528,$B$4))</f>
        <v>1710326.1984999997</v>
      </c>
    </row>
  </sheetData>
  <mergeCells count="10">
    <mergeCell ref="A7:B7"/>
    <mergeCell ref="C7:D7"/>
    <mergeCell ref="E7:F7"/>
    <mergeCell ref="G7:H7"/>
    <mergeCell ref="A1:H1"/>
    <mergeCell ref="A2:H2"/>
    <mergeCell ref="A6:B6"/>
    <mergeCell ref="C6:D6"/>
    <mergeCell ref="E6:F6"/>
    <mergeCell ref="G6:H6"/>
  </mergeCells>
  <conditionalFormatting sqref="B12:B15">
    <cfRule type="colorScale" priority="2">
      <colorScale>
        <cfvo type="min"/>
        <cfvo type="max"/>
        <color rgb="FFFFEB84"/>
        <color rgb="FF63BE7B"/>
      </colorScale>
    </cfRule>
  </conditionalFormatting>
  <dataValidations count="1">
    <dataValidation type="list" sqref="B4">
      <formula1>"All,North,South,West,East"</formula1>
      <formula2>0</formula2>
    </dataValidation>
  </dataValidations>
  <pageMargins left="0.75" right="0.75" top="1" bottom="1" header="0.511811023622047" footer="0.511811023622047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28"/>
  <sheetViews>
    <sheetView workbookViewId="0">
      <pane ySplit="1" topLeftCell="A104" activePane="bottomLeft" state="frozen"/>
      <selection pane="bottomLeft"/>
    </sheetView>
  </sheetViews>
  <sheetFormatPr baseColWidth="10" defaultColWidth="8.6640625" defaultRowHeight="14" x14ac:dyDescent="0"/>
  <cols>
    <col min="1" max="1" width="10" customWidth="1"/>
    <col min="2" max="2" width="12" customWidth="1"/>
    <col min="3" max="4" width="6" customWidth="1"/>
    <col min="5" max="5" width="10" customWidth="1"/>
    <col min="6" max="6" width="14" customWidth="1"/>
    <col min="7" max="7" width="16" customWidth="1"/>
    <col min="8" max="8" width="14" customWidth="1"/>
    <col min="9" max="10" width="16" customWidth="1"/>
    <col min="11" max="11" width="10" customWidth="1"/>
    <col min="12" max="12" width="11" customWidth="1"/>
    <col min="13" max="14" width="10" customWidth="1"/>
    <col min="15" max="18" width="12" customWidth="1"/>
  </cols>
  <sheetData>
    <row r="1" spans="1:18" ht="26">
      <c r="A1" s="17" t="s">
        <v>65</v>
      </c>
      <c r="B1" s="17" t="s">
        <v>66</v>
      </c>
      <c r="C1" s="17" t="s">
        <v>67</v>
      </c>
      <c r="D1" s="17" t="s">
        <v>34</v>
      </c>
      <c r="E1" s="17" t="s">
        <v>68</v>
      </c>
      <c r="F1" s="17" t="s">
        <v>69</v>
      </c>
      <c r="G1" s="17" t="s">
        <v>38</v>
      </c>
      <c r="H1" s="17" t="s">
        <v>70</v>
      </c>
      <c r="I1" s="17" t="s">
        <v>36</v>
      </c>
      <c r="J1" s="17" t="s">
        <v>71</v>
      </c>
      <c r="K1" s="17" t="s">
        <v>72</v>
      </c>
      <c r="L1" s="17" t="s">
        <v>73</v>
      </c>
      <c r="M1" s="17" t="s">
        <v>74</v>
      </c>
      <c r="N1" s="17" t="s">
        <v>75</v>
      </c>
      <c r="O1" s="17" t="s">
        <v>35</v>
      </c>
      <c r="P1" s="17" t="s">
        <v>76</v>
      </c>
      <c r="Q1" s="17" t="s">
        <v>37</v>
      </c>
      <c r="R1" s="17" t="s">
        <v>77</v>
      </c>
    </row>
    <row r="2" spans="1:18">
      <c r="A2" s="18">
        <v>1001</v>
      </c>
      <c r="B2" s="19" t="s">
        <v>78</v>
      </c>
      <c r="C2" s="18">
        <v>2024</v>
      </c>
      <c r="D2" s="18" t="s">
        <v>39</v>
      </c>
      <c r="E2" s="18" t="s">
        <v>79</v>
      </c>
      <c r="F2" s="18" t="s">
        <v>80</v>
      </c>
      <c r="G2" s="18" t="s">
        <v>47</v>
      </c>
      <c r="H2" s="18" t="s">
        <v>81</v>
      </c>
      <c r="I2" s="18" t="s">
        <v>49</v>
      </c>
      <c r="J2" s="18" t="s">
        <v>82</v>
      </c>
      <c r="K2" s="18">
        <v>12</v>
      </c>
      <c r="L2" s="20">
        <v>768.2</v>
      </c>
      <c r="M2" s="21">
        <v>0.2</v>
      </c>
      <c r="N2" s="21">
        <v>0.72843591354096904</v>
      </c>
      <c r="O2" s="20">
        <f t="shared" ref="O2:O65" si="0">K2*L2*(1-M2)</f>
        <v>7374.7200000000012</v>
      </c>
      <c r="P2" s="20">
        <f t="shared" ref="P2:P65" si="1">O2*N2</f>
        <v>5372.0109003088564</v>
      </c>
      <c r="Q2" s="20">
        <f t="shared" ref="Q2:Q65" si="2">O2-P2</f>
        <v>2002.7090996911447</v>
      </c>
      <c r="R2" s="22">
        <f t="shared" ref="R2:R65" si="3">IF(O2=0,0,Q2/O2)</f>
        <v>0.27156408645903091</v>
      </c>
    </row>
    <row r="3" spans="1:18">
      <c r="A3" s="18">
        <v>1002</v>
      </c>
      <c r="B3" s="19" t="s">
        <v>78</v>
      </c>
      <c r="C3" s="18">
        <v>2024</v>
      </c>
      <c r="D3" s="18" t="s">
        <v>39</v>
      </c>
      <c r="E3" s="18" t="s">
        <v>79</v>
      </c>
      <c r="F3" s="18" t="s">
        <v>80</v>
      </c>
      <c r="G3" s="18" t="s">
        <v>50</v>
      </c>
      <c r="H3" s="18" t="s">
        <v>83</v>
      </c>
      <c r="I3" s="18" t="s">
        <v>40</v>
      </c>
      <c r="J3" s="18" t="s">
        <v>82</v>
      </c>
      <c r="K3" s="18">
        <v>4</v>
      </c>
      <c r="L3" s="20">
        <v>3406.43</v>
      </c>
      <c r="M3" s="21">
        <v>0.15</v>
      </c>
      <c r="N3" s="21">
        <v>0.55530719393677297</v>
      </c>
      <c r="O3" s="20">
        <f t="shared" si="0"/>
        <v>11581.861999999999</v>
      </c>
      <c r="P3" s="20">
        <f t="shared" si="1"/>
        <v>6431.4912877829411</v>
      </c>
      <c r="Q3" s="20">
        <f t="shared" si="2"/>
        <v>5150.3707122170581</v>
      </c>
      <c r="R3" s="22">
        <f t="shared" si="3"/>
        <v>0.44469280606322703</v>
      </c>
    </row>
    <row r="4" spans="1:18">
      <c r="A4" s="18">
        <v>1003</v>
      </c>
      <c r="B4" s="19" t="s">
        <v>84</v>
      </c>
      <c r="C4" s="18">
        <v>2024</v>
      </c>
      <c r="D4" s="18" t="s">
        <v>39</v>
      </c>
      <c r="E4" s="18" t="s">
        <v>85</v>
      </c>
      <c r="F4" s="18" t="s">
        <v>86</v>
      </c>
      <c r="G4" s="18" t="s">
        <v>50</v>
      </c>
      <c r="H4" s="18" t="s">
        <v>87</v>
      </c>
      <c r="I4" s="18" t="s">
        <v>52</v>
      </c>
      <c r="J4" s="18" t="s">
        <v>82</v>
      </c>
      <c r="K4" s="18">
        <v>3</v>
      </c>
      <c r="L4" s="20">
        <v>9688.23</v>
      </c>
      <c r="M4" s="21">
        <v>0.05</v>
      </c>
      <c r="N4" s="21">
        <v>0.60557426833432804</v>
      </c>
      <c r="O4" s="20">
        <f t="shared" si="0"/>
        <v>27611.455499999996</v>
      </c>
      <c r="P4" s="20">
        <f t="shared" si="1"/>
        <v>16720.786962058355</v>
      </c>
      <c r="Q4" s="20">
        <f t="shared" si="2"/>
        <v>10890.668537941641</v>
      </c>
      <c r="R4" s="22">
        <f t="shared" si="3"/>
        <v>0.39442573166567196</v>
      </c>
    </row>
    <row r="5" spans="1:18">
      <c r="A5" s="18">
        <v>1004</v>
      </c>
      <c r="B5" s="19" t="s">
        <v>84</v>
      </c>
      <c r="C5" s="18">
        <v>2024</v>
      </c>
      <c r="D5" s="18" t="s">
        <v>39</v>
      </c>
      <c r="E5" s="18" t="s">
        <v>88</v>
      </c>
      <c r="F5" s="18" t="s">
        <v>89</v>
      </c>
      <c r="G5" s="18" t="s">
        <v>41</v>
      </c>
      <c r="H5" s="18" t="s">
        <v>90</v>
      </c>
      <c r="I5" s="18" t="s">
        <v>56</v>
      </c>
      <c r="J5" s="18" t="s">
        <v>82</v>
      </c>
      <c r="K5" s="18">
        <v>6</v>
      </c>
      <c r="L5" s="20">
        <v>18625.490000000002</v>
      </c>
      <c r="M5" s="21">
        <v>0.15</v>
      </c>
      <c r="N5" s="21">
        <v>0.60290417344440295</v>
      </c>
      <c r="O5" s="20">
        <f t="shared" si="0"/>
        <v>94989.998999999996</v>
      </c>
      <c r="P5" s="20">
        <f t="shared" si="1"/>
        <v>57269.866832579661</v>
      </c>
      <c r="Q5" s="20">
        <f t="shared" si="2"/>
        <v>37720.132167420335</v>
      </c>
      <c r="R5" s="22">
        <f t="shared" si="3"/>
        <v>0.39709582655559705</v>
      </c>
    </row>
    <row r="6" spans="1:18">
      <c r="A6" s="18">
        <v>1005</v>
      </c>
      <c r="B6" s="19" t="s">
        <v>84</v>
      </c>
      <c r="C6" s="18">
        <v>2024</v>
      </c>
      <c r="D6" s="18" t="s">
        <v>39</v>
      </c>
      <c r="E6" s="18" t="s">
        <v>79</v>
      </c>
      <c r="F6" s="18" t="s">
        <v>80</v>
      </c>
      <c r="G6" s="18" t="s">
        <v>50</v>
      </c>
      <c r="H6" s="18" t="s">
        <v>87</v>
      </c>
      <c r="I6" s="18" t="s">
        <v>43</v>
      </c>
      <c r="J6" s="18" t="s">
        <v>91</v>
      </c>
      <c r="K6" s="18">
        <v>2</v>
      </c>
      <c r="L6" s="20">
        <v>9549.44</v>
      </c>
      <c r="M6" s="21">
        <v>0.2</v>
      </c>
      <c r="N6" s="21">
        <v>0.67370395047284903</v>
      </c>
      <c r="O6" s="20">
        <f t="shared" si="0"/>
        <v>15279.104000000001</v>
      </c>
      <c r="P6" s="20">
        <f t="shared" si="1"/>
        <v>10293.59272448551</v>
      </c>
      <c r="Q6" s="20">
        <f t="shared" si="2"/>
        <v>4985.511275514491</v>
      </c>
      <c r="R6" s="22">
        <f t="shared" si="3"/>
        <v>0.32629604952715097</v>
      </c>
    </row>
    <row r="7" spans="1:18">
      <c r="A7" s="18">
        <v>1006</v>
      </c>
      <c r="B7" s="19" t="s">
        <v>92</v>
      </c>
      <c r="C7" s="18">
        <v>2024</v>
      </c>
      <c r="D7" s="18" t="s">
        <v>39</v>
      </c>
      <c r="E7" s="18" t="s">
        <v>88</v>
      </c>
      <c r="F7" s="18" t="s">
        <v>93</v>
      </c>
      <c r="G7" s="18" t="s">
        <v>41</v>
      </c>
      <c r="H7" s="18" t="s">
        <v>90</v>
      </c>
      <c r="I7" s="18" t="s">
        <v>49</v>
      </c>
      <c r="J7" s="18" t="s">
        <v>91</v>
      </c>
      <c r="K7" s="18">
        <v>2</v>
      </c>
      <c r="L7" s="20">
        <v>18639.57</v>
      </c>
      <c r="M7" s="21">
        <v>0</v>
      </c>
      <c r="N7" s="21">
        <v>0.62602524500783296</v>
      </c>
      <c r="O7" s="20">
        <f t="shared" si="0"/>
        <v>37279.14</v>
      </c>
      <c r="P7" s="20">
        <f t="shared" si="1"/>
        <v>23337.682752181307</v>
      </c>
      <c r="Q7" s="20">
        <f t="shared" si="2"/>
        <v>13941.457247818693</v>
      </c>
      <c r="R7" s="22">
        <f t="shared" si="3"/>
        <v>0.37397475499216704</v>
      </c>
    </row>
    <row r="8" spans="1:18">
      <c r="A8" s="18">
        <v>1007</v>
      </c>
      <c r="B8" s="19" t="s">
        <v>92</v>
      </c>
      <c r="C8" s="18">
        <v>2024</v>
      </c>
      <c r="D8" s="18" t="s">
        <v>39</v>
      </c>
      <c r="E8" s="18" t="s">
        <v>85</v>
      </c>
      <c r="F8" s="18" t="s">
        <v>94</v>
      </c>
      <c r="G8" s="18" t="s">
        <v>47</v>
      </c>
      <c r="H8" s="18" t="s">
        <v>81</v>
      </c>
      <c r="I8" s="18" t="s">
        <v>54</v>
      </c>
      <c r="J8" s="18" t="s">
        <v>91</v>
      </c>
      <c r="K8" s="18">
        <v>4</v>
      </c>
      <c r="L8" s="20">
        <v>813.61</v>
      </c>
      <c r="M8" s="21">
        <v>0.2</v>
      </c>
      <c r="N8" s="21">
        <v>0.73733091754249902</v>
      </c>
      <c r="O8" s="20">
        <f t="shared" si="0"/>
        <v>2603.5520000000001</v>
      </c>
      <c r="P8" s="20">
        <f t="shared" si="1"/>
        <v>1919.6793850296085</v>
      </c>
      <c r="Q8" s="20">
        <f t="shared" si="2"/>
        <v>683.87261497039162</v>
      </c>
      <c r="R8" s="22">
        <f t="shared" si="3"/>
        <v>0.26266908245750098</v>
      </c>
    </row>
    <row r="9" spans="1:18">
      <c r="A9" s="18">
        <v>1008</v>
      </c>
      <c r="B9" s="19" t="s">
        <v>92</v>
      </c>
      <c r="C9" s="18">
        <v>2024</v>
      </c>
      <c r="D9" s="18" t="s">
        <v>39</v>
      </c>
      <c r="E9" s="18" t="s">
        <v>79</v>
      </c>
      <c r="F9" s="18" t="s">
        <v>80</v>
      </c>
      <c r="G9" s="18" t="s">
        <v>44</v>
      </c>
      <c r="H9" s="18" t="s">
        <v>95</v>
      </c>
      <c r="I9" s="18" t="s">
        <v>49</v>
      </c>
      <c r="J9" s="18" t="s">
        <v>82</v>
      </c>
      <c r="K9" s="18">
        <v>8</v>
      </c>
      <c r="L9" s="20">
        <v>4445.75</v>
      </c>
      <c r="M9" s="21">
        <v>0.2</v>
      </c>
      <c r="N9" s="21">
        <v>0.68763239168666301</v>
      </c>
      <c r="O9" s="20">
        <f t="shared" si="0"/>
        <v>28452.800000000003</v>
      </c>
      <c r="P9" s="20">
        <f t="shared" si="1"/>
        <v>19565.066914182287</v>
      </c>
      <c r="Q9" s="20">
        <f t="shared" si="2"/>
        <v>8887.7330858177156</v>
      </c>
      <c r="R9" s="22">
        <f t="shared" si="3"/>
        <v>0.31236760831333699</v>
      </c>
    </row>
    <row r="10" spans="1:18">
      <c r="A10" s="18">
        <v>1009</v>
      </c>
      <c r="B10" s="19" t="s">
        <v>92</v>
      </c>
      <c r="C10" s="18">
        <v>2024</v>
      </c>
      <c r="D10" s="18" t="s">
        <v>39</v>
      </c>
      <c r="E10" s="18" t="s">
        <v>88</v>
      </c>
      <c r="F10" s="18" t="s">
        <v>93</v>
      </c>
      <c r="G10" s="18" t="s">
        <v>47</v>
      </c>
      <c r="H10" s="18" t="s">
        <v>81</v>
      </c>
      <c r="I10" s="18" t="s">
        <v>49</v>
      </c>
      <c r="J10" s="18" t="s">
        <v>82</v>
      </c>
      <c r="K10" s="18">
        <v>6</v>
      </c>
      <c r="L10" s="20">
        <v>792.09</v>
      </c>
      <c r="M10" s="21">
        <v>0</v>
      </c>
      <c r="N10" s="21">
        <v>0.592196568717265</v>
      </c>
      <c r="O10" s="20">
        <f t="shared" si="0"/>
        <v>4752.54</v>
      </c>
      <c r="P10" s="20">
        <f t="shared" si="1"/>
        <v>2814.4378806915506</v>
      </c>
      <c r="Q10" s="20">
        <f t="shared" si="2"/>
        <v>1938.1021193084493</v>
      </c>
      <c r="R10" s="22">
        <f t="shared" si="3"/>
        <v>0.407803431282735</v>
      </c>
    </row>
    <row r="11" spans="1:18">
      <c r="A11" s="18">
        <v>1010</v>
      </c>
      <c r="B11" s="19" t="s">
        <v>96</v>
      </c>
      <c r="C11" s="18">
        <v>2024</v>
      </c>
      <c r="D11" s="18" t="s">
        <v>39</v>
      </c>
      <c r="E11" s="18" t="s">
        <v>88</v>
      </c>
      <c r="F11" s="18" t="s">
        <v>93</v>
      </c>
      <c r="G11" s="18" t="s">
        <v>50</v>
      </c>
      <c r="H11" s="18" t="s">
        <v>97</v>
      </c>
      <c r="I11" s="18" t="s">
        <v>58</v>
      </c>
      <c r="J11" s="18" t="s">
        <v>82</v>
      </c>
      <c r="K11" s="18">
        <v>5</v>
      </c>
      <c r="L11" s="20">
        <v>11567.56</v>
      </c>
      <c r="M11" s="21">
        <v>0.2</v>
      </c>
      <c r="N11" s="21">
        <v>0.66227362683263002</v>
      </c>
      <c r="O11" s="20">
        <f t="shared" si="0"/>
        <v>46270.239999999998</v>
      </c>
      <c r="P11" s="20">
        <f t="shared" si="1"/>
        <v>30643.559659216229</v>
      </c>
      <c r="Q11" s="20">
        <f t="shared" si="2"/>
        <v>15626.680340783769</v>
      </c>
      <c r="R11" s="22">
        <f t="shared" si="3"/>
        <v>0.33772637316736998</v>
      </c>
    </row>
    <row r="12" spans="1:18">
      <c r="A12" s="18">
        <v>1011</v>
      </c>
      <c r="B12" s="19" t="s">
        <v>96</v>
      </c>
      <c r="C12" s="18">
        <v>2024</v>
      </c>
      <c r="D12" s="18" t="s">
        <v>39</v>
      </c>
      <c r="E12" s="18" t="s">
        <v>98</v>
      </c>
      <c r="F12" s="18" t="s">
        <v>99</v>
      </c>
      <c r="G12" s="18" t="s">
        <v>50</v>
      </c>
      <c r="H12" s="18" t="s">
        <v>87</v>
      </c>
      <c r="I12" s="18" t="s">
        <v>56</v>
      </c>
      <c r="J12" s="18" t="s">
        <v>91</v>
      </c>
      <c r="K12" s="18">
        <v>4</v>
      </c>
      <c r="L12" s="20">
        <v>9972.4599999999991</v>
      </c>
      <c r="M12" s="21">
        <v>0</v>
      </c>
      <c r="N12" s="21">
        <v>0.65190525873529304</v>
      </c>
      <c r="O12" s="20">
        <f t="shared" si="0"/>
        <v>39889.839999999997</v>
      </c>
      <c r="P12" s="20">
        <f t="shared" si="1"/>
        <v>26004.39646610944</v>
      </c>
      <c r="Q12" s="20">
        <f t="shared" si="2"/>
        <v>13885.443533890557</v>
      </c>
      <c r="R12" s="22">
        <f t="shared" si="3"/>
        <v>0.34809474126470696</v>
      </c>
    </row>
    <row r="13" spans="1:18">
      <c r="A13" s="18">
        <v>1012</v>
      </c>
      <c r="B13" s="19" t="s">
        <v>96</v>
      </c>
      <c r="C13" s="18">
        <v>2024</v>
      </c>
      <c r="D13" s="18" t="s">
        <v>39</v>
      </c>
      <c r="E13" s="18" t="s">
        <v>79</v>
      </c>
      <c r="F13" s="18" t="s">
        <v>100</v>
      </c>
      <c r="G13" s="18" t="s">
        <v>41</v>
      </c>
      <c r="H13" s="18" t="s">
        <v>101</v>
      </c>
      <c r="I13" s="18" t="s">
        <v>46</v>
      </c>
      <c r="J13" s="18" t="s">
        <v>102</v>
      </c>
      <c r="K13" s="18">
        <v>7</v>
      </c>
      <c r="L13" s="20">
        <v>55530.25</v>
      </c>
      <c r="M13" s="21">
        <v>0.1</v>
      </c>
      <c r="N13" s="21">
        <v>0.62632385730130702</v>
      </c>
      <c r="O13" s="20">
        <f t="shared" si="0"/>
        <v>349840.57500000001</v>
      </c>
      <c r="P13" s="20">
        <f t="shared" si="1"/>
        <v>219113.49837450721</v>
      </c>
      <c r="Q13" s="20">
        <f t="shared" si="2"/>
        <v>130727.0766254928</v>
      </c>
      <c r="R13" s="22">
        <f t="shared" si="3"/>
        <v>0.37367614269869298</v>
      </c>
    </row>
    <row r="14" spans="1:18">
      <c r="A14" s="18">
        <v>1013</v>
      </c>
      <c r="B14" s="19" t="s">
        <v>96</v>
      </c>
      <c r="C14" s="18">
        <v>2024</v>
      </c>
      <c r="D14" s="18" t="s">
        <v>39</v>
      </c>
      <c r="E14" s="18" t="s">
        <v>85</v>
      </c>
      <c r="F14" s="18" t="s">
        <v>94</v>
      </c>
      <c r="G14" s="18" t="s">
        <v>47</v>
      </c>
      <c r="H14" s="18" t="s">
        <v>103</v>
      </c>
      <c r="I14" s="18" t="s">
        <v>40</v>
      </c>
      <c r="J14" s="18" t="s">
        <v>102</v>
      </c>
      <c r="K14" s="18">
        <v>12</v>
      </c>
      <c r="L14" s="20">
        <v>3076.66</v>
      </c>
      <c r="M14" s="21">
        <v>0.15</v>
      </c>
      <c r="N14" s="21">
        <v>0.70017555991832203</v>
      </c>
      <c r="O14" s="20">
        <f t="shared" si="0"/>
        <v>31381.931999999997</v>
      </c>
      <c r="P14" s="20">
        <f t="shared" si="1"/>
        <v>21972.861809418704</v>
      </c>
      <c r="Q14" s="20">
        <f t="shared" si="2"/>
        <v>9409.070190581293</v>
      </c>
      <c r="R14" s="22">
        <f t="shared" si="3"/>
        <v>0.29982444008167802</v>
      </c>
    </row>
    <row r="15" spans="1:18">
      <c r="A15" s="18">
        <v>1014</v>
      </c>
      <c r="B15" s="19" t="s">
        <v>104</v>
      </c>
      <c r="C15" s="18">
        <v>2024</v>
      </c>
      <c r="D15" s="18" t="s">
        <v>39</v>
      </c>
      <c r="E15" s="18" t="s">
        <v>79</v>
      </c>
      <c r="F15" s="18" t="s">
        <v>105</v>
      </c>
      <c r="G15" s="18" t="s">
        <v>50</v>
      </c>
      <c r="H15" s="18" t="s">
        <v>83</v>
      </c>
      <c r="I15" s="18" t="s">
        <v>58</v>
      </c>
      <c r="J15" s="18" t="s">
        <v>82</v>
      </c>
      <c r="K15" s="18">
        <v>12</v>
      </c>
      <c r="L15" s="20">
        <v>3631.55</v>
      </c>
      <c r="M15" s="21">
        <v>0.05</v>
      </c>
      <c r="N15" s="21">
        <v>0.74437761977402295</v>
      </c>
      <c r="O15" s="20">
        <f t="shared" si="0"/>
        <v>41399.670000000006</v>
      </c>
      <c r="P15" s="20">
        <f t="shared" si="1"/>
        <v>30816.987814030028</v>
      </c>
      <c r="Q15" s="20">
        <f t="shared" si="2"/>
        <v>10582.682185969978</v>
      </c>
      <c r="R15" s="22">
        <f t="shared" si="3"/>
        <v>0.25562238022597705</v>
      </c>
    </row>
    <row r="16" spans="1:18">
      <c r="A16" s="18">
        <v>1015</v>
      </c>
      <c r="B16" s="19" t="s">
        <v>104</v>
      </c>
      <c r="C16" s="18">
        <v>2024</v>
      </c>
      <c r="D16" s="18" t="s">
        <v>39</v>
      </c>
      <c r="E16" s="18" t="s">
        <v>88</v>
      </c>
      <c r="F16" s="18" t="s">
        <v>93</v>
      </c>
      <c r="G16" s="18" t="s">
        <v>41</v>
      </c>
      <c r="H16" s="18" t="s">
        <v>106</v>
      </c>
      <c r="I16" s="18" t="s">
        <v>60</v>
      </c>
      <c r="J16" s="18" t="s">
        <v>102</v>
      </c>
      <c r="K16" s="18">
        <v>4</v>
      </c>
      <c r="L16" s="20">
        <v>2413.21</v>
      </c>
      <c r="M16" s="21">
        <v>0</v>
      </c>
      <c r="N16" s="21">
        <v>0.65787580602392504</v>
      </c>
      <c r="O16" s="20">
        <f t="shared" si="0"/>
        <v>9652.84</v>
      </c>
      <c r="P16" s="20">
        <f t="shared" si="1"/>
        <v>6350.3698954199845</v>
      </c>
      <c r="Q16" s="20">
        <f t="shared" si="2"/>
        <v>3302.4701045800157</v>
      </c>
      <c r="R16" s="22">
        <f t="shared" si="3"/>
        <v>0.34212419397607496</v>
      </c>
    </row>
    <row r="17" spans="1:18">
      <c r="A17" s="18">
        <v>1016</v>
      </c>
      <c r="B17" s="19" t="s">
        <v>104</v>
      </c>
      <c r="C17" s="18">
        <v>2024</v>
      </c>
      <c r="D17" s="18" t="s">
        <v>39</v>
      </c>
      <c r="E17" s="18" t="s">
        <v>79</v>
      </c>
      <c r="F17" s="18" t="s">
        <v>80</v>
      </c>
      <c r="G17" s="18" t="s">
        <v>47</v>
      </c>
      <c r="H17" s="18" t="s">
        <v>107</v>
      </c>
      <c r="I17" s="18" t="s">
        <v>40</v>
      </c>
      <c r="J17" s="18" t="s">
        <v>82</v>
      </c>
      <c r="K17" s="18">
        <v>6</v>
      </c>
      <c r="L17" s="20">
        <v>2283.3200000000002</v>
      </c>
      <c r="M17" s="21">
        <v>0.05</v>
      </c>
      <c r="N17" s="21">
        <v>0.59789046206761198</v>
      </c>
      <c r="O17" s="20">
        <f t="shared" si="0"/>
        <v>13014.924000000001</v>
      </c>
      <c r="P17" s="20">
        <f t="shared" si="1"/>
        <v>7781.498924134853</v>
      </c>
      <c r="Q17" s="20">
        <f t="shared" si="2"/>
        <v>5233.4250758651478</v>
      </c>
      <c r="R17" s="22">
        <f t="shared" si="3"/>
        <v>0.40210953793238802</v>
      </c>
    </row>
    <row r="18" spans="1:18">
      <c r="A18" s="18">
        <v>1017</v>
      </c>
      <c r="B18" s="19" t="s">
        <v>104</v>
      </c>
      <c r="C18" s="18">
        <v>2024</v>
      </c>
      <c r="D18" s="18" t="s">
        <v>39</v>
      </c>
      <c r="E18" s="18" t="s">
        <v>88</v>
      </c>
      <c r="F18" s="18" t="s">
        <v>93</v>
      </c>
      <c r="G18" s="18" t="s">
        <v>41</v>
      </c>
      <c r="H18" s="18" t="s">
        <v>90</v>
      </c>
      <c r="I18" s="18" t="s">
        <v>58</v>
      </c>
      <c r="J18" s="18" t="s">
        <v>82</v>
      </c>
      <c r="K18" s="18">
        <v>9</v>
      </c>
      <c r="L18" s="20">
        <v>18478.5</v>
      </c>
      <c r="M18" s="21">
        <v>0</v>
      </c>
      <c r="N18" s="21">
        <v>0.68195016454947299</v>
      </c>
      <c r="O18" s="20">
        <f t="shared" si="0"/>
        <v>166306.5</v>
      </c>
      <c r="P18" s="20">
        <f t="shared" si="1"/>
        <v>113412.74504064693</v>
      </c>
      <c r="Q18" s="20">
        <f t="shared" si="2"/>
        <v>52893.754959353071</v>
      </c>
      <c r="R18" s="22">
        <f t="shared" si="3"/>
        <v>0.31804983545052701</v>
      </c>
    </row>
    <row r="19" spans="1:18">
      <c r="A19" s="18">
        <v>1018</v>
      </c>
      <c r="B19" s="19" t="s">
        <v>108</v>
      </c>
      <c r="C19" s="18">
        <v>2024</v>
      </c>
      <c r="D19" s="18" t="s">
        <v>39</v>
      </c>
      <c r="E19" s="18" t="s">
        <v>98</v>
      </c>
      <c r="F19" s="18" t="s">
        <v>99</v>
      </c>
      <c r="G19" s="18" t="s">
        <v>50</v>
      </c>
      <c r="H19" s="18" t="s">
        <v>83</v>
      </c>
      <c r="I19" s="18" t="s">
        <v>60</v>
      </c>
      <c r="J19" s="18" t="s">
        <v>102</v>
      </c>
      <c r="K19" s="18">
        <v>12</v>
      </c>
      <c r="L19" s="20">
        <v>3395.4</v>
      </c>
      <c r="M19" s="21">
        <v>0.05</v>
      </c>
      <c r="N19" s="21">
        <v>0.62979845999948603</v>
      </c>
      <c r="O19" s="20">
        <f t="shared" si="0"/>
        <v>38707.56</v>
      </c>
      <c r="P19" s="20">
        <f t="shared" si="1"/>
        <v>24377.961678337702</v>
      </c>
      <c r="Q19" s="20">
        <f t="shared" si="2"/>
        <v>14329.598321662295</v>
      </c>
      <c r="R19" s="22">
        <f t="shared" si="3"/>
        <v>0.37020154000051403</v>
      </c>
    </row>
    <row r="20" spans="1:18">
      <c r="A20" s="18">
        <v>1019</v>
      </c>
      <c r="B20" s="19" t="s">
        <v>108</v>
      </c>
      <c r="C20" s="18">
        <v>2024</v>
      </c>
      <c r="D20" s="18" t="s">
        <v>39</v>
      </c>
      <c r="E20" s="18" t="s">
        <v>98</v>
      </c>
      <c r="F20" s="18" t="s">
        <v>109</v>
      </c>
      <c r="G20" s="18" t="s">
        <v>50</v>
      </c>
      <c r="H20" s="18" t="s">
        <v>83</v>
      </c>
      <c r="I20" s="18" t="s">
        <v>49</v>
      </c>
      <c r="J20" s="18" t="s">
        <v>82</v>
      </c>
      <c r="K20" s="18">
        <v>2</v>
      </c>
      <c r="L20" s="20">
        <v>3443.33</v>
      </c>
      <c r="M20" s="21">
        <v>0.15</v>
      </c>
      <c r="N20" s="21">
        <v>0.660784304484896</v>
      </c>
      <c r="O20" s="20">
        <f t="shared" si="0"/>
        <v>5853.6610000000001</v>
      </c>
      <c r="P20" s="20">
        <f t="shared" si="1"/>
        <v>3868.0073125753606</v>
      </c>
      <c r="Q20" s="20">
        <f t="shared" si="2"/>
        <v>1985.6536874246394</v>
      </c>
      <c r="R20" s="22">
        <f t="shared" si="3"/>
        <v>0.33921569551510405</v>
      </c>
    </row>
    <row r="21" spans="1:18">
      <c r="A21" s="18">
        <v>1020</v>
      </c>
      <c r="B21" s="19" t="s">
        <v>108</v>
      </c>
      <c r="C21" s="18">
        <v>2024</v>
      </c>
      <c r="D21" s="18" t="s">
        <v>39</v>
      </c>
      <c r="E21" s="18" t="s">
        <v>88</v>
      </c>
      <c r="F21" s="18" t="s">
        <v>110</v>
      </c>
      <c r="G21" s="18" t="s">
        <v>41</v>
      </c>
      <c r="H21" s="18" t="s">
        <v>90</v>
      </c>
      <c r="I21" s="18" t="s">
        <v>49</v>
      </c>
      <c r="J21" s="18" t="s">
        <v>82</v>
      </c>
      <c r="K21" s="18">
        <v>1</v>
      </c>
      <c r="L21" s="20">
        <v>18647.34</v>
      </c>
      <c r="M21" s="21">
        <v>0</v>
      </c>
      <c r="N21" s="21">
        <v>0.652831223961718</v>
      </c>
      <c r="O21" s="20">
        <f t="shared" si="0"/>
        <v>18647.34</v>
      </c>
      <c r="P21" s="20">
        <f t="shared" si="1"/>
        <v>12173.565795830302</v>
      </c>
      <c r="Q21" s="20">
        <f t="shared" si="2"/>
        <v>6473.7742041696984</v>
      </c>
      <c r="R21" s="22">
        <f t="shared" si="3"/>
        <v>0.34716877603828206</v>
      </c>
    </row>
    <row r="22" spans="1:18">
      <c r="A22" s="18">
        <v>1021</v>
      </c>
      <c r="B22" s="19" t="s">
        <v>111</v>
      </c>
      <c r="C22" s="18">
        <v>2024</v>
      </c>
      <c r="D22" s="18" t="s">
        <v>39</v>
      </c>
      <c r="E22" s="18" t="s">
        <v>85</v>
      </c>
      <c r="F22" s="18" t="s">
        <v>86</v>
      </c>
      <c r="G22" s="18" t="s">
        <v>44</v>
      </c>
      <c r="H22" s="18" t="s">
        <v>95</v>
      </c>
      <c r="I22" s="18" t="s">
        <v>62</v>
      </c>
      <c r="J22" s="18" t="s">
        <v>102</v>
      </c>
      <c r="K22" s="18">
        <v>8</v>
      </c>
      <c r="L22" s="20">
        <v>4384.3500000000004</v>
      </c>
      <c r="M22" s="21">
        <v>0.1</v>
      </c>
      <c r="N22" s="21">
        <v>0.71149939955332897</v>
      </c>
      <c r="O22" s="20">
        <f t="shared" si="0"/>
        <v>31567.320000000003</v>
      </c>
      <c r="P22" s="20">
        <f t="shared" si="1"/>
        <v>22460.129225507793</v>
      </c>
      <c r="Q22" s="20">
        <f t="shared" si="2"/>
        <v>9107.19077449221</v>
      </c>
      <c r="R22" s="22">
        <f t="shared" si="3"/>
        <v>0.28850060044667108</v>
      </c>
    </row>
    <row r="23" spans="1:18">
      <c r="A23" s="18">
        <v>1022</v>
      </c>
      <c r="B23" s="19" t="s">
        <v>111</v>
      </c>
      <c r="C23" s="18">
        <v>2024</v>
      </c>
      <c r="D23" s="18" t="s">
        <v>39</v>
      </c>
      <c r="E23" s="18" t="s">
        <v>88</v>
      </c>
      <c r="F23" s="18" t="s">
        <v>110</v>
      </c>
      <c r="G23" s="18" t="s">
        <v>41</v>
      </c>
      <c r="H23" s="18" t="s">
        <v>112</v>
      </c>
      <c r="I23" s="18" t="s">
        <v>54</v>
      </c>
      <c r="J23" s="18" t="s">
        <v>91</v>
      </c>
      <c r="K23" s="18">
        <v>7</v>
      </c>
      <c r="L23" s="20">
        <v>5980.21</v>
      </c>
      <c r="M23" s="21">
        <v>0.2</v>
      </c>
      <c r="N23" s="21">
        <v>0.56083423744643401</v>
      </c>
      <c r="O23" s="20">
        <f t="shared" si="0"/>
        <v>33489.175999999999</v>
      </c>
      <c r="P23" s="20">
        <f t="shared" si="1"/>
        <v>18781.876484669418</v>
      </c>
      <c r="Q23" s="20">
        <f t="shared" si="2"/>
        <v>14707.299515330582</v>
      </c>
      <c r="R23" s="22">
        <f t="shared" si="3"/>
        <v>0.43916576255356604</v>
      </c>
    </row>
    <row r="24" spans="1:18">
      <c r="A24" s="18">
        <v>1023</v>
      </c>
      <c r="B24" s="19" t="s">
        <v>111</v>
      </c>
      <c r="C24" s="18">
        <v>2024</v>
      </c>
      <c r="D24" s="18" t="s">
        <v>39</v>
      </c>
      <c r="E24" s="18" t="s">
        <v>79</v>
      </c>
      <c r="F24" s="18" t="s">
        <v>100</v>
      </c>
      <c r="G24" s="18" t="s">
        <v>50</v>
      </c>
      <c r="H24" s="18" t="s">
        <v>87</v>
      </c>
      <c r="I24" s="18" t="s">
        <v>54</v>
      </c>
      <c r="J24" s="18" t="s">
        <v>82</v>
      </c>
      <c r="K24" s="18">
        <v>4</v>
      </c>
      <c r="L24" s="20">
        <v>9207.01</v>
      </c>
      <c r="M24" s="21">
        <v>0.15</v>
      </c>
      <c r="N24" s="21">
        <v>0.63972270956662602</v>
      </c>
      <c r="O24" s="20">
        <f t="shared" si="0"/>
        <v>31303.833999999999</v>
      </c>
      <c r="P24" s="20">
        <f t="shared" si="1"/>
        <v>20025.773506303871</v>
      </c>
      <c r="Q24" s="20">
        <f t="shared" si="2"/>
        <v>11278.060493696128</v>
      </c>
      <c r="R24" s="22">
        <f t="shared" si="3"/>
        <v>0.36027729043337403</v>
      </c>
    </row>
    <row r="25" spans="1:18">
      <c r="A25" s="18">
        <v>1024</v>
      </c>
      <c r="B25" s="19" t="s">
        <v>111</v>
      </c>
      <c r="C25" s="18">
        <v>2024</v>
      </c>
      <c r="D25" s="18" t="s">
        <v>39</v>
      </c>
      <c r="E25" s="18" t="s">
        <v>85</v>
      </c>
      <c r="F25" s="18" t="s">
        <v>86</v>
      </c>
      <c r="G25" s="18" t="s">
        <v>47</v>
      </c>
      <c r="H25" s="18" t="s">
        <v>107</v>
      </c>
      <c r="I25" s="18" t="s">
        <v>49</v>
      </c>
      <c r="J25" s="18" t="s">
        <v>82</v>
      </c>
      <c r="K25" s="18">
        <v>8</v>
      </c>
      <c r="L25" s="20">
        <v>2267.7600000000002</v>
      </c>
      <c r="M25" s="21">
        <v>0.15</v>
      </c>
      <c r="N25" s="21">
        <v>0.56958174564032005</v>
      </c>
      <c r="O25" s="20">
        <f t="shared" si="0"/>
        <v>15420.768000000002</v>
      </c>
      <c r="P25" s="20">
        <f t="shared" si="1"/>
        <v>8783.3879565543884</v>
      </c>
      <c r="Q25" s="20">
        <f t="shared" si="2"/>
        <v>6637.3800434456134</v>
      </c>
      <c r="R25" s="22">
        <f t="shared" si="3"/>
        <v>0.4304182543596799</v>
      </c>
    </row>
    <row r="26" spans="1:18">
      <c r="A26" s="18">
        <v>1025</v>
      </c>
      <c r="B26" s="19" t="s">
        <v>113</v>
      </c>
      <c r="C26" s="18">
        <v>2024</v>
      </c>
      <c r="D26" s="18" t="s">
        <v>39</v>
      </c>
      <c r="E26" s="18" t="s">
        <v>79</v>
      </c>
      <c r="F26" s="18" t="s">
        <v>100</v>
      </c>
      <c r="G26" s="18" t="s">
        <v>44</v>
      </c>
      <c r="H26" s="18" t="s">
        <v>114</v>
      </c>
      <c r="I26" s="18" t="s">
        <v>58</v>
      </c>
      <c r="J26" s="18" t="s">
        <v>91</v>
      </c>
      <c r="K26" s="18">
        <v>4</v>
      </c>
      <c r="L26" s="20">
        <v>9328.19</v>
      </c>
      <c r="M26" s="21">
        <v>0</v>
      </c>
      <c r="N26" s="21">
        <v>0.58292742428030497</v>
      </c>
      <c r="O26" s="20">
        <f t="shared" si="0"/>
        <v>37312.76</v>
      </c>
      <c r="P26" s="20">
        <f t="shared" si="1"/>
        <v>21750.631079589195</v>
      </c>
      <c r="Q26" s="20">
        <f t="shared" si="2"/>
        <v>15562.128920410807</v>
      </c>
      <c r="R26" s="22">
        <f t="shared" si="3"/>
        <v>0.41707257571969497</v>
      </c>
    </row>
    <row r="27" spans="1:18">
      <c r="A27" s="18">
        <v>1026</v>
      </c>
      <c r="B27" s="19" t="s">
        <v>113</v>
      </c>
      <c r="C27" s="18">
        <v>2024</v>
      </c>
      <c r="D27" s="18" t="s">
        <v>39</v>
      </c>
      <c r="E27" s="18" t="s">
        <v>79</v>
      </c>
      <c r="F27" s="18" t="s">
        <v>105</v>
      </c>
      <c r="G27" s="18" t="s">
        <v>47</v>
      </c>
      <c r="H27" s="18" t="s">
        <v>107</v>
      </c>
      <c r="I27" s="18" t="s">
        <v>52</v>
      </c>
      <c r="J27" s="18" t="s">
        <v>91</v>
      </c>
      <c r="K27" s="18">
        <v>12</v>
      </c>
      <c r="L27" s="20">
        <v>2300.61</v>
      </c>
      <c r="M27" s="21">
        <v>0.15</v>
      </c>
      <c r="N27" s="21">
        <v>0.68237426239014898</v>
      </c>
      <c r="O27" s="20">
        <f t="shared" si="0"/>
        <v>23466.221999999998</v>
      </c>
      <c r="P27" s="20">
        <f t="shared" si="1"/>
        <v>16012.745928333485</v>
      </c>
      <c r="Q27" s="20">
        <f t="shared" si="2"/>
        <v>7453.4760716665132</v>
      </c>
      <c r="R27" s="22">
        <f t="shared" si="3"/>
        <v>0.31762573760985102</v>
      </c>
    </row>
    <row r="28" spans="1:18">
      <c r="A28" s="18">
        <v>1027</v>
      </c>
      <c r="B28" s="19" t="s">
        <v>115</v>
      </c>
      <c r="C28" s="18">
        <v>2024</v>
      </c>
      <c r="D28" s="18" t="s">
        <v>39</v>
      </c>
      <c r="E28" s="18" t="s">
        <v>88</v>
      </c>
      <c r="F28" s="18" t="s">
        <v>110</v>
      </c>
      <c r="G28" s="18" t="s">
        <v>47</v>
      </c>
      <c r="H28" s="18" t="s">
        <v>81</v>
      </c>
      <c r="I28" s="18" t="s">
        <v>40</v>
      </c>
      <c r="J28" s="18" t="s">
        <v>102</v>
      </c>
      <c r="K28" s="18">
        <v>12</v>
      </c>
      <c r="L28" s="20">
        <v>803.38</v>
      </c>
      <c r="M28" s="21">
        <v>0.2</v>
      </c>
      <c r="N28" s="21">
        <v>0.61272096195394599</v>
      </c>
      <c r="O28" s="20">
        <f t="shared" si="0"/>
        <v>7712.4480000000003</v>
      </c>
      <c r="P28" s="20">
        <f t="shared" si="1"/>
        <v>4725.5785575797872</v>
      </c>
      <c r="Q28" s="20">
        <f t="shared" si="2"/>
        <v>2986.8694424202131</v>
      </c>
      <c r="R28" s="22">
        <f t="shared" si="3"/>
        <v>0.38727903804605396</v>
      </c>
    </row>
    <row r="29" spans="1:18">
      <c r="A29" s="18">
        <v>1028</v>
      </c>
      <c r="B29" s="19" t="s">
        <v>115</v>
      </c>
      <c r="C29" s="18">
        <v>2024</v>
      </c>
      <c r="D29" s="18" t="s">
        <v>39</v>
      </c>
      <c r="E29" s="18" t="s">
        <v>79</v>
      </c>
      <c r="F29" s="18" t="s">
        <v>80</v>
      </c>
      <c r="G29" s="18" t="s">
        <v>50</v>
      </c>
      <c r="H29" s="18" t="s">
        <v>87</v>
      </c>
      <c r="I29" s="18" t="s">
        <v>60</v>
      </c>
      <c r="J29" s="18" t="s">
        <v>82</v>
      </c>
      <c r="K29" s="18">
        <v>1</v>
      </c>
      <c r="L29" s="20">
        <v>9937.74</v>
      </c>
      <c r="M29" s="21">
        <v>0</v>
      </c>
      <c r="N29" s="21">
        <v>0.720268509068824</v>
      </c>
      <c r="O29" s="20">
        <f t="shared" si="0"/>
        <v>9937.74</v>
      </c>
      <c r="P29" s="20">
        <f t="shared" si="1"/>
        <v>7157.8411733136145</v>
      </c>
      <c r="Q29" s="20">
        <f t="shared" si="2"/>
        <v>2779.8988266863853</v>
      </c>
      <c r="R29" s="22">
        <f t="shared" si="3"/>
        <v>0.27973149093117605</v>
      </c>
    </row>
    <row r="30" spans="1:18">
      <c r="A30" s="18">
        <v>1029</v>
      </c>
      <c r="B30" s="19" t="s">
        <v>115</v>
      </c>
      <c r="C30" s="18">
        <v>2024</v>
      </c>
      <c r="D30" s="18" t="s">
        <v>39</v>
      </c>
      <c r="E30" s="18" t="s">
        <v>79</v>
      </c>
      <c r="F30" s="18" t="s">
        <v>80</v>
      </c>
      <c r="G30" s="18" t="s">
        <v>41</v>
      </c>
      <c r="H30" s="18" t="s">
        <v>101</v>
      </c>
      <c r="I30" s="18" t="s">
        <v>56</v>
      </c>
      <c r="J30" s="18" t="s">
        <v>82</v>
      </c>
      <c r="K30" s="18">
        <v>10</v>
      </c>
      <c r="L30" s="20">
        <v>53604.18</v>
      </c>
      <c r="M30" s="21">
        <v>0.15</v>
      </c>
      <c r="N30" s="21">
        <v>0.55794833245781295</v>
      </c>
      <c r="O30" s="20">
        <f t="shared" si="0"/>
        <v>455635.53</v>
      </c>
      <c r="P30" s="20">
        <f t="shared" si="1"/>
        <v>254221.08417203181</v>
      </c>
      <c r="Q30" s="20">
        <f t="shared" si="2"/>
        <v>201414.44582796821</v>
      </c>
      <c r="R30" s="22">
        <f t="shared" si="3"/>
        <v>0.44205166754218705</v>
      </c>
    </row>
    <row r="31" spans="1:18">
      <c r="A31" s="18">
        <v>1030</v>
      </c>
      <c r="B31" s="19" t="s">
        <v>115</v>
      </c>
      <c r="C31" s="18">
        <v>2024</v>
      </c>
      <c r="D31" s="18" t="s">
        <v>39</v>
      </c>
      <c r="E31" s="18" t="s">
        <v>79</v>
      </c>
      <c r="F31" s="18" t="s">
        <v>105</v>
      </c>
      <c r="G31" s="18" t="s">
        <v>47</v>
      </c>
      <c r="H31" s="18" t="s">
        <v>107</v>
      </c>
      <c r="I31" s="18" t="s">
        <v>49</v>
      </c>
      <c r="J31" s="18" t="s">
        <v>102</v>
      </c>
      <c r="K31" s="18">
        <v>12</v>
      </c>
      <c r="L31" s="20">
        <v>2159.12</v>
      </c>
      <c r="M31" s="21">
        <v>0.05</v>
      </c>
      <c r="N31" s="21">
        <v>0.62915716935825095</v>
      </c>
      <c r="O31" s="20">
        <f t="shared" si="0"/>
        <v>24613.967999999997</v>
      </c>
      <c r="P31" s="20">
        <f t="shared" si="1"/>
        <v>15486.054433554567</v>
      </c>
      <c r="Q31" s="20">
        <f t="shared" si="2"/>
        <v>9127.9135664454298</v>
      </c>
      <c r="R31" s="22">
        <f t="shared" si="3"/>
        <v>0.37084283064174905</v>
      </c>
    </row>
    <row r="32" spans="1:18">
      <c r="A32" s="18">
        <v>1031</v>
      </c>
      <c r="B32" s="19" t="s">
        <v>115</v>
      </c>
      <c r="C32" s="18">
        <v>2024</v>
      </c>
      <c r="D32" s="18" t="s">
        <v>39</v>
      </c>
      <c r="E32" s="18" t="s">
        <v>98</v>
      </c>
      <c r="F32" s="18" t="s">
        <v>109</v>
      </c>
      <c r="G32" s="18" t="s">
        <v>47</v>
      </c>
      <c r="H32" s="18" t="s">
        <v>81</v>
      </c>
      <c r="I32" s="18" t="s">
        <v>40</v>
      </c>
      <c r="J32" s="18" t="s">
        <v>91</v>
      </c>
      <c r="K32" s="18">
        <v>10</v>
      </c>
      <c r="L32" s="20">
        <v>839.88</v>
      </c>
      <c r="M32" s="21">
        <v>0</v>
      </c>
      <c r="N32" s="21">
        <v>0.56465214421992704</v>
      </c>
      <c r="O32" s="20">
        <f t="shared" si="0"/>
        <v>8398.7999999999993</v>
      </c>
      <c r="P32" s="20">
        <f t="shared" si="1"/>
        <v>4742.4004288743226</v>
      </c>
      <c r="Q32" s="20">
        <f t="shared" si="2"/>
        <v>3656.3995711256766</v>
      </c>
      <c r="R32" s="22">
        <f t="shared" si="3"/>
        <v>0.43534785578007296</v>
      </c>
    </row>
    <row r="33" spans="1:18">
      <c r="A33" s="18">
        <v>1032</v>
      </c>
      <c r="B33" s="19" t="s">
        <v>116</v>
      </c>
      <c r="C33" s="18">
        <v>2024</v>
      </c>
      <c r="D33" s="18" t="s">
        <v>39</v>
      </c>
      <c r="E33" s="18" t="s">
        <v>98</v>
      </c>
      <c r="F33" s="18" t="s">
        <v>117</v>
      </c>
      <c r="G33" s="18" t="s">
        <v>47</v>
      </c>
      <c r="H33" s="18" t="s">
        <v>81</v>
      </c>
      <c r="I33" s="18" t="s">
        <v>49</v>
      </c>
      <c r="J33" s="18" t="s">
        <v>91</v>
      </c>
      <c r="K33" s="18">
        <v>5</v>
      </c>
      <c r="L33" s="20">
        <v>772.62</v>
      </c>
      <c r="M33" s="21">
        <v>0.15</v>
      </c>
      <c r="N33" s="21">
        <v>0.69070798501747399</v>
      </c>
      <c r="O33" s="20">
        <f t="shared" si="0"/>
        <v>3283.6349999999998</v>
      </c>
      <c r="P33" s="20">
        <f t="shared" si="1"/>
        <v>2268.0329143828531</v>
      </c>
      <c r="Q33" s="20">
        <f t="shared" si="2"/>
        <v>1015.6020856171467</v>
      </c>
      <c r="R33" s="22">
        <f t="shared" si="3"/>
        <v>0.30929201498252601</v>
      </c>
    </row>
    <row r="34" spans="1:18">
      <c r="A34" s="18">
        <v>1033</v>
      </c>
      <c r="B34" s="19" t="s">
        <v>116</v>
      </c>
      <c r="C34" s="18">
        <v>2024</v>
      </c>
      <c r="D34" s="18" t="s">
        <v>39</v>
      </c>
      <c r="E34" s="18" t="s">
        <v>79</v>
      </c>
      <c r="F34" s="18" t="s">
        <v>80</v>
      </c>
      <c r="G34" s="18" t="s">
        <v>47</v>
      </c>
      <c r="H34" s="18" t="s">
        <v>103</v>
      </c>
      <c r="I34" s="18" t="s">
        <v>43</v>
      </c>
      <c r="J34" s="18" t="s">
        <v>82</v>
      </c>
      <c r="K34" s="18">
        <v>5</v>
      </c>
      <c r="L34" s="20">
        <v>3076.94</v>
      </c>
      <c r="M34" s="21">
        <v>0</v>
      </c>
      <c r="N34" s="21">
        <v>0.69848333679620001</v>
      </c>
      <c r="O34" s="20">
        <f t="shared" si="0"/>
        <v>15384.7</v>
      </c>
      <c r="P34" s="20">
        <f t="shared" si="1"/>
        <v>10745.956591608499</v>
      </c>
      <c r="Q34" s="20">
        <f t="shared" si="2"/>
        <v>4638.7434083915014</v>
      </c>
      <c r="R34" s="22">
        <f t="shared" si="3"/>
        <v>0.30151666320379994</v>
      </c>
    </row>
    <row r="35" spans="1:18">
      <c r="A35" s="18">
        <v>1034</v>
      </c>
      <c r="B35" s="19" t="s">
        <v>116</v>
      </c>
      <c r="C35" s="18">
        <v>2024</v>
      </c>
      <c r="D35" s="18" t="s">
        <v>39</v>
      </c>
      <c r="E35" s="18" t="s">
        <v>88</v>
      </c>
      <c r="F35" s="18" t="s">
        <v>89</v>
      </c>
      <c r="G35" s="18" t="s">
        <v>47</v>
      </c>
      <c r="H35" s="18" t="s">
        <v>103</v>
      </c>
      <c r="I35" s="18" t="s">
        <v>49</v>
      </c>
      <c r="J35" s="18" t="s">
        <v>102</v>
      </c>
      <c r="K35" s="18">
        <v>6</v>
      </c>
      <c r="L35" s="20">
        <v>3105.15</v>
      </c>
      <c r="M35" s="21">
        <v>0.2</v>
      </c>
      <c r="N35" s="21">
        <v>0.72058256307837998</v>
      </c>
      <c r="O35" s="20">
        <f t="shared" si="0"/>
        <v>14904.720000000001</v>
      </c>
      <c r="P35" s="20">
        <f t="shared" si="1"/>
        <v>10740.081339565593</v>
      </c>
      <c r="Q35" s="20">
        <f t="shared" si="2"/>
        <v>4164.6386604344079</v>
      </c>
      <c r="R35" s="22">
        <f t="shared" si="3"/>
        <v>0.27941743692161997</v>
      </c>
    </row>
    <row r="36" spans="1:18">
      <c r="A36" s="18">
        <v>1035</v>
      </c>
      <c r="B36" s="19" t="s">
        <v>118</v>
      </c>
      <c r="C36" s="18">
        <v>2024</v>
      </c>
      <c r="D36" s="18" t="s">
        <v>39</v>
      </c>
      <c r="E36" s="18" t="s">
        <v>98</v>
      </c>
      <c r="F36" s="18" t="s">
        <v>117</v>
      </c>
      <c r="G36" s="18" t="s">
        <v>41</v>
      </c>
      <c r="H36" s="18" t="s">
        <v>112</v>
      </c>
      <c r="I36" s="18" t="s">
        <v>52</v>
      </c>
      <c r="J36" s="18" t="s">
        <v>82</v>
      </c>
      <c r="K36" s="18">
        <v>1</v>
      </c>
      <c r="L36" s="20">
        <v>5900.13</v>
      </c>
      <c r="M36" s="21">
        <v>0</v>
      </c>
      <c r="N36" s="21">
        <v>0.67742267546027601</v>
      </c>
      <c r="O36" s="20">
        <f t="shared" si="0"/>
        <v>5900.13</v>
      </c>
      <c r="P36" s="20">
        <f t="shared" si="1"/>
        <v>3996.8818501634382</v>
      </c>
      <c r="Q36" s="20">
        <f t="shared" si="2"/>
        <v>1903.2481498365619</v>
      </c>
      <c r="R36" s="22">
        <f t="shared" si="3"/>
        <v>0.32257732453972399</v>
      </c>
    </row>
    <row r="37" spans="1:18">
      <c r="A37" s="18">
        <v>1036</v>
      </c>
      <c r="B37" s="19" t="s">
        <v>118</v>
      </c>
      <c r="C37" s="18">
        <v>2024</v>
      </c>
      <c r="D37" s="18" t="s">
        <v>39</v>
      </c>
      <c r="E37" s="18" t="s">
        <v>98</v>
      </c>
      <c r="F37" s="18" t="s">
        <v>117</v>
      </c>
      <c r="G37" s="18" t="s">
        <v>50</v>
      </c>
      <c r="H37" s="18" t="s">
        <v>87</v>
      </c>
      <c r="I37" s="18" t="s">
        <v>56</v>
      </c>
      <c r="J37" s="18" t="s">
        <v>102</v>
      </c>
      <c r="K37" s="18">
        <v>1</v>
      </c>
      <c r="L37" s="20">
        <v>9131.2800000000007</v>
      </c>
      <c r="M37" s="21">
        <v>0.2</v>
      </c>
      <c r="N37" s="21">
        <v>0.73078571431197903</v>
      </c>
      <c r="O37" s="20">
        <f t="shared" si="0"/>
        <v>7305.0240000000013</v>
      </c>
      <c r="P37" s="20">
        <f t="shared" si="1"/>
        <v>5338.407181906151</v>
      </c>
      <c r="Q37" s="20">
        <f t="shared" si="2"/>
        <v>1966.6168180938503</v>
      </c>
      <c r="R37" s="22">
        <f t="shared" si="3"/>
        <v>0.26921428568802103</v>
      </c>
    </row>
    <row r="38" spans="1:18">
      <c r="A38" s="18">
        <v>1037</v>
      </c>
      <c r="B38" s="19" t="s">
        <v>118</v>
      </c>
      <c r="C38" s="18">
        <v>2024</v>
      </c>
      <c r="D38" s="18" t="s">
        <v>39</v>
      </c>
      <c r="E38" s="18" t="s">
        <v>79</v>
      </c>
      <c r="F38" s="18" t="s">
        <v>105</v>
      </c>
      <c r="G38" s="18" t="s">
        <v>44</v>
      </c>
      <c r="H38" s="18" t="s">
        <v>114</v>
      </c>
      <c r="I38" s="18" t="s">
        <v>46</v>
      </c>
      <c r="J38" s="18" t="s">
        <v>82</v>
      </c>
      <c r="K38" s="18">
        <v>5</v>
      </c>
      <c r="L38" s="20">
        <v>8878.19</v>
      </c>
      <c r="M38" s="21">
        <v>0</v>
      </c>
      <c r="N38" s="21">
        <v>0.72978492730529498</v>
      </c>
      <c r="O38" s="20">
        <f t="shared" si="0"/>
        <v>44390.950000000004</v>
      </c>
      <c r="P38" s="20">
        <f t="shared" si="1"/>
        <v>32395.846218762988</v>
      </c>
      <c r="Q38" s="20">
        <f t="shared" si="2"/>
        <v>11995.103781237016</v>
      </c>
      <c r="R38" s="22">
        <f t="shared" si="3"/>
        <v>0.27021507269470502</v>
      </c>
    </row>
    <row r="39" spans="1:18">
      <c r="A39" s="18">
        <v>1038</v>
      </c>
      <c r="B39" s="19" t="s">
        <v>118</v>
      </c>
      <c r="C39" s="18">
        <v>2024</v>
      </c>
      <c r="D39" s="18" t="s">
        <v>39</v>
      </c>
      <c r="E39" s="18" t="s">
        <v>88</v>
      </c>
      <c r="F39" s="18" t="s">
        <v>93</v>
      </c>
      <c r="G39" s="18" t="s">
        <v>44</v>
      </c>
      <c r="H39" s="18" t="s">
        <v>95</v>
      </c>
      <c r="I39" s="18" t="s">
        <v>43</v>
      </c>
      <c r="J39" s="18" t="s">
        <v>91</v>
      </c>
      <c r="K39" s="18">
        <v>9</v>
      </c>
      <c r="L39" s="20">
        <v>4672.8599999999997</v>
      </c>
      <c r="M39" s="21">
        <v>0.1</v>
      </c>
      <c r="N39" s="21">
        <v>0.74476740452745804</v>
      </c>
      <c r="O39" s="20">
        <f t="shared" si="0"/>
        <v>37850.165999999997</v>
      </c>
      <c r="P39" s="20">
        <f t="shared" si="1"/>
        <v>28189.569892753436</v>
      </c>
      <c r="Q39" s="20">
        <f t="shared" si="2"/>
        <v>9660.5961072465616</v>
      </c>
      <c r="R39" s="22">
        <f t="shared" si="3"/>
        <v>0.25523259547254196</v>
      </c>
    </row>
    <row r="40" spans="1:18">
      <c r="A40" s="18">
        <v>1039</v>
      </c>
      <c r="B40" s="19" t="s">
        <v>118</v>
      </c>
      <c r="C40" s="18">
        <v>2024</v>
      </c>
      <c r="D40" s="18" t="s">
        <v>39</v>
      </c>
      <c r="E40" s="18" t="s">
        <v>88</v>
      </c>
      <c r="F40" s="18" t="s">
        <v>110</v>
      </c>
      <c r="G40" s="18" t="s">
        <v>44</v>
      </c>
      <c r="H40" s="18" t="s">
        <v>119</v>
      </c>
      <c r="I40" s="18" t="s">
        <v>56</v>
      </c>
      <c r="J40" s="18" t="s">
        <v>82</v>
      </c>
      <c r="K40" s="18">
        <v>3</v>
      </c>
      <c r="L40" s="20">
        <v>7165.6</v>
      </c>
      <c r="M40" s="21">
        <v>0.05</v>
      </c>
      <c r="N40" s="21">
        <v>0.70647729922952596</v>
      </c>
      <c r="O40" s="20">
        <f t="shared" si="0"/>
        <v>20421.960000000003</v>
      </c>
      <c r="P40" s="20">
        <f t="shared" si="1"/>
        <v>14427.651145773412</v>
      </c>
      <c r="Q40" s="20">
        <f t="shared" si="2"/>
        <v>5994.3088542265905</v>
      </c>
      <c r="R40" s="22">
        <f t="shared" si="3"/>
        <v>0.29352270077047404</v>
      </c>
    </row>
    <row r="41" spans="1:18">
      <c r="A41" s="18">
        <v>1040</v>
      </c>
      <c r="B41" s="19" t="s">
        <v>120</v>
      </c>
      <c r="C41" s="18">
        <v>2024</v>
      </c>
      <c r="D41" s="18" t="s">
        <v>39</v>
      </c>
      <c r="E41" s="18" t="s">
        <v>88</v>
      </c>
      <c r="F41" s="18" t="s">
        <v>89</v>
      </c>
      <c r="G41" s="18" t="s">
        <v>44</v>
      </c>
      <c r="H41" s="18" t="s">
        <v>95</v>
      </c>
      <c r="I41" s="18" t="s">
        <v>43</v>
      </c>
      <c r="J41" s="18" t="s">
        <v>91</v>
      </c>
      <c r="K41" s="18">
        <v>1</v>
      </c>
      <c r="L41" s="20">
        <v>4661.37</v>
      </c>
      <c r="M41" s="21">
        <v>0</v>
      </c>
      <c r="N41" s="21">
        <v>0.58991456600515002</v>
      </c>
      <c r="O41" s="20">
        <f t="shared" si="0"/>
        <v>4661.37</v>
      </c>
      <c r="P41" s="20">
        <f t="shared" si="1"/>
        <v>2749.8100605394261</v>
      </c>
      <c r="Q41" s="20">
        <f t="shared" si="2"/>
        <v>1911.5599394605738</v>
      </c>
      <c r="R41" s="22">
        <f t="shared" si="3"/>
        <v>0.41008543399484998</v>
      </c>
    </row>
    <row r="42" spans="1:18">
      <c r="A42" s="18">
        <v>1041</v>
      </c>
      <c r="B42" s="19" t="s">
        <v>120</v>
      </c>
      <c r="C42" s="18">
        <v>2024</v>
      </c>
      <c r="D42" s="18" t="s">
        <v>39</v>
      </c>
      <c r="E42" s="18" t="s">
        <v>85</v>
      </c>
      <c r="F42" s="18" t="s">
        <v>121</v>
      </c>
      <c r="G42" s="18" t="s">
        <v>47</v>
      </c>
      <c r="H42" s="18" t="s">
        <v>81</v>
      </c>
      <c r="I42" s="18" t="s">
        <v>49</v>
      </c>
      <c r="J42" s="18" t="s">
        <v>82</v>
      </c>
      <c r="K42" s="18">
        <v>11</v>
      </c>
      <c r="L42" s="20">
        <v>775.45</v>
      </c>
      <c r="M42" s="21">
        <v>0.05</v>
      </c>
      <c r="N42" s="21">
        <v>0.60572061220460105</v>
      </c>
      <c r="O42" s="20">
        <f t="shared" si="0"/>
        <v>8103.4525000000003</v>
      </c>
      <c r="P42" s="20">
        <f t="shared" si="1"/>
        <v>4908.4282092709054</v>
      </c>
      <c r="Q42" s="20">
        <f t="shared" si="2"/>
        <v>3195.0242907290949</v>
      </c>
      <c r="R42" s="22">
        <f t="shared" si="3"/>
        <v>0.39427938779539889</v>
      </c>
    </row>
    <row r="43" spans="1:18">
      <c r="A43" s="18">
        <v>1042</v>
      </c>
      <c r="B43" s="19" t="s">
        <v>120</v>
      </c>
      <c r="C43" s="18">
        <v>2024</v>
      </c>
      <c r="D43" s="18" t="s">
        <v>39</v>
      </c>
      <c r="E43" s="18" t="s">
        <v>79</v>
      </c>
      <c r="F43" s="18" t="s">
        <v>105</v>
      </c>
      <c r="G43" s="18" t="s">
        <v>47</v>
      </c>
      <c r="H43" s="18" t="s">
        <v>103</v>
      </c>
      <c r="I43" s="18" t="s">
        <v>60</v>
      </c>
      <c r="J43" s="18" t="s">
        <v>91</v>
      </c>
      <c r="K43" s="18">
        <v>11</v>
      </c>
      <c r="L43" s="20">
        <v>3353.97</v>
      </c>
      <c r="M43" s="21">
        <v>0.15</v>
      </c>
      <c r="N43" s="21">
        <v>0.61622997364288201</v>
      </c>
      <c r="O43" s="20">
        <f t="shared" si="0"/>
        <v>31359.619499999997</v>
      </c>
      <c r="P43" s="20">
        <f t="shared" si="1"/>
        <v>19324.737497935806</v>
      </c>
      <c r="Q43" s="20">
        <f t="shared" si="2"/>
        <v>12034.882002064191</v>
      </c>
      <c r="R43" s="22">
        <f t="shared" si="3"/>
        <v>0.38377002635711799</v>
      </c>
    </row>
    <row r="44" spans="1:18">
      <c r="A44" s="18">
        <v>1043</v>
      </c>
      <c r="B44" s="19" t="s">
        <v>120</v>
      </c>
      <c r="C44" s="18">
        <v>2024</v>
      </c>
      <c r="D44" s="18" t="s">
        <v>39</v>
      </c>
      <c r="E44" s="18" t="s">
        <v>79</v>
      </c>
      <c r="F44" s="18" t="s">
        <v>100</v>
      </c>
      <c r="G44" s="18" t="s">
        <v>47</v>
      </c>
      <c r="H44" s="18" t="s">
        <v>81</v>
      </c>
      <c r="I44" s="18" t="s">
        <v>62</v>
      </c>
      <c r="J44" s="18" t="s">
        <v>91</v>
      </c>
      <c r="K44" s="18">
        <v>1</v>
      </c>
      <c r="L44" s="20">
        <v>768.67</v>
      </c>
      <c r="M44" s="21">
        <v>0.1</v>
      </c>
      <c r="N44" s="21">
        <v>0.61913742233596003</v>
      </c>
      <c r="O44" s="20">
        <f t="shared" si="0"/>
        <v>691.803</v>
      </c>
      <c r="P44" s="20">
        <f t="shared" si="1"/>
        <v>428.32112618428414</v>
      </c>
      <c r="Q44" s="20">
        <f t="shared" si="2"/>
        <v>263.48187381571586</v>
      </c>
      <c r="R44" s="22">
        <f t="shared" si="3"/>
        <v>0.38086257766403997</v>
      </c>
    </row>
    <row r="45" spans="1:18">
      <c r="A45" s="18">
        <v>1044</v>
      </c>
      <c r="B45" s="19" t="s">
        <v>120</v>
      </c>
      <c r="C45" s="18">
        <v>2024</v>
      </c>
      <c r="D45" s="18" t="s">
        <v>39</v>
      </c>
      <c r="E45" s="18" t="s">
        <v>98</v>
      </c>
      <c r="F45" s="18" t="s">
        <v>109</v>
      </c>
      <c r="G45" s="18" t="s">
        <v>41</v>
      </c>
      <c r="H45" s="18" t="s">
        <v>112</v>
      </c>
      <c r="I45" s="18" t="s">
        <v>62</v>
      </c>
      <c r="J45" s="18" t="s">
        <v>82</v>
      </c>
      <c r="K45" s="18">
        <v>5</v>
      </c>
      <c r="L45" s="20">
        <v>5726.63</v>
      </c>
      <c r="M45" s="21">
        <v>0.1</v>
      </c>
      <c r="N45" s="21">
        <v>0.55033825564372596</v>
      </c>
      <c r="O45" s="20">
        <f t="shared" si="0"/>
        <v>25769.835000000003</v>
      </c>
      <c r="P45" s="20">
        <f t="shared" si="1"/>
        <v>14182.126042126638</v>
      </c>
      <c r="Q45" s="20">
        <f t="shared" si="2"/>
        <v>11587.708957873365</v>
      </c>
      <c r="R45" s="22">
        <f t="shared" si="3"/>
        <v>0.44966174435627404</v>
      </c>
    </row>
    <row r="46" spans="1:18">
      <c r="A46" s="18">
        <v>1045</v>
      </c>
      <c r="B46" s="19" t="s">
        <v>122</v>
      </c>
      <c r="C46" s="18">
        <v>2024</v>
      </c>
      <c r="D46" s="18" t="s">
        <v>39</v>
      </c>
      <c r="E46" s="18" t="s">
        <v>98</v>
      </c>
      <c r="F46" s="18" t="s">
        <v>109</v>
      </c>
      <c r="G46" s="18" t="s">
        <v>41</v>
      </c>
      <c r="H46" s="18" t="s">
        <v>106</v>
      </c>
      <c r="I46" s="18" t="s">
        <v>62</v>
      </c>
      <c r="J46" s="18" t="s">
        <v>91</v>
      </c>
      <c r="K46" s="18">
        <v>11</v>
      </c>
      <c r="L46" s="20">
        <v>2587</v>
      </c>
      <c r="M46" s="21">
        <v>0.2</v>
      </c>
      <c r="N46" s="21">
        <v>0.73000936701941799</v>
      </c>
      <c r="O46" s="20">
        <f t="shared" si="0"/>
        <v>22765.600000000002</v>
      </c>
      <c r="P46" s="20">
        <f t="shared" si="1"/>
        <v>16619.101245817263</v>
      </c>
      <c r="Q46" s="20">
        <f t="shared" si="2"/>
        <v>6146.4987541827395</v>
      </c>
      <c r="R46" s="22">
        <f t="shared" si="3"/>
        <v>0.26999063298058207</v>
      </c>
    </row>
    <row r="47" spans="1:18">
      <c r="A47" s="18">
        <v>1046</v>
      </c>
      <c r="B47" s="19" t="s">
        <v>122</v>
      </c>
      <c r="C47" s="18">
        <v>2024</v>
      </c>
      <c r="D47" s="18" t="s">
        <v>39</v>
      </c>
      <c r="E47" s="18" t="s">
        <v>98</v>
      </c>
      <c r="F47" s="18" t="s">
        <v>99</v>
      </c>
      <c r="G47" s="18" t="s">
        <v>50</v>
      </c>
      <c r="H47" s="18" t="s">
        <v>97</v>
      </c>
      <c r="I47" s="18" t="s">
        <v>56</v>
      </c>
      <c r="J47" s="18" t="s">
        <v>102</v>
      </c>
      <c r="K47" s="18">
        <v>5</v>
      </c>
      <c r="L47" s="20">
        <v>12065.29</v>
      </c>
      <c r="M47" s="21">
        <v>0</v>
      </c>
      <c r="N47" s="21">
        <v>0.63408926675458199</v>
      </c>
      <c r="O47" s="20">
        <f t="shared" si="0"/>
        <v>60326.450000000004</v>
      </c>
      <c r="P47" s="20">
        <f t="shared" si="1"/>
        <v>38252.354446406956</v>
      </c>
      <c r="Q47" s="20">
        <f t="shared" si="2"/>
        <v>22074.095553593048</v>
      </c>
      <c r="R47" s="22">
        <f t="shared" si="3"/>
        <v>0.36591073324541801</v>
      </c>
    </row>
    <row r="48" spans="1:18">
      <c r="A48" s="18">
        <v>1047</v>
      </c>
      <c r="B48" s="19" t="s">
        <v>122</v>
      </c>
      <c r="C48" s="18">
        <v>2024</v>
      </c>
      <c r="D48" s="18" t="s">
        <v>39</v>
      </c>
      <c r="E48" s="18" t="s">
        <v>85</v>
      </c>
      <c r="F48" s="18" t="s">
        <v>94</v>
      </c>
      <c r="G48" s="18" t="s">
        <v>44</v>
      </c>
      <c r="H48" s="18" t="s">
        <v>95</v>
      </c>
      <c r="I48" s="18" t="s">
        <v>62</v>
      </c>
      <c r="J48" s="18" t="s">
        <v>91</v>
      </c>
      <c r="K48" s="18">
        <v>7</v>
      </c>
      <c r="L48" s="20">
        <v>4521.57</v>
      </c>
      <c r="M48" s="21">
        <v>0</v>
      </c>
      <c r="N48" s="21">
        <v>0.61077498985367096</v>
      </c>
      <c r="O48" s="20">
        <f t="shared" si="0"/>
        <v>31650.989999999998</v>
      </c>
      <c r="P48" s="20">
        <f t="shared" si="1"/>
        <v>19331.633096108639</v>
      </c>
      <c r="Q48" s="20">
        <f t="shared" si="2"/>
        <v>12319.356903891359</v>
      </c>
      <c r="R48" s="22">
        <f t="shared" si="3"/>
        <v>0.3892250101463291</v>
      </c>
    </row>
    <row r="49" spans="1:18">
      <c r="A49" s="18">
        <v>1048</v>
      </c>
      <c r="B49" s="19" t="s">
        <v>123</v>
      </c>
      <c r="C49" s="18">
        <v>2024</v>
      </c>
      <c r="D49" s="18" t="s">
        <v>39</v>
      </c>
      <c r="E49" s="18" t="s">
        <v>85</v>
      </c>
      <c r="F49" s="18" t="s">
        <v>94</v>
      </c>
      <c r="G49" s="18" t="s">
        <v>47</v>
      </c>
      <c r="H49" s="18" t="s">
        <v>107</v>
      </c>
      <c r="I49" s="18" t="s">
        <v>58</v>
      </c>
      <c r="J49" s="18" t="s">
        <v>91</v>
      </c>
      <c r="K49" s="18">
        <v>11</v>
      </c>
      <c r="L49" s="20">
        <v>2137.0100000000002</v>
      </c>
      <c r="M49" s="21">
        <v>0.1</v>
      </c>
      <c r="N49" s="21">
        <v>0.7087470798212</v>
      </c>
      <c r="O49" s="20">
        <f t="shared" si="0"/>
        <v>21156.399000000001</v>
      </c>
      <c r="P49" s="20">
        <f t="shared" si="1"/>
        <v>14994.536010782156</v>
      </c>
      <c r="Q49" s="20">
        <f t="shared" si="2"/>
        <v>6161.8629892178451</v>
      </c>
      <c r="R49" s="22">
        <f t="shared" si="3"/>
        <v>0.2912529201788</v>
      </c>
    </row>
    <row r="50" spans="1:18">
      <c r="A50" s="18">
        <v>1049</v>
      </c>
      <c r="B50" s="19" t="s">
        <v>123</v>
      </c>
      <c r="C50" s="18">
        <v>2024</v>
      </c>
      <c r="D50" s="18" t="s">
        <v>39</v>
      </c>
      <c r="E50" s="18" t="s">
        <v>88</v>
      </c>
      <c r="F50" s="18" t="s">
        <v>93</v>
      </c>
      <c r="G50" s="18" t="s">
        <v>41</v>
      </c>
      <c r="H50" s="18" t="s">
        <v>106</v>
      </c>
      <c r="I50" s="18" t="s">
        <v>60</v>
      </c>
      <c r="J50" s="18" t="s">
        <v>102</v>
      </c>
      <c r="K50" s="18">
        <v>11</v>
      </c>
      <c r="L50" s="20">
        <v>2529.8200000000002</v>
      </c>
      <c r="M50" s="21">
        <v>0</v>
      </c>
      <c r="N50" s="21">
        <v>0.71368469290733305</v>
      </c>
      <c r="O50" s="20">
        <f t="shared" si="0"/>
        <v>27828.02</v>
      </c>
      <c r="P50" s="20">
        <f t="shared" si="1"/>
        <v>19860.431907919123</v>
      </c>
      <c r="Q50" s="20">
        <f t="shared" si="2"/>
        <v>7967.5880920808777</v>
      </c>
      <c r="R50" s="22">
        <f t="shared" si="3"/>
        <v>0.28631530709266695</v>
      </c>
    </row>
    <row r="51" spans="1:18">
      <c r="A51" s="18">
        <v>1050</v>
      </c>
      <c r="B51" s="19" t="s">
        <v>123</v>
      </c>
      <c r="C51" s="18">
        <v>2024</v>
      </c>
      <c r="D51" s="18" t="s">
        <v>39</v>
      </c>
      <c r="E51" s="18" t="s">
        <v>88</v>
      </c>
      <c r="F51" s="18" t="s">
        <v>93</v>
      </c>
      <c r="G51" s="18" t="s">
        <v>47</v>
      </c>
      <c r="H51" s="18" t="s">
        <v>81</v>
      </c>
      <c r="I51" s="18" t="s">
        <v>49</v>
      </c>
      <c r="J51" s="18" t="s">
        <v>82</v>
      </c>
      <c r="K51" s="18">
        <v>1</v>
      </c>
      <c r="L51" s="20">
        <v>763.7</v>
      </c>
      <c r="M51" s="21">
        <v>0.1</v>
      </c>
      <c r="N51" s="21">
        <v>0.672254794612136</v>
      </c>
      <c r="O51" s="20">
        <f t="shared" si="0"/>
        <v>687.33</v>
      </c>
      <c r="P51" s="20">
        <f t="shared" si="1"/>
        <v>462.06088798075945</v>
      </c>
      <c r="Q51" s="20">
        <f t="shared" si="2"/>
        <v>225.26911201924059</v>
      </c>
      <c r="R51" s="22">
        <f t="shared" si="3"/>
        <v>0.327745205387864</v>
      </c>
    </row>
    <row r="52" spans="1:18">
      <c r="A52" s="18">
        <v>1051</v>
      </c>
      <c r="B52" s="19" t="s">
        <v>124</v>
      </c>
      <c r="C52" s="18">
        <v>2024</v>
      </c>
      <c r="D52" s="18" t="s">
        <v>39</v>
      </c>
      <c r="E52" s="18" t="s">
        <v>85</v>
      </c>
      <c r="F52" s="18" t="s">
        <v>121</v>
      </c>
      <c r="G52" s="18" t="s">
        <v>44</v>
      </c>
      <c r="H52" s="18" t="s">
        <v>95</v>
      </c>
      <c r="I52" s="18" t="s">
        <v>56</v>
      </c>
      <c r="J52" s="18" t="s">
        <v>91</v>
      </c>
      <c r="K52" s="18">
        <v>7</v>
      </c>
      <c r="L52" s="20">
        <v>4384.79</v>
      </c>
      <c r="M52" s="21">
        <v>0.2</v>
      </c>
      <c r="N52" s="21">
        <v>0.68752448261610399</v>
      </c>
      <c r="O52" s="20">
        <f t="shared" si="0"/>
        <v>24554.824000000001</v>
      </c>
      <c r="P52" s="20">
        <f t="shared" si="1"/>
        <v>16882.042666329493</v>
      </c>
      <c r="Q52" s="20">
        <f t="shared" si="2"/>
        <v>7672.7813336705076</v>
      </c>
      <c r="R52" s="22">
        <f t="shared" si="3"/>
        <v>0.31247551738389601</v>
      </c>
    </row>
    <row r="53" spans="1:18">
      <c r="A53" s="18">
        <v>1052</v>
      </c>
      <c r="B53" s="19" t="s">
        <v>124</v>
      </c>
      <c r="C53" s="18">
        <v>2024</v>
      </c>
      <c r="D53" s="18" t="s">
        <v>39</v>
      </c>
      <c r="E53" s="18" t="s">
        <v>79</v>
      </c>
      <c r="F53" s="18" t="s">
        <v>105</v>
      </c>
      <c r="G53" s="18" t="s">
        <v>44</v>
      </c>
      <c r="H53" s="18" t="s">
        <v>119</v>
      </c>
      <c r="I53" s="18" t="s">
        <v>60</v>
      </c>
      <c r="J53" s="18" t="s">
        <v>91</v>
      </c>
      <c r="K53" s="18">
        <v>1</v>
      </c>
      <c r="L53" s="20">
        <v>7040.18</v>
      </c>
      <c r="M53" s="21">
        <v>0</v>
      </c>
      <c r="N53" s="21">
        <v>0.64129236509403498</v>
      </c>
      <c r="O53" s="20">
        <f t="shared" si="0"/>
        <v>7040.18</v>
      </c>
      <c r="P53" s="20">
        <f t="shared" si="1"/>
        <v>4514.8136828877232</v>
      </c>
      <c r="Q53" s="20">
        <f t="shared" si="2"/>
        <v>2525.3663171122771</v>
      </c>
      <c r="R53" s="22">
        <f t="shared" si="3"/>
        <v>0.35870763490596502</v>
      </c>
    </row>
    <row r="54" spans="1:18">
      <c r="A54" s="18">
        <v>1053</v>
      </c>
      <c r="B54" s="19" t="s">
        <v>125</v>
      </c>
      <c r="C54" s="18">
        <v>2024</v>
      </c>
      <c r="D54" s="18" t="s">
        <v>39</v>
      </c>
      <c r="E54" s="18" t="s">
        <v>98</v>
      </c>
      <c r="F54" s="18" t="s">
        <v>109</v>
      </c>
      <c r="G54" s="18" t="s">
        <v>50</v>
      </c>
      <c r="H54" s="18" t="s">
        <v>87</v>
      </c>
      <c r="I54" s="18" t="s">
        <v>58</v>
      </c>
      <c r="J54" s="18" t="s">
        <v>82</v>
      </c>
      <c r="K54" s="18">
        <v>12</v>
      </c>
      <c r="L54" s="20">
        <v>9843.42</v>
      </c>
      <c r="M54" s="21">
        <v>0.1</v>
      </c>
      <c r="N54" s="21">
        <v>0.601838309693004</v>
      </c>
      <c r="O54" s="20">
        <f t="shared" si="0"/>
        <v>106308.93600000002</v>
      </c>
      <c r="P54" s="20">
        <f t="shared" si="1"/>
        <v>63980.790347501752</v>
      </c>
      <c r="Q54" s="20">
        <f t="shared" si="2"/>
        <v>42328.145652498264</v>
      </c>
      <c r="R54" s="22">
        <f t="shared" si="3"/>
        <v>0.398161690306996</v>
      </c>
    </row>
    <row r="55" spans="1:18">
      <c r="A55" s="18">
        <v>1054</v>
      </c>
      <c r="B55" s="19" t="s">
        <v>125</v>
      </c>
      <c r="C55" s="18">
        <v>2024</v>
      </c>
      <c r="D55" s="18" t="s">
        <v>39</v>
      </c>
      <c r="E55" s="18" t="s">
        <v>88</v>
      </c>
      <c r="F55" s="18" t="s">
        <v>93</v>
      </c>
      <c r="G55" s="18" t="s">
        <v>47</v>
      </c>
      <c r="H55" s="18" t="s">
        <v>103</v>
      </c>
      <c r="I55" s="18" t="s">
        <v>58</v>
      </c>
      <c r="J55" s="18" t="s">
        <v>102</v>
      </c>
      <c r="K55" s="18">
        <v>4</v>
      </c>
      <c r="L55" s="20">
        <v>3127.87</v>
      </c>
      <c r="M55" s="21">
        <v>0</v>
      </c>
      <c r="N55" s="21">
        <v>0.69270897252221098</v>
      </c>
      <c r="O55" s="20">
        <f t="shared" si="0"/>
        <v>12511.48</v>
      </c>
      <c r="P55" s="20">
        <f t="shared" si="1"/>
        <v>8666.8144555321924</v>
      </c>
      <c r="Q55" s="20">
        <f t="shared" si="2"/>
        <v>3844.6655444678072</v>
      </c>
      <c r="R55" s="22">
        <f t="shared" si="3"/>
        <v>0.30729102747778897</v>
      </c>
    </row>
    <row r="56" spans="1:18">
      <c r="A56" s="18">
        <v>1055</v>
      </c>
      <c r="B56" s="19" t="s">
        <v>125</v>
      </c>
      <c r="C56" s="18">
        <v>2024</v>
      </c>
      <c r="D56" s="18" t="s">
        <v>39</v>
      </c>
      <c r="E56" s="18" t="s">
        <v>88</v>
      </c>
      <c r="F56" s="18" t="s">
        <v>89</v>
      </c>
      <c r="G56" s="18" t="s">
        <v>47</v>
      </c>
      <c r="H56" s="18" t="s">
        <v>107</v>
      </c>
      <c r="I56" s="18" t="s">
        <v>60</v>
      </c>
      <c r="J56" s="18" t="s">
        <v>82</v>
      </c>
      <c r="K56" s="18">
        <v>3</v>
      </c>
      <c r="L56" s="20">
        <v>2123.1799999999998</v>
      </c>
      <c r="M56" s="21">
        <v>0.1</v>
      </c>
      <c r="N56" s="21">
        <v>0.68878996245981094</v>
      </c>
      <c r="O56" s="20">
        <f t="shared" si="0"/>
        <v>5732.5859999999993</v>
      </c>
      <c r="P56" s="20">
        <f t="shared" si="1"/>
        <v>3948.5476957376372</v>
      </c>
      <c r="Q56" s="20">
        <f t="shared" si="2"/>
        <v>1784.0383042623621</v>
      </c>
      <c r="R56" s="22">
        <f t="shared" si="3"/>
        <v>0.31121003754018906</v>
      </c>
    </row>
    <row r="57" spans="1:18">
      <c r="A57" s="18">
        <v>1056</v>
      </c>
      <c r="B57" s="19" t="s">
        <v>125</v>
      </c>
      <c r="C57" s="18">
        <v>2024</v>
      </c>
      <c r="D57" s="18" t="s">
        <v>39</v>
      </c>
      <c r="E57" s="18" t="s">
        <v>88</v>
      </c>
      <c r="F57" s="18" t="s">
        <v>110</v>
      </c>
      <c r="G57" s="18" t="s">
        <v>50</v>
      </c>
      <c r="H57" s="18" t="s">
        <v>97</v>
      </c>
      <c r="I57" s="18" t="s">
        <v>54</v>
      </c>
      <c r="J57" s="18" t="s">
        <v>102</v>
      </c>
      <c r="K57" s="18">
        <v>8</v>
      </c>
      <c r="L57" s="20">
        <v>11898.93</v>
      </c>
      <c r="M57" s="21">
        <v>0</v>
      </c>
      <c r="N57" s="21">
        <v>0.71657823386809805</v>
      </c>
      <c r="O57" s="20">
        <f t="shared" si="0"/>
        <v>95191.44</v>
      </c>
      <c r="P57" s="20">
        <f t="shared" si="1"/>
        <v>68212.11395456102</v>
      </c>
      <c r="Q57" s="20">
        <f t="shared" si="2"/>
        <v>26979.326045438982</v>
      </c>
      <c r="R57" s="22">
        <f t="shared" si="3"/>
        <v>0.28342176613190201</v>
      </c>
    </row>
    <row r="58" spans="1:18">
      <c r="A58" s="18">
        <v>1057</v>
      </c>
      <c r="B58" s="19" t="s">
        <v>125</v>
      </c>
      <c r="C58" s="18">
        <v>2024</v>
      </c>
      <c r="D58" s="18" t="s">
        <v>39</v>
      </c>
      <c r="E58" s="18" t="s">
        <v>85</v>
      </c>
      <c r="F58" s="18" t="s">
        <v>94</v>
      </c>
      <c r="G58" s="18" t="s">
        <v>41</v>
      </c>
      <c r="H58" s="18" t="s">
        <v>112</v>
      </c>
      <c r="I58" s="18" t="s">
        <v>58</v>
      </c>
      <c r="J58" s="18" t="s">
        <v>82</v>
      </c>
      <c r="K58" s="18">
        <v>6</v>
      </c>
      <c r="L58" s="20">
        <v>5879.17</v>
      </c>
      <c r="M58" s="21">
        <v>0.1</v>
      </c>
      <c r="N58" s="21">
        <v>0.72068959011382105</v>
      </c>
      <c r="O58" s="20">
        <f t="shared" si="0"/>
        <v>31747.518000000004</v>
      </c>
      <c r="P58" s="20">
        <f t="shared" si="1"/>
        <v>22880.105734551158</v>
      </c>
      <c r="Q58" s="20">
        <f t="shared" si="2"/>
        <v>8867.4122654488456</v>
      </c>
      <c r="R58" s="22">
        <f t="shared" si="3"/>
        <v>0.27931040988617895</v>
      </c>
    </row>
    <row r="59" spans="1:18">
      <c r="A59" s="18">
        <v>1058</v>
      </c>
      <c r="B59" s="19" t="s">
        <v>126</v>
      </c>
      <c r="C59" s="18">
        <v>2024</v>
      </c>
      <c r="D59" s="18" t="s">
        <v>39</v>
      </c>
      <c r="E59" s="18" t="s">
        <v>88</v>
      </c>
      <c r="F59" s="18" t="s">
        <v>89</v>
      </c>
      <c r="G59" s="18" t="s">
        <v>44</v>
      </c>
      <c r="H59" s="18" t="s">
        <v>114</v>
      </c>
      <c r="I59" s="18" t="s">
        <v>56</v>
      </c>
      <c r="J59" s="18" t="s">
        <v>91</v>
      </c>
      <c r="K59" s="18">
        <v>1</v>
      </c>
      <c r="L59" s="20">
        <v>8899.9699999999993</v>
      </c>
      <c r="M59" s="21">
        <v>0.2</v>
      </c>
      <c r="N59" s="21">
        <v>0.68582837700567001</v>
      </c>
      <c r="O59" s="20">
        <f t="shared" si="0"/>
        <v>7119.9759999999997</v>
      </c>
      <c r="P59" s="20">
        <f t="shared" si="1"/>
        <v>4883.0815843993223</v>
      </c>
      <c r="Q59" s="20">
        <f t="shared" si="2"/>
        <v>2236.8944156006773</v>
      </c>
      <c r="R59" s="22">
        <f t="shared" si="3"/>
        <v>0.31417162299432994</v>
      </c>
    </row>
    <row r="60" spans="1:18">
      <c r="A60" s="18">
        <v>1059</v>
      </c>
      <c r="B60" s="19" t="s">
        <v>126</v>
      </c>
      <c r="C60" s="18">
        <v>2024</v>
      </c>
      <c r="D60" s="18" t="s">
        <v>39</v>
      </c>
      <c r="E60" s="18" t="s">
        <v>85</v>
      </c>
      <c r="F60" s="18" t="s">
        <v>94</v>
      </c>
      <c r="G60" s="18" t="s">
        <v>44</v>
      </c>
      <c r="H60" s="18" t="s">
        <v>114</v>
      </c>
      <c r="I60" s="18" t="s">
        <v>46</v>
      </c>
      <c r="J60" s="18" t="s">
        <v>102</v>
      </c>
      <c r="K60" s="18">
        <v>9</v>
      </c>
      <c r="L60" s="20">
        <v>8574.27</v>
      </c>
      <c r="M60" s="21">
        <v>0.1</v>
      </c>
      <c r="N60" s="21">
        <v>0.66837855512558197</v>
      </c>
      <c r="O60" s="20">
        <f t="shared" si="0"/>
        <v>69451.587000000014</v>
      </c>
      <c r="P60" s="20">
        <f t="shared" si="1"/>
        <v>46419.951370238661</v>
      </c>
      <c r="Q60" s="20">
        <f t="shared" si="2"/>
        <v>23031.635629761353</v>
      </c>
      <c r="R60" s="22">
        <f t="shared" si="3"/>
        <v>0.33162144487441803</v>
      </c>
    </row>
    <row r="61" spans="1:18">
      <c r="A61" s="18">
        <v>1060</v>
      </c>
      <c r="B61" s="19" t="s">
        <v>126</v>
      </c>
      <c r="C61" s="18">
        <v>2024</v>
      </c>
      <c r="D61" s="18" t="s">
        <v>39</v>
      </c>
      <c r="E61" s="18" t="s">
        <v>79</v>
      </c>
      <c r="F61" s="18" t="s">
        <v>100</v>
      </c>
      <c r="G61" s="18" t="s">
        <v>50</v>
      </c>
      <c r="H61" s="18" t="s">
        <v>83</v>
      </c>
      <c r="I61" s="18" t="s">
        <v>58</v>
      </c>
      <c r="J61" s="18" t="s">
        <v>82</v>
      </c>
      <c r="K61" s="18">
        <v>1</v>
      </c>
      <c r="L61" s="20">
        <v>3416.05</v>
      </c>
      <c r="M61" s="21">
        <v>0.05</v>
      </c>
      <c r="N61" s="21">
        <v>0.59233205684229595</v>
      </c>
      <c r="O61" s="20">
        <f t="shared" si="0"/>
        <v>3245.2474999999999</v>
      </c>
      <c r="P61" s="20">
        <f t="shared" si="1"/>
        <v>1922.2641266373189</v>
      </c>
      <c r="Q61" s="20">
        <f t="shared" si="2"/>
        <v>1322.983373362681</v>
      </c>
      <c r="R61" s="22">
        <f t="shared" si="3"/>
        <v>0.40766794315770399</v>
      </c>
    </row>
    <row r="62" spans="1:18">
      <c r="A62" s="18">
        <v>1061</v>
      </c>
      <c r="B62" s="19" t="s">
        <v>126</v>
      </c>
      <c r="C62" s="18">
        <v>2024</v>
      </c>
      <c r="D62" s="18" t="s">
        <v>39</v>
      </c>
      <c r="E62" s="18" t="s">
        <v>98</v>
      </c>
      <c r="F62" s="18" t="s">
        <v>109</v>
      </c>
      <c r="G62" s="18" t="s">
        <v>50</v>
      </c>
      <c r="H62" s="18" t="s">
        <v>97</v>
      </c>
      <c r="I62" s="18" t="s">
        <v>56</v>
      </c>
      <c r="J62" s="18" t="s">
        <v>91</v>
      </c>
      <c r="K62" s="18">
        <v>2</v>
      </c>
      <c r="L62" s="20">
        <v>11964.37</v>
      </c>
      <c r="M62" s="21">
        <v>0.2</v>
      </c>
      <c r="N62" s="21">
        <v>0.65788380958450698</v>
      </c>
      <c r="O62" s="20">
        <f t="shared" si="0"/>
        <v>19142.992000000002</v>
      </c>
      <c r="P62" s="20">
        <f t="shared" si="1"/>
        <v>12593.864503805742</v>
      </c>
      <c r="Q62" s="20">
        <f t="shared" si="2"/>
        <v>6549.1274961942599</v>
      </c>
      <c r="R62" s="22">
        <f t="shared" si="3"/>
        <v>0.34211619041549302</v>
      </c>
    </row>
    <row r="63" spans="1:18">
      <c r="A63" s="18">
        <v>1062</v>
      </c>
      <c r="B63" s="19" t="s">
        <v>126</v>
      </c>
      <c r="C63" s="18">
        <v>2024</v>
      </c>
      <c r="D63" s="18" t="s">
        <v>39</v>
      </c>
      <c r="E63" s="18" t="s">
        <v>98</v>
      </c>
      <c r="F63" s="18" t="s">
        <v>117</v>
      </c>
      <c r="G63" s="18" t="s">
        <v>41</v>
      </c>
      <c r="H63" s="18" t="s">
        <v>90</v>
      </c>
      <c r="I63" s="18" t="s">
        <v>40</v>
      </c>
      <c r="J63" s="18" t="s">
        <v>82</v>
      </c>
      <c r="K63" s="18">
        <v>4</v>
      </c>
      <c r="L63" s="20">
        <v>18610.61</v>
      </c>
      <c r="M63" s="21">
        <v>0.15</v>
      </c>
      <c r="N63" s="21">
        <v>0.58047646915695805</v>
      </c>
      <c r="O63" s="20">
        <f t="shared" si="0"/>
        <v>63276.074000000001</v>
      </c>
      <c r="P63" s="20">
        <f t="shared" si="1"/>
        <v>36730.272017634394</v>
      </c>
      <c r="Q63" s="20">
        <f t="shared" si="2"/>
        <v>26545.801982365607</v>
      </c>
      <c r="R63" s="22">
        <f t="shared" si="3"/>
        <v>0.419523530843042</v>
      </c>
    </row>
    <row r="64" spans="1:18">
      <c r="A64" s="18">
        <v>1063</v>
      </c>
      <c r="B64" s="19" t="s">
        <v>127</v>
      </c>
      <c r="C64" s="18">
        <v>2024</v>
      </c>
      <c r="D64" s="18" t="s">
        <v>39</v>
      </c>
      <c r="E64" s="18" t="s">
        <v>85</v>
      </c>
      <c r="F64" s="18" t="s">
        <v>94</v>
      </c>
      <c r="G64" s="18" t="s">
        <v>41</v>
      </c>
      <c r="H64" s="18" t="s">
        <v>101</v>
      </c>
      <c r="I64" s="18" t="s">
        <v>58</v>
      </c>
      <c r="J64" s="18" t="s">
        <v>102</v>
      </c>
      <c r="K64" s="18">
        <v>5</v>
      </c>
      <c r="L64" s="20">
        <v>56467.94</v>
      </c>
      <c r="M64" s="21">
        <v>0</v>
      </c>
      <c r="N64" s="21">
        <v>0.671178538512062</v>
      </c>
      <c r="O64" s="20">
        <f t="shared" si="0"/>
        <v>282339.7</v>
      </c>
      <c r="P64" s="20">
        <f t="shared" si="1"/>
        <v>189500.34720993403</v>
      </c>
      <c r="Q64" s="20">
        <f t="shared" si="2"/>
        <v>92839.352790065983</v>
      </c>
      <c r="R64" s="22">
        <f t="shared" si="3"/>
        <v>0.32882146148793806</v>
      </c>
    </row>
    <row r="65" spans="1:18">
      <c r="A65" s="18">
        <v>1064</v>
      </c>
      <c r="B65" s="19" t="s">
        <v>127</v>
      </c>
      <c r="C65" s="18">
        <v>2024</v>
      </c>
      <c r="D65" s="18" t="s">
        <v>39</v>
      </c>
      <c r="E65" s="18" t="s">
        <v>79</v>
      </c>
      <c r="F65" s="18" t="s">
        <v>100</v>
      </c>
      <c r="G65" s="18" t="s">
        <v>47</v>
      </c>
      <c r="H65" s="18" t="s">
        <v>81</v>
      </c>
      <c r="I65" s="18" t="s">
        <v>62</v>
      </c>
      <c r="J65" s="18" t="s">
        <v>82</v>
      </c>
      <c r="K65" s="18">
        <v>5</v>
      </c>
      <c r="L65" s="20">
        <v>806.06</v>
      </c>
      <c r="M65" s="21">
        <v>0.1</v>
      </c>
      <c r="N65" s="21">
        <v>0.62933088830332595</v>
      </c>
      <c r="O65" s="20">
        <f t="shared" si="0"/>
        <v>3627.27</v>
      </c>
      <c r="P65" s="20">
        <f t="shared" si="1"/>
        <v>2282.7530512160051</v>
      </c>
      <c r="Q65" s="20">
        <f t="shared" si="2"/>
        <v>1344.5169487839948</v>
      </c>
      <c r="R65" s="22">
        <f t="shared" si="3"/>
        <v>0.37066911169667405</v>
      </c>
    </row>
    <row r="66" spans="1:18">
      <c r="A66" s="18">
        <v>1065</v>
      </c>
      <c r="B66" s="19" t="s">
        <v>127</v>
      </c>
      <c r="C66" s="18">
        <v>2024</v>
      </c>
      <c r="D66" s="18" t="s">
        <v>39</v>
      </c>
      <c r="E66" s="18" t="s">
        <v>88</v>
      </c>
      <c r="F66" s="18" t="s">
        <v>110</v>
      </c>
      <c r="G66" s="18" t="s">
        <v>44</v>
      </c>
      <c r="H66" s="18" t="s">
        <v>119</v>
      </c>
      <c r="I66" s="18" t="s">
        <v>52</v>
      </c>
      <c r="J66" s="18" t="s">
        <v>102</v>
      </c>
      <c r="K66" s="18">
        <v>10</v>
      </c>
      <c r="L66" s="20">
        <v>7213.87</v>
      </c>
      <c r="M66" s="21">
        <v>0.15</v>
      </c>
      <c r="N66" s="21">
        <v>0.70652706927220399</v>
      </c>
      <c r="O66" s="20">
        <f t="shared" ref="O66:O129" si="4">K66*L66*(1-M66)</f>
        <v>61317.894999999997</v>
      </c>
      <c r="P66" s="20">
        <f t="shared" ref="P66:P129" si="5">O66*N66</f>
        <v>43322.752648290727</v>
      </c>
      <c r="Q66" s="20">
        <f t="shared" ref="Q66:Q129" si="6">O66-P66</f>
        <v>17995.14235170927</v>
      </c>
      <c r="R66" s="22">
        <f t="shared" ref="R66:R129" si="7">IF(O66=0,0,Q66/O66)</f>
        <v>0.29347293072779601</v>
      </c>
    </row>
    <row r="67" spans="1:18">
      <c r="A67" s="18">
        <v>1066</v>
      </c>
      <c r="B67" s="19" t="s">
        <v>128</v>
      </c>
      <c r="C67" s="18">
        <v>2024</v>
      </c>
      <c r="D67" s="18" t="s">
        <v>39</v>
      </c>
      <c r="E67" s="18" t="s">
        <v>85</v>
      </c>
      <c r="F67" s="18" t="s">
        <v>94</v>
      </c>
      <c r="G67" s="18" t="s">
        <v>47</v>
      </c>
      <c r="H67" s="18" t="s">
        <v>81</v>
      </c>
      <c r="I67" s="18" t="s">
        <v>60</v>
      </c>
      <c r="J67" s="18" t="s">
        <v>102</v>
      </c>
      <c r="K67" s="18">
        <v>6</v>
      </c>
      <c r="L67" s="20">
        <v>761.01</v>
      </c>
      <c r="M67" s="21">
        <v>0.1</v>
      </c>
      <c r="N67" s="21">
        <v>0.71446618361801195</v>
      </c>
      <c r="O67" s="20">
        <f t="shared" si="4"/>
        <v>4109.4539999999997</v>
      </c>
      <c r="P67" s="20">
        <f t="shared" si="5"/>
        <v>2936.0659161337735</v>
      </c>
      <c r="Q67" s="20">
        <f t="shared" si="6"/>
        <v>1173.3880838662262</v>
      </c>
      <c r="R67" s="22">
        <f t="shared" si="7"/>
        <v>0.28553381638198805</v>
      </c>
    </row>
    <row r="68" spans="1:18">
      <c r="A68" s="18">
        <v>1067</v>
      </c>
      <c r="B68" s="19" t="s">
        <v>128</v>
      </c>
      <c r="C68" s="18">
        <v>2024</v>
      </c>
      <c r="D68" s="18" t="s">
        <v>39</v>
      </c>
      <c r="E68" s="18" t="s">
        <v>79</v>
      </c>
      <c r="F68" s="18" t="s">
        <v>105</v>
      </c>
      <c r="G68" s="18" t="s">
        <v>47</v>
      </c>
      <c r="H68" s="18" t="s">
        <v>103</v>
      </c>
      <c r="I68" s="18" t="s">
        <v>58</v>
      </c>
      <c r="J68" s="18" t="s">
        <v>102</v>
      </c>
      <c r="K68" s="18">
        <v>3</v>
      </c>
      <c r="L68" s="20">
        <v>3179.36</v>
      </c>
      <c r="M68" s="21">
        <v>0.2</v>
      </c>
      <c r="N68" s="21">
        <v>0.65434934938769596</v>
      </c>
      <c r="O68" s="20">
        <f t="shared" si="4"/>
        <v>7630.4639999999999</v>
      </c>
      <c r="P68" s="20">
        <f t="shared" si="5"/>
        <v>4992.9891539262362</v>
      </c>
      <c r="Q68" s="20">
        <f t="shared" si="6"/>
        <v>2637.4748460737637</v>
      </c>
      <c r="R68" s="22">
        <f t="shared" si="7"/>
        <v>0.34565065061230399</v>
      </c>
    </row>
    <row r="69" spans="1:18">
      <c r="A69" s="18">
        <v>1068</v>
      </c>
      <c r="B69" s="19" t="s">
        <v>128</v>
      </c>
      <c r="C69" s="18">
        <v>2024</v>
      </c>
      <c r="D69" s="18" t="s">
        <v>39</v>
      </c>
      <c r="E69" s="18" t="s">
        <v>98</v>
      </c>
      <c r="F69" s="18" t="s">
        <v>99</v>
      </c>
      <c r="G69" s="18" t="s">
        <v>50</v>
      </c>
      <c r="H69" s="18" t="s">
        <v>97</v>
      </c>
      <c r="I69" s="18" t="s">
        <v>56</v>
      </c>
      <c r="J69" s="18" t="s">
        <v>102</v>
      </c>
      <c r="K69" s="18">
        <v>10</v>
      </c>
      <c r="L69" s="20">
        <v>11722.07</v>
      </c>
      <c r="M69" s="21">
        <v>0</v>
      </c>
      <c r="N69" s="21">
        <v>0.71614620377812099</v>
      </c>
      <c r="O69" s="20">
        <f t="shared" si="4"/>
        <v>117220.7</v>
      </c>
      <c r="P69" s="20">
        <f t="shared" si="5"/>
        <v>83947.159309213981</v>
      </c>
      <c r="Q69" s="20">
        <f t="shared" si="6"/>
        <v>33273.540690786016</v>
      </c>
      <c r="R69" s="22">
        <f t="shared" si="7"/>
        <v>0.28385379622187906</v>
      </c>
    </row>
    <row r="70" spans="1:18">
      <c r="A70" s="18">
        <v>1069</v>
      </c>
      <c r="B70" s="19" t="s">
        <v>128</v>
      </c>
      <c r="C70" s="18">
        <v>2024</v>
      </c>
      <c r="D70" s="18" t="s">
        <v>39</v>
      </c>
      <c r="E70" s="18" t="s">
        <v>79</v>
      </c>
      <c r="F70" s="18" t="s">
        <v>105</v>
      </c>
      <c r="G70" s="18" t="s">
        <v>50</v>
      </c>
      <c r="H70" s="18" t="s">
        <v>83</v>
      </c>
      <c r="I70" s="18" t="s">
        <v>58</v>
      </c>
      <c r="J70" s="18" t="s">
        <v>102</v>
      </c>
      <c r="K70" s="18">
        <v>10</v>
      </c>
      <c r="L70" s="20">
        <v>3558.87</v>
      </c>
      <c r="M70" s="21">
        <v>0.05</v>
      </c>
      <c r="N70" s="21">
        <v>0.55573999955401798</v>
      </c>
      <c r="O70" s="20">
        <f t="shared" si="4"/>
        <v>33809.264999999992</v>
      </c>
      <c r="P70" s="20">
        <f t="shared" si="5"/>
        <v>18789.160916021672</v>
      </c>
      <c r="Q70" s="20">
        <f t="shared" si="6"/>
        <v>15020.10408397832</v>
      </c>
      <c r="R70" s="22">
        <f t="shared" si="7"/>
        <v>0.44426000044598202</v>
      </c>
    </row>
    <row r="71" spans="1:18">
      <c r="A71" s="18">
        <v>1070</v>
      </c>
      <c r="B71" s="19" t="s">
        <v>129</v>
      </c>
      <c r="C71" s="18">
        <v>2024</v>
      </c>
      <c r="D71" s="18" t="s">
        <v>39</v>
      </c>
      <c r="E71" s="18" t="s">
        <v>88</v>
      </c>
      <c r="F71" s="18" t="s">
        <v>89</v>
      </c>
      <c r="G71" s="18" t="s">
        <v>44</v>
      </c>
      <c r="H71" s="18" t="s">
        <v>114</v>
      </c>
      <c r="I71" s="18" t="s">
        <v>52</v>
      </c>
      <c r="J71" s="18" t="s">
        <v>91</v>
      </c>
      <c r="K71" s="18">
        <v>5</v>
      </c>
      <c r="L71" s="20">
        <v>9342.2900000000009</v>
      </c>
      <c r="M71" s="21">
        <v>0.2</v>
      </c>
      <c r="N71" s="21">
        <v>0.72602146905104603</v>
      </c>
      <c r="O71" s="20">
        <f t="shared" si="4"/>
        <v>37369.160000000003</v>
      </c>
      <c r="P71" s="20">
        <f t="shared" si="5"/>
        <v>27130.812440403592</v>
      </c>
      <c r="Q71" s="20">
        <f t="shared" si="6"/>
        <v>10238.347559596412</v>
      </c>
      <c r="R71" s="22">
        <f t="shared" si="7"/>
        <v>0.27397853094895391</v>
      </c>
    </row>
    <row r="72" spans="1:18">
      <c r="A72" s="18">
        <v>1071</v>
      </c>
      <c r="B72" s="19" t="s">
        <v>129</v>
      </c>
      <c r="C72" s="18">
        <v>2024</v>
      </c>
      <c r="D72" s="18" t="s">
        <v>39</v>
      </c>
      <c r="E72" s="18" t="s">
        <v>79</v>
      </c>
      <c r="F72" s="18" t="s">
        <v>80</v>
      </c>
      <c r="G72" s="18" t="s">
        <v>44</v>
      </c>
      <c r="H72" s="18" t="s">
        <v>119</v>
      </c>
      <c r="I72" s="18" t="s">
        <v>49</v>
      </c>
      <c r="J72" s="18" t="s">
        <v>102</v>
      </c>
      <c r="K72" s="18">
        <v>7</v>
      </c>
      <c r="L72" s="20">
        <v>6992</v>
      </c>
      <c r="M72" s="21">
        <v>0</v>
      </c>
      <c r="N72" s="21">
        <v>0.68812186788930496</v>
      </c>
      <c r="O72" s="20">
        <f t="shared" si="4"/>
        <v>48944</v>
      </c>
      <c r="P72" s="20">
        <f t="shared" si="5"/>
        <v>33679.43670197414</v>
      </c>
      <c r="Q72" s="20">
        <f t="shared" si="6"/>
        <v>15264.56329802586</v>
      </c>
      <c r="R72" s="22">
        <f t="shared" si="7"/>
        <v>0.31187813211069509</v>
      </c>
    </row>
    <row r="73" spans="1:18">
      <c r="A73" s="18">
        <v>1072</v>
      </c>
      <c r="B73" s="19" t="s">
        <v>129</v>
      </c>
      <c r="C73" s="18">
        <v>2024</v>
      </c>
      <c r="D73" s="18" t="s">
        <v>39</v>
      </c>
      <c r="E73" s="18" t="s">
        <v>85</v>
      </c>
      <c r="F73" s="18" t="s">
        <v>121</v>
      </c>
      <c r="G73" s="18" t="s">
        <v>41</v>
      </c>
      <c r="H73" s="18" t="s">
        <v>90</v>
      </c>
      <c r="I73" s="18" t="s">
        <v>52</v>
      </c>
      <c r="J73" s="18" t="s">
        <v>82</v>
      </c>
      <c r="K73" s="18">
        <v>7</v>
      </c>
      <c r="L73" s="20">
        <v>18345.22</v>
      </c>
      <c r="M73" s="21">
        <v>0.05</v>
      </c>
      <c r="N73" s="21">
        <v>0.68279200431936304</v>
      </c>
      <c r="O73" s="20">
        <f t="shared" si="4"/>
        <v>121995.713</v>
      </c>
      <c r="P73" s="20">
        <f t="shared" si="5"/>
        <v>83297.697397639771</v>
      </c>
      <c r="Q73" s="20">
        <f t="shared" si="6"/>
        <v>38698.015602360232</v>
      </c>
      <c r="R73" s="22">
        <f t="shared" si="7"/>
        <v>0.31720799568063701</v>
      </c>
    </row>
    <row r="74" spans="1:18">
      <c r="A74" s="18">
        <v>1073</v>
      </c>
      <c r="B74" s="19" t="s">
        <v>129</v>
      </c>
      <c r="C74" s="18">
        <v>2024</v>
      </c>
      <c r="D74" s="18" t="s">
        <v>39</v>
      </c>
      <c r="E74" s="18" t="s">
        <v>98</v>
      </c>
      <c r="F74" s="18" t="s">
        <v>109</v>
      </c>
      <c r="G74" s="18" t="s">
        <v>47</v>
      </c>
      <c r="H74" s="18" t="s">
        <v>107</v>
      </c>
      <c r="I74" s="18" t="s">
        <v>60</v>
      </c>
      <c r="J74" s="18" t="s">
        <v>91</v>
      </c>
      <c r="K74" s="18">
        <v>6</v>
      </c>
      <c r="L74" s="20">
        <v>2244.63</v>
      </c>
      <c r="M74" s="21">
        <v>0.05</v>
      </c>
      <c r="N74" s="21">
        <v>0.61132459826976604</v>
      </c>
      <c r="O74" s="20">
        <f t="shared" si="4"/>
        <v>12794.391</v>
      </c>
      <c r="P74" s="20">
        <f t="shared" si="5"/>
        <v>7821.5259381813103</v>
      </c>
      <c r="Q74" s="20">
        <f t="shared" si="6"/>
        <v>4972.8650618186894</v>
      </c>
      <c r="R74" s="22">
        <f t="shared" si="7"/>
        <v>0.38867540173023396</v>
      </c>
    </row>
    <row r="75" spans="1:18">
      <c r="A75" s="18">
        <v>1074</v>
      </c>
      <c r="B75" s="19" t="s">
        <v>130</v>
      </c>
      <c r="C75" s="18">
        <v>2024</v>
      </c>
      <c r="D75" s="18" t="s">
        <v>39</v>
      </c>
      <c r="E75" s="18" t="s">
        <v>79</v>
      </c>
      <c r="F75" s="18" t="s">
        <v>80</v>
      </c>
      <c r="G75" s="18" t="s">
        <v>44</v>
      </c>
      <c r="H75" s="18" t="s">
        <v>114</v>
      </c>
      <c r="I75" s="18" t="s">
        <v>43</v>
      </c>
      <c r="J75" s="18" t="s">
        <v>102</v>
      </c>
      <c r="K75" s="18">
        <v>9</v>
      </c>
      <c r="L75" s="20">
        <v>9405.7900000000009</v>
      </c>
      <c r="M75" s="21">
        <v>0.2</v>
      </c>
      <c r="N75" s="21">
        <v>0.58702996848753197</v>
      </c>
      <c r="O75" s="20">
        <f t="shared" si="4"/>
        <v>67721.688000000009</v>
      </c>
      <c r="P75" s="20">
        <f t="shared" si="5"/>
        <v>39754.660372562481</v>
      </c>
      <c r="Q75" s="20">
        <f t="shared" si="6"/>
        <v>27967.027627437528</v>
      </c>
      <c r="R75" s="22">
        <f t="shared" si="7"/>
        <v>0.41297003151246797</v>
      </c>
    </row>
    <row r="76" spans="1:18">
      <c r="A76" s="18">
        <v>1075</v>
      </c>
      <c r="B76" s="19" t="s">
        <v>130</v>
      </c>
      <c r="C76" s="18">
        <v>2024</v>
      </c>
      <c r="D76" s="18" t="s">
        <v>39</v>
      </c>
      <c r="E76" s="18" t="s">
        <v>88</v>
      </c>
      <c r="F76" s="18" t="s">
        <v>93</v>
      </c>
      <c r="G76" s="18" t="s">
        <v>50</v>
      </c>
      <c r="H76" s="18" t="s">
        <v>97</v>
      </c>
      <c r="I76" s="18" t="s">
        <v>62</v>
      </c>
      <c r="J76" s="18" t="s">
        <v>102</v>
      </c>
      <c r="K76" s="18">
        <v>10</v>
      </c>
      <c r="L76" s="20">
        <v>11739.6</v>
      </c>
      <c r="M76" s="21">
        <v>0</v>
      </c>
      <c r="N76" s="21">
        <v>0.716525672665414</v>
      </c>
      <c r="O76" s="20">
        <f t="shared" si="4"/>
        <v>117396</v>
      </c>
      <c r="P76" s="20">
        <f t="shared" si="5"/>
        <v>84117.247868228937</v>
      </c>
      <c r="Q76" s="20">
        <f t="shared" si="6"/>
        <v>33278.752131771063</v>
      </c>
      <c r="R76" s="22">
        <f t="shared" si="7"/>
        <v>0.28347432733458605</v>
      </c>
    </row>
    <row r="77" spans="1:18">
      <c r="A77" s="18">
        <v>1076</v>
      </c>
      <c r="B77" s="19" t="s">
        <v>130</v>
      </c>
      <c r="C77" s="18">
        <v>2024</v>
      </c>
      <c r="D77" s="18" t="s">
        <v>39</v>
      </c>
      <c r="E77" s="18" t="s">
        <v>98</v>
      </c>
      <c r="F77" s="18" t="s">
        <v>117</v>
      </c>
      <c r="G77" s="18" t="s">
        <v>47</v>
      </c>
      <c r="H77" s="18" t="s">
        <v>81</v>
      </c>
      <c r="I77" s="18" t="s">
        <v>52</v>
      </c>
      <c r="J77" s="18" t="s">
        <v>82</v>
      </c>
      <c r="K77" s="18">
        <v>12</v>
      </c>
      <c r="L77" s="20">
        <v>802.73</v>
      </c>
      <c r="M77" s="21">
        <v>0.05</v>
      </c>
      <c r="N77" s="21">
        <v>0.55910314019664398</v>
      </c>
      <c r="O77" s="20">
        <f t="shared" si="4"/>
        <v>9151.1219999999994</v>
      </c>
      <c r="P77" s="20">
        <f t="shared" si="5"/>
        <v>5116.4210465225924</v>
      </c>
      <c r="Q77" s="20">
        <f t="shared" si="6"/>
        <v>4034.700953477407</v>
      </c>
      <c r="R77" s="22">
        <f t="shared" si="7"/>
        <v>0.44089685980335608</v>
      </c>
    </row>
    <row r="78" spans="1:18">
      <c r="A78" s="18">
        <v>1077</v>
      </c>
      <c r="B78" s="19" t="s">
        <v>131</v>
      </c>
      <c r="C78" s="18">
        <v>2024</v>
      </c>
      <c r="D78" s="18" t="s">
        <v>39</v>
      </c>
      <c r="E78" s="18" t="s">
        <v>98</v>
      </c>
      <c r="F78" s="18" t="s">
        <v>99</v>
      </c>
      <c r="G78" s="18" t="s">
        <v>44</v>
      </c>
      <c r="H78" s="18" t="s">
        <v>95</v>
      </c>
      <c r="I78" s="18" t="s">
        <v>58</v>
      </c>
      <c r="J78" s="18" t="s">
        <v>82</v>
      </c>
      <c r="K78" s="18">
        <v>1</v>
      </c>
      <c r="L78" s="20">
        <v>4533.33</v>
      </c>
      <c r="M78" s="21">
        <v>0.1</v>
      </c>
      <c r="N78" s="21">
        <v>0.64574284172128005</v>
      </c>
      <c r="O78" s="20">
        <f t="shared" si="4"/>
        <v>4079.9969999999998</v>
      </c>
      <c r="P78" s="20">
        <f t="shared" si="5"/>
        <v>2634.6288569942972</v>
      </c>
      <c r="Q78" s="20">
        <f t="shared" si="6"/>
        <v>1445.3681430057027</v>
      </c>
      <c r="R78" s="22">
        <f t="shared" si="7"/>
        <v>0.35425715827872001</v>
      </c>
    </row>
    <row r="79" spans="1:18">
      <c r="A79" s="18">
        <v>1078</v>
      </c>
      <c r="B79" s="19" t="s">
        <v>131</v>
      </c>
      <c r="C79" s="18">
        <v>2024</v>
      </c>
      <c r="D79" s="18" t="s">
        <v>39</v>
      </c>
      <c r="E79" s="18" t="s">
        <v>98</v>
      </c>
      <c r="F79" s="18" t="s">
        <v>117</v>
      </c>
      <c r="G79" s="18" t="s">
        <v>41</v>
      </c>
      <c r="H79" s="18" t="s">
        <v>106</v>
      </c>
      <c r="I79" s="18" t="s">
        <v>58</v>
      </c>
      <c r="J79" s="18" t="s">
        <v>82</v>
      </c>
      <c r="K79" s="18">
        <v>2</v>
      </c>
      <c r="L79" s="20">
        <v>2475.1799999999998</v>
      </c>
      <c r="M79" s="21">
        <v>0</v>
      </c>
      <c r="N79" s="21">
        <v>0.66540423129416404</v>
      </c>
      <c r="O79" s="20">
        <f t="shared" si="4"/>
        <v>4950.3599999999997</v>
      </c>
      <c r="P79" s="20">
        <f t="shared" si="5"/>
        <v>3293.9904904293776</v>
      </c>
      <c r="Q79" s="20">
        <f t="shared" si="6"/>
        <v>1656.3695095706221</v>
      </c>
      <c r="R79" s="22">
        <f t="shared" si="7"/>
        <v>0.33459576870583596</v>
      </c>
    </row>
    <row r="80" spans="1:18">
      <c r="A80" s="18">
        <v>1079</v>
      </c>
      <c r="B80" s="19" t="s">
        <v>132</v>
      </c>
      <c r="C80" s="18">
        <v>2024</v>
      </c>
      <c r="D80" s="18" t="s">
        <v>39</v>
      </c>
      <c r="E80" s="18" t="s">
        <v>88</v>
      </c>
      <c r="F80" s="18" t="s">
        <v>110</v>
      </c>
      <c r="G80" s="18" t="s">
        <v>47</v>
      </c>
      <c r="H80" s="18" t="s">
        <v>81</v>
      </c>
      <c r="I80" s="18" t="s">
        <v>49</v>
      </c>
      <c r="J80" s="18" t="s">
        <v>82</v>
      </c>
      <c r="K80" s="18">
        <v>9</v>
      </c>
      <c r="L80" s="20">
        <v>821.16</v>
      </c>
      <c r="M80" s="21">
        <v>0.15</v>
      </c>
      <c r="N80" s="21">
        <v>0.66922536908200503</v>
      </c>
      <c r="O80" s="20">
        <f t="shared" si="4"/>
        <v>6281.8739999999998</v>
      </c>
      <c r="P80" s="20">
        <f t="shared" si="5"/>
        <v>4203.9894461766507</v>
      </c>
      <c r="Q80" s="20">
        <f t="shared" si="6"/>
        <v>2077.8845538233491</v>
      </c>
      <c r="R80" s="22">
        <f t="shared" si="7"/>
        <v>0.33077463091799503</v>
      </c>
    </row>
    <row r="81" spans="1:18">
      <c r="A81" s="18">
        <v>1080</v>
      </c>
      <c r="B81" s="19" t="s">
        <v>132</v>
      </c>
      <c r="C81" s="18">
        <v>2024</v>
      </c>
      <c r="D81" s="18" t="s">
        <v>39</v>
      </c>
      <c r="E81" s="18" t="s">
        <v>88</v>
      </c>
      <c r="F81" s="18" t="s">
        <v>93</v>
      </c>
      <c r="G81" s="18" t="s">
        <v>50</v>
      </c>
      <c r="H81" s="18" t="s">
        <v>97</v>
      </c>
      <c r="I81" s="18" t="s">
        <v>58</v>
      </c>
      <c r="J81" s="18" t="s">
        <v>91</v>
      </c>
      <c r="K81" s="18">
        <v>10</v>
      </c>
      <c r="L81" s="20">
        <v>12588.04</v>
      </c>
      <c r="M81" s="21">
        <v>0.05</v>
      </c>
      <c r="N81" s="21">
        <v>0.66372589412484695</v>
      </c>
      <c r="O81" s="20">
        <f t="shared" si="4"/>
        <v>119586.38</v>
      </c>
      <c r="P81" s="20">
        <f t="shared" si="5"/>
        <v>79372.576990653717</v>
      </c>
      <c r="Q81" s="20">
        <f t="shared" si="6"/>
        <v>40213.803009346288</v>
      </c>
      <c r="R81" s="22">
        <f t="shared" si="7"/>
        <v>0.33627410587515305</v>
      </c>
    </row>
    <row r="82" spans="1:18">
      <c r="A82" s="18">
        <v>1081</v>
      </c>
      <c r="B82" s="19" t="s">
        <v>133</v>
      </c>
      <c r="C82" s="18">
        <v>2024</v>
      </c>
      <c r="D82" s="18" t="s">
        <v>39</v>
      </c>
      <c r="E82" s="18" t="s">
        <v>79</v>
      </c>
      <c r="F82" s="18" t="s">
        <v>100</v>
      </c>
      <c r="G82" s="18" t="s">
        <v>44</v>
      </c>
      <c r="H82" s="18" t="s">
        <v>114</v>
      </c>
      <c r="I82" s="18" t="s">
        <v>43</v>
      </c>
      <c r="J82" s="18" t="s">
        <v>82</v>
      </c>
      <c r="K82" s="18">
        <v>4</v>
      </c>
      <c r="L82" s="20">
        <v>8706.43</v>
      </c>
      <c r="M82" s="21">
        <v>0</v>
      </c>
      <c r="N82" s="21">
        <v>0.58130652308862796</v>
      </c>
      <c r="O82" s="20">
        <f t="shared" si="4"/>
        <v>34825.72</v>
      </c>
      <c r="P82" s="20">
        <f t="shared" si="5"/>
        <v>20244.418207258092</v>
      </c>
      <c r="Q82" s="20">
        <f t="shared" si="6"/>
        <v>14581.30179274191</v>
      </c>
      <c r="R82" s="22">
        <f t="shared" si="7"/>
        <v>0.4186934769113721</v>
      </c>
    </row>
    <row r="83" spans="1:18">
      <c r="A83" s="18">
        <v>1082</v>
      </c>
      <c r="B83" s="19" t="s">
        <v>133</v>
      </c>
      <c r="C83" s="18">
        <v>2024</v>
      </c>
      <c r="D83" s="18" t="s">
        <v>39</v>
      </c>
      <c r="E83" s="18" t="s">
        <v>85</v>
      </c>
      <c r="F83" s="18" t="s">
        <v>121</v>
      </c>
      <c r="G83" s="18" t="s">
        <v>50</v>
      </c>
      <c r="H83" s="18" t="s">
        <v>97</v>
      </c>
      <c r="I83" s="18" t="s">
        <v>40</v>
      </c>
      <c r="J83" s="18" t="s">
        <v>82</v>
      </c>
      <c r="K83" s="18">
        <v>5</v>
      </c>
      <c r="L83" s="20">
        <v>12248.35</v>
      </c>
      <c r="M83" s="21">
        <v>0.2</v>
      </c>
      <c r="N83" s="21">
        <v>0.721921346268104</v>
      </c>
      <c r="O83" s="20">
        <f t="shared" si="4"/>
        <v>48993.4</v>
      </c>
      <c r="P83" s="20">
        <f t="shared" si="5"/>
        <v>35369.38128625173</v>
      </c>
      <c r="Q83" s="20">
        <f t="shared" si="6"/>
        <v>13624.018713748272</v>
      </c>
      <c r="R83" s="22">
        <f t="shared" si="7"/>
        <v>0.27807865373189594</v>
      </c>
    </row>
    <row r="84" spans="1:18">
      <c r="A84" s="18">
        <v>1083</v>
      </c>
      <c r="B84" s="19" t="s">
        <v>134</v>
      </c>
      <c r="C84" s="18">
        <v>2024</v>
      </c>
      <c r="D84" s="18" t="s">
        <v>39</v>
      </c>
      <c r="E84" s="18" t="s">
        <v>88</v>
      </c>
      <c r="F84" s="18" t="s">
        <v>89</v>
      </c>
      <c r="G84" s="18" t="s">
        <v>44</v>
      </c>
      <c r="H84" s="18" t="s">
        <v>114</v>
      </c>
      <c r="I84" s="18" t="s">
        <v>43</v>
      </c>
      <c r="J84" s="18" t="s">
        <v>102</v>
      </c>
      <c r="K84" s="18">
        <v>4</v>
      </c>
      <c r="L84" s="20">
        <v>9132.8700000000008</v>
      </c>
      <c r="M84" s="21">
        <v>0.05</v>
      </c>
      <c r="N84" s="21">
        <v>0.71532623193001199</v>
      </c>
      <c r="O84" s="20">
        <f t="shared" si="4"/>
        <v>34704.906000000003</v>
      </c>
      <c r="P84" s="20">
        <f t="shared" si="5"/>
        <v>24825.329638465268</v>
      </c>
      <c r="Q84" s="20">
        <f t="shared" si="6"/>
        <v>9879.576361534735</v>
      </c>
      <c r="R84" s="22">
        <f t="shared" si="7"/>
        <v>0.28467376806998795</v>
      </c>
    </row>
    <row r="85" spans="1:18">
      <c r="A85" s="18">
        <v>1084</v>
      </c>
      <c r="B85" s="19" t="s">
        <v>134</v>
      </c>
      <c r="C85" s="18">
        <v>2024</v>
      </c>
      <c r="D85" s="18" t="s">
        <v>39</v>
      </c>
      <c r="E85" s="18" t="s">
        <v>79</v>
      </c>
      <c r="F85" s="18" t="s">
        <v>100</v>
      </c>
      <c r="G85" s="18" t="s">
        <v>44</v>
      </c>
      <c r="H85" s="18" t="s">
        <v>114</v>
      </c>
      <c r="I85" s="18" t="s">
        <v>62</v>
      </c>
      <c r="J85" s="18" t="s">
        <v>102</v>
      </c>
      <c r="K85" s="18">
        <v>10</v>
      </c>
      <c r="L85" s="20">
        <v>9379.07</v>
      </c>
      <c r="M85" s="21">
        <v>0.1</v>
      </c>
      <c r="N85" s="21">
        <v>0.57487073163494196</v>
      </c>
      <c r="O85" s="20">
        <f t="shared" si="4"/>
        <v>84411.63</v>
      </c>
      <c r="P85" s="20">
        <f t="shared" si="5"/>
        <v>48525.77549659802</v>
      </c>
      <c r="Q85" s="20">
        <f t="shared" si="6"/>
        <v>35885.854503401984</v>
      </c>
      <c r="R85" s="22">
        <f t="shared" si="7"/>
        <v>0.42512926836505804</v>
      </c>
    </row>
    <row r="86" spans="1:18">
      <c r="A86" s="18">
        <v>1085</v>
      </c>
      <c r="B86" s="19" t="s">
        <v>135</v>
      </c>
      <c r="C86" s="18">
        <v>2024</v>
      </c>
      <c r="D86" s="18" t="s">
        <v>39</v>
      </c>
      <c r="E86" s="18" t="s">
        <v>85</v>
      </c>
      <c r="F86" s="18" t="s">
        <v>121</v>
      </c>
      <c r="G86" s="18" t="s">
        <v>50</v>
      </c>
      <c r="H86" s="18" t="s">
        <v>97</v>
      </c>
      <c r="I86" s="18" t="s">
        <v>43</v>
      </c>
      <c r="J86" s="18" t="s">
        <v>102</v>
      </c>
      <c r="K86" s="18">
        <v>1</v>
      </c>
      <c r="L86" s="20">
        <v>12467.31</v>
      </c>
      <c r="M86" s="21">
        <v>0.2</v>
      </c>
      <c r="N86" s="21">
        <v>0.61446431667166002</v>
      </c>
      <c r="O86" s="20">
        <f t="shared" si="4"/>
        <v>9973.848</v>
      </c>
      <c r="P86" s="20">
        <f t="shared" si="5"/>
        <v>6128.5736959070027</v>
      </c>
      <c r="Q86" s="20">
        <f t="shared" si="6"/>
        <v>3845.2743040929972</v>
      </c>
      <c r="R86" s="22">
        <f t="shared" si="7"/>
        <v>0.38553568332833998</v>
      </c>
    </row>
    <row r="87" spans="1:18">
      <c r="A87" s="18">
        <v>1086</v>
      </c>
      <c r="B87" s="19" t="s">
        <v>135</v>
      </c>
      <c r="C87" s="18">
        <v>2024</v>
      </c>
      <c r="D87" s="18" t="s">
        <v>39</v>
      </c>
      <c r="E87" s="18" t="s">
        <v>98</v>
      </c>
      <c r="F87" s="18" t="s">
        <v>117</v>
      </c>
      <c r="G87" s="18" t="s">
        <v>41</v>
      </c>
      <c r="H87" s="18" t="s">
        <v>101</v>
      </c>
      <c r="I87" s="18" t="s">
        <v>62</v>
      </c>
      <c r="J87" s="18" t="s">
        <v>102</v>
      </c>
      <c r="K87" s="18">
        <v>1</v>
      </c>
      <c r="L87" s="20">
        <v>57747.65</v>
      </c>
      <c r="M87" s="21">
        <v>0.2</v>
      </c>
      <c r="N87" s="21">
        <v>0.71428424905167698</v>
      </c>
      <c r="O87" s="20">
        <f t="shared" si="4"/>
        <v>46198.12</v>
      </c>
      <c r="P87" s="20">
        <f t="shared" si="5"/>
        <v>32998.589451799264</v>
      </c>
      <c r="Q87" s="20">
        <f t="shared" si="6"/>
        <v>13199.530548200739</v>
      </c>
      <c r="R87" s="22">
        <f t="shared" si="7"/>
        <v>0.28571575094832297</v>
      </c>
    </row>
    <row r="88" spans="1:18">
      <c r="A88" s="18">
        <v>1087</v>
      </c>
      <c r="B88" s="19" t="s">
        <v>135</v>
      </c>
      <c r="C88" s="18">
        <v>2024</v>
      </c>
      <c r="D88" s="18" t="s">
        <v>39</v>
      </c>
      <c r="E88" s="18" t="s">
        <v>79</v>
      </c>
      <c r="F88" s="18" t="s">
        <v>100</v>
      </c>
      <c r="G88" s="18" t="s">
        <v>50</v>
      </c>
      <c r="H88" s="18" t="s">
        <v>87</v>
      </c>
      <c r="I88" s="18" t="s">
        <v>58</v>
      </c>
      <c r="J88" s="18" t="s">
        <v>91</v>
      </c>
      <c r="K88" s="18">
        <v>3</v>
      </c>
      <c r="L88" s="20">
        <v>9972.1</v>
      </c>
      <c r="M88" s="21">
        <v>0.1</v>
      </c>
      <c r="N88" s="21">
        <v>0.67695694389081695</v>
      </c>
      <c r="O88" s="20">
        <f t="shared" si="4"/>
        <v>26924.670000000002</v>
      </c>
      <c r="P88" s="20">
        <f t="shared" si="5"/>
        <v>18226.842318468764</v>
      </c>
      <c r="Q88" s="20">
        <f t="shared" si="6"/>
        <v>8697.8276815312383</v>
      </c>
      <c r="R88" s="22">
        <f t="shared" si="7"/>
        <v>0.32304305610918305</v>
      </c>
    </row>
    <row r="89" spans="1:18">
      <c r="A89" s="18">
        <v>1088</v>
      </c>
      <c r="B89" s="19" t="s">
        <v>135</v>
      </c>
      <c r="C89" s="18">
        <v>2024</v>
      </c>
      <c r="D89" s="18" t="s">
        <v>39</v>
      </c>
      <c r="E89" s="18" t="s">
        <v>85</v>
      </c>
      <c r="F89" s="18" t="s">
        <v>86</v>
      </c>
      <c r="G89" s="18" t="s">
        <v>50</v>
      </c>
      <c r="H89" s="18" t="s">
        <v>97</v>
      </c>
      <c r="I89" s="18" t="s">
        <v>56</v>
      </c>
      <c r="J89" s="18" t="s">
        <v>91</v>
      </c>
      <c r="K89" s="18">
        <v>6</v>
      </c>
      <c r="L89" s="20">
        <v>12204.16</v>
      </c>
      <c r="M89" s="21">
        <v>0</v>
      </c>
      <c r="N89" s="21">
        <v>0.61596073271579299</v>
      </c>
      <c r="O89" s="20">
        <f t="shared" si="4"/>
        <v>73224.959999999992</v>
      </c>
      <c r="P89" s="20">
        <f t="shared" si="5"/>
        <v>45103.700014684626</v>
      </c>
      <c r="Q89" s="20">
        <f t="shared" si="6"/>
        <v>28121.259985315366</v>
      </c>
      <c r="R89" s="22">
        <f t="shared" si="7"/>
        <v>0.38403926728420706</v>
      </c>
    </row>
    <row r="90" spans="1:18">
      <c r="A90" s="18">
        <v>1089</v>
      </c>
      <c r="B90" s="19" t="s">
        <v>136</v>
      </c>
      <c r="C90" s="18">
        <v>2024</v>
      </c>
      <c r="D90" s="18" t="s">
        <v>39</v>
      </c>
      <c r="E90" s="18" t="s">
        <v>98</v>
      </c>
      <c r="F90" s="18" t="s">
        <v>99</v>
      </c>
      <c r="G90" s="18" t="s">
        <v>50</v>
      </c>
      <c r="H90" s="18" t="s">
        <v>87</v>
      </c>
      <c r="I90" s="18" t="s">
        <v>40</v>
      </c>
      <c r="J90" s="18" t="s">
        <v>91</v>
      </c>
      <c r="K90" s="18">
        <v>2</v>
      </c>
      <c r="L90" s="20">
        <v>9323.7900000000009</v>
      </c>
      <c r="M90" s="21">
        <v>0.05</v>
      </c>
      <c r="N90" s="21">
        <v>0.57318432028619204</v>
      </c>
      <c r="O90" s="20">
        <f t="shared" si="4"/>
        <v>17715.201000000001</v>
      </c>
      <c r="P90" s="20">
        <f t="shared" si="5"/>
        <v>10154.075443918269</v>
      </c>
      <c r="Q90" s="20">
        <f t="shared" si="6"/>
        <v>7561.1255560817317</v>
      </c>
      <c r="R90" s="22">
        <f t="shared" si="7"/>
        <v>0.42681567971380802</v>
      </c>
    </row>
    <row r="91" spans="1:18">
      <c r="A91" s="18">
        <v>1090</v>
      </c>
      <c r="B91" s="19" t="s">
        <v>136</v>
      </c>
      <c r="C91" s="18">
        <v>2024</v>
      </c>
      <c r="D91" s="18" t="s">
        <v>39</v>
      </c>
      <c r="E91" s="18" t="s">
        <v>85</v>
      </c>
      <c r="F91" s="18" t="s">
        <v>94</v>
      </c>
      <c r="G91" s="18" t="s">
        <v>41</v>
      </c>
      <c r="H91" s="18" t="s">
        <v>112</v>
      </c>
      <c r="I91" s="18" t="s">
        <v>56</v>
      </c>
      <c r="J91" s="18" t="s">
        <v>82</v>
      </c>
      <c r="K91" s="18">
        <v>4</v>
      </c>
      <c r="L91" s="20">
        <v>6011.06</v>
      </c>
      <c r="M91" s="21">
        <v>0.15</v>
      </c>
      <c r="N91" s="21">
        <v>0.70128863081111503</v>
      </c>
      <c r="O91" s="20">
        <f t="shared" si="4"/>
        <v>20437.603999999999</v>
      </c>
      <c r="P91" s="20">
        <f t="shared" si="5"/>
        <v>14332.659326219768</v>
      </c>
      <c r="Q91" s="20">
        <f t="shared" si="6"/>
        <v>6104.9446737802318</v>
      </c>
      <c r="R91" s="22">
        <f t="shared" si="7"/>
        <v>0.29871136918888497</v>
      </c>
    </row>
    <row r="92" spans="1:18">
      <c r="A92" s="18">
        <v>1091</v>
      </c>
      <c r="B92" s="19" t="s">
        <v>136</v>
      </c>
      <c r="C92" s="18">
        <v>2024</v>
      </c>
      <c r="D92" s="18" t="s">
        <v>39</v>
      </c>
      <c r="E92" s="18" t="s">
        <v>85</v>
      </c>
      <c r="F92" s="18" t="s">
        <v>86</v>
      </c>
      <c r="G92" s="18" t="s">
        <v>44</v>
      </c>
      <c r="H92" s="18" t="s">
        <v>114</v>
      </c>
      <c r="I92" s="18" t="s">
        <v>60</v>
      </c>
      <c r="J92" s="18" t="s">
        <v>82</v>
      </c>
      <c r="K92" s="18">
        <v>5</v>
      </c>
      <c r="L92" s="20">
        <v>8944.2999999999993</v>
      </c>
      <c r="M92" s="21">
        <v>0.2</v>
      </c>
      <c r="N92" s="21">
        <v>0.64694235939</v>
      </c>
      <c r="O92" s="20">
        <f t="shared" si="4"/>
        <v>35777.200000000004</v>
      </c>
      <c r="P92" s="20">
        <f t="shared" si="5"/>
        <v>23145.786180367912</v>
      </c>
      <c r="Q92" s="20">
        <f t="shared" si="6"/>
        <v>12631.413819632093</v>
      </c>
      <c r="R92" s="22">
        <f t="shared" si="7"/>
        <v>0.35305764061</v>
      </c>
    </row>
    <row r="93" spans="1:18">
      <c r="A93" s="18">
        <v>1092</v>
      </c>
      <c r="B93" s="19" t="s">
        <v>136</v>
      </c>
      <c r="C93" s="18">
        <v>2024</v>
      </c>
      <c r="D93" s="18" t="s">
        <v>39</v>
      </c>
      <c r="E93" s="18" t="s">
        <v>79</v>
      </c>
      <c r="F93" s="18" t="s">
        <v>80</v>
      </c>
      <c r="G93" s="18" t="s">
        <v>44</v>
      </c>
      <c r="H93" s="18" t="s">
        <v>95</v>
      </c>
      <c r="I93" s="18" t="s">
        <v>46</v>
      </c>
      <c r="J93" s="18" t="s">
        <v>91</v>
      </c>
      <c r="K93" s="18">
        <v>9</v>
      </c>
      <c r="L93" s="20">
        <v>4281.1499999999996</v>
      </c>
      <c r="M93" s="21">
        <v>0.1</v>
      </c>
      <c r="N93" s="21">
        <v>0.56864184025630504</v>
      </c>
      <c r="O93" s="20">
        <f t="shared" si="4"/>
        <v>34677.315000000002</v>
      </c>
      <c r="P93" s="20">
        <f t="shared" si="5"/>
        <v>19718.97221674757</v>
      </c>
      <c r="Q93" s="20">
        <f t="shared" si="6"/>
        <v>14958.342783252432</v>
      </c>
      <c r="R93" s="22">
        <f t="shared" si="7"/>
        <v>0.43135815974369501</v>
      </c>
    </row>
    <row r="94" spans="1:18">
      <c r="A94" s="18">
        <v>1093</v>
      </c>
      <c r="B94" s="19" t="s">
        <v>136</v>
      </c>
      <c r="C94" s="18">
        <v>2024</v>
      </c>
      <c r="D94" s="18" t="s">
        <v>39</v>
      </c>
      <c r="E94" s="18" t="s">
        <v>79</v>
      </c>
      <c r="F94" s="18" t="s">
        <v>105</v>
      </c>
      <c r="G94" s="18" t="s">
        <v>41</v>
      </c>
      <c r="H94" s="18" t="s">
        <v>101</v>
      </c>
      <c r="I94" s="18" t="s">
        <v>58</v>
      </c>
      <c r="J94" s="18" t="s">
        <v>102</v>
      </c>
      <c r="K94" s="18">
        <v>5</v>
      </c>
      <c r="L94" s="20">
        <v>55048.800000000003</v>
      </c>
      <c r="M94" s="21">
        <v>0.05</v>
      </c>
      <c r="N94" s="21">
        <v>0.63309806858707096</v>
      </c>
      <c r="O94" s="20">
        <f t="shared" si="4"/>
        <v>261481.8</v>
      </c>
      <c r="P94" s="20">
        <f t="shared" si="5"/>
        <v>165543.62255067076</v>
      </c>
      <c r="Q94" s="20">
        <f t="shared" si="6"/>
        <v>95938.177449329232</v>
      </c>
      <c r="R94" s="22">
        <f t="shared" si="7"/>
        <v>0.36690193141292909</v>
      </c>
    </row>
    <row r="95" spans="1:18">
      <c r="A95" s="18">
        <v>1094</v>
      </c>
      <c r="B95" s="19" t="s">
        <v>137</v>
      </c>
      <c r="C95" s="18">
        <v>2024</v>
      </c>
      <c r="D95" s="18" t="s">
        <v>39</v>
      </c>
      <c r="E95" s="18" t="s">
        <v>85</v>
      </c>
      <c r="F95" s="18" t="s">
        <v>86</v>
      </c>
      <c r="G95" s="18" t="s">
        <v>50</v>
      </c>
      <c r="H95" s="18" t="s">
        <v>87</v>
      </c>
      <c r="I95" s="18" t="s">
        <v>46</v>
      </c>
      <c r="J95" s="18" t="s">
        <v>91</v>
      </c>
      <c r="K95" s="18">
        <v>4</v>
      </c>
      <c r="L95" s="20">
        <v>9900.77</v>
      </c>
      <c r="M95" s="21">
        <v>0.15</v>
      </c>
      <c r="N95" s="21">
        <v>0.69925850909847997</v>
      </c>
      <c r="O95" s="20">
        <f t="shared" si="4"/>
        <v>33662.618000000002</v>
      </c>
      <c r="P95" s="20">
        <f t="shared" si="5"/>
        <v>23538.872075031657</v>
      </c>
      <c r="Q95" s="20">
        <f t="shared" si="6"/>
        <v>10123.745924968345</v>
      </c>
      <c r="R95" s="22">
        <f t="shared" si="7"/>
        <v>0.30074149090152003</v>
      </c>
    </row>
    <row r="96" spans="1:18">
      <c r="A96" s="18">
        <v>1095</v>
      </c>
      <c r="B96" s="19" t="s">
        <v>137</v>
      </c>
      <c r="C96" s="18">
        <v>2024</v>
      </c>
      <c r="D96" s="18" t="s">
        <v>39</v>
      </c>
      <c r="E96" s="18" t="s">
        <v>88</v>
      </c>
      <c r="F96" s="18" t="s">
        <v>110</v>
      </c>
      <c r="G96" s="18" t="s">
        <v>47</v>
      </c>
      <c r="H96" s="18" t="s">
        <v>107</v>
      </c>
      <c r="I96" s="18" t="s">
        <v>54</v>
      </c>
      <c r="J96" s="18" t="s">
        <v>102</v>
      </c>
      <c r="K96" s="18">
        <v>5</v>
      </c>
      <c r="L96" s="20">
        <v>2270.52</v>
      </c>
      <c r="M96" s="21">
        <v>0.05</v>
      </c>
      <c r="N96" s="21">
        <v>0.69521019652270699</v>
      </c>
      <c r="O96" s="20">
        <f t="shared" si="4"/>
        <v>10784.97</v>
      </c>
      <c r="P96" s="20">
        <f t="shared" si="5"/>
        <v>7497.8211131914986</v>
      </c>
      <c r="Q96" s="20">
        <f t="shared" si="6"/>
        <v>3287.1488868085007</v>
      </c>
      <c r="R96" s="22">
        <f t="shared" si="7"/>
        <v>0.30478980347729301</v>
      </c>
    </row>
    <row r="97" spans="1:18">
      <c r="A97" s="18">
        <v>1096</v>
      </c>
      <c r="B97" s="19" t="s">
        <v>137</v>
      </c>
      <c r="C97" s="18">
        <v>2024</v>
      </c>
      <c r="D97" s="18" t="s">
        <v>39</v>
      </c>
      <c r="E97" s="18" t="s">
        <v>85</v>
      </c>
      <c r="F97" s="18" t="s">
        <v>86</v>
      </c>
      <c r="G97" s="18" t="s">
        <v>50</v>
      </c>
      <c r="H97" s="18" t="s">
        <v>87</v>
      </c>
      <c r="I97" s="18" t="s">
        <v>58</v>
      </c>
      <c r="J97" s="18" t="s">
        <v>91</v>
      </c>
      <c r="K97" s="18">
        <v>6</v>
      </c>
      <c r="L97" s="20">
        <v>9549.32</v>
      </c>
      <c r="M97" s="21">
        <v>0.15</v>
      </c>
      <c r="N97" s="21">
        <v>0.62544201084277695</v>
      </c>
      <c r="O97" s="20">
        <f t="shared" si="4"/>
        <v>48701.531999999999</v>
      </c>
      <c r="P97" s="20">
        <f t="shared" si="5"/>
        <v>30459.984105203846</v>
      </c>
      <c r="Q97" s="20">
        <f t="shared" si="6"/>
        <v>18241.547894796153</v>
      </c>
      <c r="R97" s="22">
        <f t="shared" si="7"/>
        <v>0.3745579891572231</v>
      </c>
    </row>
    <row r="98" spans="1:18">
      <c r="A98" s="18">
        <v>1097</v>
      </c>
      <c r="B98" s="19" t="s">
        <v>137</v>
      </c>
      <c r="C98" s="18">
        <v>2024</v>
      </c>
      <c r="D98" s="18" t="s">
        <v>39</v>
      </c>
      <c r="E98" s="18" t="s">
        <v>98</v>
      </c>
      <c r="F98" s="18" t="s">
        <v>117</v>
      </c>
      <c r="G98" s="18" t="s">
        <v>44</v>
      </c>
      <c r="H98" s="18" t="s">
        <v>95</v>
      </c>
      <c r="I98" s="18" t="s">
        <v>56</v>
      </c>
      <c r="J98" s="18" t="s">
        <v>82</v>
      </c>
      <c r="K98" s="18">
        <v>7</v>
      </c>
      <c r="L98" s="20">
        <v>4294.6400000000003</v>
      </c>
      <c r="M98" s="21">
        <v>0.2</v>
      </c>
      <c r="N98" s="21">
        <v>0.64459525004808305</v>
      </c>
      <c r="O98" s="20">
        <f t="shared" si="4"/>
        <v>24049.984000000004</v>
      </c>
      <c r="P98" s="20">
        <f t="shared" si="5"/>
        <v>15502.505450132399</v>
      </c>
      <c r="Q98" s="20">
        <f t="shared" si="6"/>
        <v>8547.4785498676047</v>
      </c>
      <c r="R98" s="22">
        <f t="shared" si="7"/>
        <v>0.35540474995191695</v>
      </c>
    </row>
    <row r="99" spans="1:18">
      <c r="A99" s="18">
        <v>1098</v>
      </c>
      <c r="B99" s="19" t="s">
        <v>137</v>
      </c>
      <c r="C99" s="18">
        <v>2024</v>
      </c>
      <c r="D99" s="18" t="s">
        <v>39</v>
      </c>
      <c r="E99" s="18" t="s">
        <v>85</v>
      </c>
      <c r="F99" s="18" t="s">
        <v>121</v>
      </c>
      <c r="G99" s="18" t="s">
        <v>44</v>
      </c>
      <c r="H99" s="18" t="s">
        <v>114</v>
      </c>
      <c r="I99" s="18" t="s">
        <v>40</v>
      </c>
      <c r="J99" s="18" t="s">
        <v>82</v>
      </c>
      <c r="K99" s="18">
        <v>9</v>
      </c>
      <c r="L99" s="20">
        <v>9418.82</v>
      </c>
      <c r="M99" s="21">
        <v>0.05</v>
      </c>
      <c r="N99" s="21">
        <v>0.72394006267244304</v>
      </c>
      <c r="O99" s="20">
        <f t="shared" si="4"/>
        <v>80530.911000000007</v>
      </c>
      <c r="P99" s="20">
        <f t="shared" si="5"/>
        <v>58299.552756408935</v>
      </c>
      <c r="Q99" s="20">
        <f t="shared" si="6"/>
        <v>22231.358243591072</v>
      </c>
      <c r="R99" s="22">
        <f t="shared" si="7"/>
        <v>0.27605993732755701</v>
      </c>
    </row>
    <row r="100" spans="1:18">
      <c r="A100" s="18">
        <v>1099</v>
      </c>
      <c r="B100" s="19" t="s">
        <v>138</v>
      </c>
      <c r="C100" s="18">
        <v>2024</v>
      </c>
      <c r="D100" s="18" t="s">
        <v>39</v>
      </c>
      <c r="E100" s="18" t="s">
        <v>79</v>
      </c>
      <c r="F100" s="18" t="s">
        <v>80</v>
      </c>
      <c r="G100" s="18" t="s">
        <v>50</v>
      </c>
      <c r="H100" s="18" t="s">
        <v>83</v>
      </c>
      <c r="I100" s="18" t="s">
        <v>46</v>
      </c>
      <c r="J100" s="18" t="s">
        <v>91</v>
      </c>
      <c r="K100" s="18">
        <v>11</v>
      </c>
      <c r="L100" s="20">
        <v>3664.48</v>
      </c>
      <c r="M100" s="21">
        <v>0</v>
      </c>
      <c r="N100" s="21">
        <v>0.64389812019694603</v>
      </c>
      <c r="O100" s="20">
        <f t="shared" si="4"/>
        <v>40309.279999999999</v>
      </c>
      <c r="P100" s="20">
        <f t="shared" si="5"/>
        <v>25955.069618492351</v>
      </c>
      <c r="Q100" s="20">
        <f t="shared" si="6"/>
        <v>14354.210381507648</v>
      </c>
      <c r="R100" s="22">
        <f t="shared" si="7"/>
        <v>0.35610187980305402</v>
      </c>
    </row>
    <row r="101" spans="1:18">
      <c r="A101" s="18">
        <v>1100</v>
      </c>
      <c r="B101" s="19" t="s">
        <v>138</v>
      </c>
      <c r="C101" s="18">
        <v>2024</v>
      </c>
      <c r="D101" s="18" t="s">
        <v>39</v>
      </c>
      <c r="E101" s="18" t="s">
        <v>98</v>
      </c>
      <c r="F101" s="18" t="s">
        <v>109</v>
      </c>
      <c r="G101" s="18" t="s">
        <v>50</v>
      </c>
      <c r="H101" s="18" t="s">
        <v>87</v>
      </c>
      <c r="I101" s="18" t="s">
        <v>43</v>
      </c>
      <c r="J101" s="18" t="s">
        <v>91</v>
      </c>
      <c r="K101" s="18">
        <v>11</v>
      </c>
      <c r="L101" s="20">
        <v>9841.3799999999992</v>
      </c>
      <c r="M101" s="21">
        <v>0.1</v>
      </c>
      <c r="N101" s="21">
        <v>0.740827918524535</v>
      </c>
      <c r="O101" s="20">
        <f t="shared" si="4"/>
        <v>97429.661999999997</v>
      </c>
      <c r="P101" s="20">
        <f t="shared" si="5"/>
        <v>72178.613702008981</v>
      </c>
      <c r="Q101" s="20">
        <f t="shared" si="6"/>
        <v>25251.048297991016</v>
      </c>
      <c r="R101" s="22">
        <f t="shared" si="7"/>
        <v>0.259172081475465</v>
      </c>
    </row>
    <row r="102" spans="1:18">
      <c r="A102" s="18">
        <v>1101</v>
      </c>
      <c r="B102" s="19" t="s">
        <v>138</v>
      </c>
      <c r="C102" s="18">
        <v>2024</v>
      </c>
      <c r="D102" s="18" t="s">
        <v>39</v>
      </c>
      <c r="E102" s="18" t="s">
        <v>85</v>
      </c>
      <c r="F102" s="18" t="s">
        <v>94</v>
      </c>
      <c r="G102" s="18" t="s">
        <v>41</v>
      </c>
      <c r="H102" s="18" t="s">
        <v>90</v>
      </c>
      <c r="I102" s="18" t="s">
        <v>49</v>
      </c>
      <c r="J102" s="18" t="s">
        <v>102</v>
      </c>
      <c r="K102" s="18">
        <v>11</v>
      </c>
      <c r="L102" s="20">
        <v>18757.669999999998</v>
      </c>
      <c r="M102" s="21">
        <v>0</v>
      </c>
      <c r="N102" s="21">
        <v>0.69935327334758501</v>
      </c>
      <c r="O102" s="20">
        <f t="shared" si="4"/>
        <v>206334.37</v>
      </c>
      <c r="P102" s="20">
        <f t="shared" si="5"/>
        <v>144300.61706361175</v>
      </c>
      <c r="Q102" s="20">
        <f t="shared" si="6"/>
        <v>62033.75293638825</v>
      </c>
      <c r="R102" s="22">
        <f t="shared" si="7"/>
        <v>0.30064672665241499</v>
      </c>
    </row>
    <row r="103" spans="1:18">
      <c r="A103" s="18">
        <v>1102</v>
      </c>
      <c r="B103" s="19" t="s">
        <v>138</v>
      </c>
      <c r="C103" s="18">
        <v>2024</v>
      </c>
      <c r="D103" s="18" t="s">
        <v>39</v>
      </c>
      <c r="E103" s="18" t="s">
        <v>85</v>
      </c>
      <c r="F103" s="18" t="s">
        <v>86</v>
      </c>
      <c r="G103" s="18" t="s">
        <v>41</v>
      </c>
      <c r="H103" s="18" t="s">
        <v>112</v>
      </c>
      <c r="I103" s="18" t="s">
        <v>46</v>
      </c>
      <c r="J103" s="18" t="s">
        <v>102</v>
      </c>
      <c r="K103" s="18">
        <v>5</v>
      </c>
      <c r="L103" s="20">
        <v>6242.05</v>
      </c>
      <c r="M103" s="21">
        <v>0</v>
      </c>
      <c r="N103" s="21">
        <v>0.61487493335625998</v>
      </c>
      <c r="O103" s="20">
        <f t="shared" si="4"/>
        <v>31210.25</v>
      </c>
      <c r="P103" s="20">
        <f t="shared" si="5"/>
        <v>19190.400388782215</v>
      </c>
      <c r="Q103" s="20">
        <f t="shared" si="6"/>
        <v>12019.849611217785</v>
      </c>
      <c r="R103" s="22">
        <f t="shared" si="7"/>
        <v>0.38512506664373997</v>
      </c>
    </row>
    <row r="104" spans="1:18">
      <c r="A104" s="18">
        <v>1103</v>
      </c>
      <c r="B104" s="19" t="s">
        <v>138</v>
      </c>
      <c r="C104" s="18">
        <v>2024</v>
      </c>
      <c r="D104" s="18" t="s">
        <v>39</v>
      </c>
      <c r="E104" s="18" t="s">
        <v>79</v>
      </c>
      <c r="F104" s="18" t="s">
        <v>105</v>
      </c>
      <c r="G104" s="18" t="s">
        <v>47</v>
      </c>
      <c r="H104" s="18" t="s">
        <v>107</v>
      </c>
      <c r="I104" s="18" t="s">
        <v>56</v>
      </c>
      <c r="J104" s="18" t="s">
        <v>82</v>
      </c>
      <c r="K104" s="18">
        <v>4</v>
      </c>
      <c r="L104" s="20">
        <v>2206.86</v>
      </c>
      <c r="M104" s="21">
        <v>0.15</v>
      </c>
      <c r="N104" s="21">
        <v>0.68636007427054602</v>
      </c>
      <c r="O104" s="20">
        <f t="shared" si="4"/>
        <v>7503.3240000000005</v>
      </c>
      <c r="P104" s="20">
        <f t="shared" si="5"/>
        <v>5149.9820179159706</v>
      </c>
      <c r="Q104" s="20">
        <f t="shared" si="6"/>
        <v>2353.34198208403</v>
      </c>
      <c r="R104" s="22">
        <f t="shared" si="7"/>
        <v>0.31363992572945398</v>
      </c>
    </row>
    <row r="105" spans="1:18">
      <c r="A105" s="18">
        <v>1104</v>
      </c>
      <c r="B105" s="19" t="s">
        <v>139</v>
      </c>
      <c r="C105" s="18">
        <v>2024</v>
      </c>
      <c r="D105" s="18" t="s">
        <v>39</v>
      </c>
      <c r="E105" s="18" t="s">
        <v>88</v>
      </c>
      <c r="F105" s="18" t="s">
        <v>110</v>
      </c>
      <c r="G105" s="18" t="s">
        <v>41</v>
      </c>
      <c r="H105" s="18" t="s">
        <v>112</v>
      </c>
      <c r="I105" s="18" t="s">
        <v>62</v>
      </c>
      <c r="J105" s="18" t="s">
        <v>102</v>
      </c>
      <c r="K105" s="18">
        <v>4</v>
      </c>
      <c r="L105" s="20">
        <v>5998.6</v>
      </c>
      <c r="M105" s="21">
        <v>0.15</v>
      </c>
      <c r="N105" s="21">
        <v>0.57862354402570204</v>
      </c>
      <c r="O105" s="20">
        <f t="shared" si="4"/>
        <v>20395.240000000002</v>
      </c>
      <c r="P105" s="20">
        <f t="shared" si="5"/>
        <v>11801.16605005476</v>
      </c>
      <c r="Q105" s="20">
        <f t="shared" si="6"/>
        <v>8594.0739499452411</v>
      </c>
      <c r="R105" s="22">
        <f t="shared" si="7"/>
        <v>0.42137645597429796</v>
      </c>
    </row>
    <row r="106" spans="1:18">
      <c r="A106" s="18">
        <v>1105</v>
      </c>
      <c r="B106" s="19" t="s">
        <v>139</v>
      </c>
      <c r="C106" s="18">
        <v>2024</v>
      </c>
      <c r="D106" s="18" t="s">
        <v>39</v>
      </c>
      <c r="E106" s="18" t="s">
        <v>85</v>
      </c>
      <c r="F106" s="18" t="s">
        <v>94</v>
      </c>
      <c r="G106" s="18" t="s">
        <v>47</v>
      </c>
      <c r="H106" s="18" t="s">
        <v>107</v>
      </c>
      <c r="I106" s="18" t="s">
        <v>52</v>
      </c>
      <c r="J106" s="18" t="s">
        <v>102</v>
      </c>
      <c r="K106" s="18">
        <v>1</v>
      </c>
      <c r="L106" s="20">
        <v>2287.7600000000002</v>
      </c>
      <c r="M106" s="21">
        <v>0.1</v>
      </c>
      <c r="N106" s="21">
        <v>0.73024188471977702</v>
      </c>
      <c r="O106" s="20">
        <f t="shared" si="4"/>
        <v>2058.9840000000004</v>
      </c>
      <c r="P106" s="20">
        <f t="shared" si="5"/>
        <v>1503.5563567678657</v>
      </c>
      <c r="Q106" s="20">
        <f t="shared" si="6"/>
        <v>555.42764323213464</v>
      </c>
      <c r="R106" s="22">
        <f t="shared" si="7"/>
        <v>0.26975811528022292</v>
      </c>
    </row>
    <row r="107" spans="1:18">
      <c r="A107" s="18">
        <v>1106</v>
      </c>
      <c r="B107" s="19" t="s">
        <v>139</v>
      </c>
      <c r="C107" s="18">
        <v>2024</v>
      </c>
      <c r="D107" s="18" t="s">
        <v>39</v>
      </c>
      <c r="E107" s="18" t="s">
        <v>88</v>
      </c>
      <c r="F107" s="18" t="s">
        <v>110</v>
      </c>
      <c r="G107" s="18" t="s">
        <v>50</v>
      </c>
      <c r="H107" s="18" t="s">
        <v>97</v>
      </c>
      <c r="I107" s="18" t="s">
        <v>62</v>
      </c>
      <c r="J107" s="18" t="s">
        <v>91</v>
      </c>
      <c r="K107" s="18">
        <v>11</v>
      </c>
      <c r="L107" s="20">
        <v>12554.43</v>
      </c>
      <c r="M107" s="21">
        <v>0.2</v>
      </c>
      <c r="N107" s="21">
        <v>0.60001964488154003</v>
      </c>
      <c r="O107" s="20">
        <f t="shared" si="4"/>
        <v>110478.98400000001</v>
      </c>
      <c r="P107" s="20">
        <f t="shared" si="5"/>
        <v>66289.560746553354</v>
      </c>
      <c r="Q107" s="20">
        <f t="shared" si="6"/>
        <v>44189.423253446657</v>
      </c>
      <c r="R107" s="22">
        <f t="shared" si="7"/>
        <v>0.39998035511845992</v>
      </c>
    </row>
    <row r="108" spans="1:18">
      <c r="A108" s="18">
        <v>1107</v>
      </c>
      <c r="B108" s="19" t="s">
        <v>140</v>
      </c>
      <c r="C108" s="18">
        <v>2024</v>
      </c>
      <c r="D108" s="18" t="s">
        <v>39</v>
      </c>
      <c r="E108" s="18" t="s">
        <v>88</v>
      </c>
      <c r="F108" s="18" t="s">
        <v>89</v>
      </c>
      <c r="G108" s="18" t="s">
        <v>50</v>
      </c>
      <c r="H108" s="18" t="s">
        <v>83</v>
      </c>
      <c r="I108" s="18" t="s">
        <v>49</v>
      </c>
      <c r="J108" s="18" t="s">
        <v>91</v>
      </c>
      <c r="K108" s="18">
        <v>10</v>
      </c>
      <c r="L108" s="20">
        <v>3450.64</v>
      </c>
      <c r="M108" s="21">
        <v>0.05</v>
      </c>
      <c r="N108" s="21">
        <v>0.74853840872538002</v>
      </c>
      <c r="O108" s="20">
        <f t="shared" si="4"/>
        <v>32781.08</v>
      </c>
      <c r="P108" s="20">
        <f t="shared" si="5"/>
        <v>24537.897459499382</v>
      </c>
      <c r="Q108" s="20">
        <f t="shared" si="6"/>
        <v>8243.1825405006202</v>
      </c>
      <c r="R108" s="22">
        <f t="shared" si="7"/>
        <v>0.25146159127461998</v>
      </c>
    </row>
    <row r="109" spans="1:18">
      <c r="A109" s="18">
        <v>1108</v>
      </c>
      <c r="B109" s="19" t="s">
        <v>140</v>
      </c>
      <c r="C109" s="18">
        <v>2024</v>
      </c>
      <c r="D109" s="18" t="s">
        <v>39</v>
      </c>
      <c r="E109" s="18" t="s">
        <v>98</v>
      </c>
      <c r="F109" s="18" t="s">
        <v>117</v>
      </c>
      <c r="G109" s="18" t="s">
        <v>50</v>
      </c>
      <c r="H109" s="18" t="s">
        <v>97</v>
      </c>
      <c r="I109" s="18" t="s">
        <v>40</v>
      </c>
      <c r="J109" s="18" t="s">
        <v>102</v>
      </c>
      <c r="K109" s="18">
        <v>11</v>
      </c>
      <c r="L109" s="20">
        <v>12333.97</v>
      </c>
      <c r="M109" s="21">
        <v>0</v>
      </c>
      <c r="N109" s="21">
        <v>0.732123390743742</v>
      </c>
      <c r="O109" s="20">
        <f t="shared" si="4"/>
        <v>135673.66999999998</v>
      </c>
      <c r="P109" s="20">
        <f t="shared" si="5"/>
        <v>99329.867315047493</v>
      </c>
      <c r="Q109" s="20">
        <f t="shared" si="6"/>
        <v>36343.80268495249</v>
      </c>
      <c r="R109" s="22">
        <f t="shared" si="7"/>
        <v>0.267876609256258</v>
      </c>
    </row>
    <row r="110" spans="1:18">
      <c r="A110" s="18">
        <v>1109</v>
      </c>
      <c r="B110" s="19" t="s">
        <v>140</v>
      </c>
      <c r="C110" s="18">
        <v>2024</v>
      </c>
      <c r="D110" s="18" t="s">
        <v>39</v>
      </c>
      <c r="E110" s="18" t="s">
        <v>85</v>
      </c>
      <c r="F110" s="18" t="s">
        <v>121</v>
      </c>
      <c r="G110" s="18" t="s">
        <v>44</v>
      </c>
      <c r="H110" s="18" t="s">
        <v>95</v>
      </c>
      <c r="I110" s="18" t="s">
        <v>54</v>
      </c>
      <c r="J110" s="18" t="s">
        <v>82</v>
      </c>
      <c r="K110" s="18">
        <v>11</v>
      </c>
      <c r="L110" s="20">
        <v>4360.5600000000004</v>
      </c>
      <c r="M110" s="21">
        <v>0.05</v>
      </c>
      <c r="N110" s="21">
        <v>0.68555289172467204</v>
      </c>
      <c r="O110" s="20">
        <f t="shared" si="4"/>
        <v>45567.851999999999</v>
      </c>
      <c r="P110" s="20">
        <f t="shared" si="5"/>
        <v>31239.17270828188</v>
      </c>
      <c r="Q110" s="20">
        <f t="shared" si="6"/>
        <v>14328.679291718119</v>
      </c>
      <c r="R110" s="22">
        <f t="shared" si="7"/>
        <v>0.31444710827532796</v>
      </c>
    </row>
    <row r="111" spans="1:18">
      <c r="A111" s="18">
        <v>1110</v>
      </c>
      <c r="B111" s="19" t="s">
        <v>140</v>
      </c>
      <c r="C111" s="18">
        <v>2024</v>
      </c>
      <c r="D111" s="18" t="s">
        <v>39</v>
      </c>
      <c r="E111" s="18" t="s">
        <v>88</v>
      </c>
      <c r="F111" s="18" t="s">
        <v>93</v>
      </c>
      <c r="G111" s="18" t="s">
        <v>41</v>
      </c>
      <c r="H111" s="18" t="s">
        <v>90</v>
      </c>
      <c r="I111" s="18" t="s">
        <v>52</v>
      </c>
      <c r="J111" s="18" t="s">
        <v>91</v>
      </c>
      <c r="K111" s="18">
        <v>1</v>
      </c>
      <c r="L111" s="20">
        <v>18143.23</v>
      </c>
      <c r="M111" s="21">
        <v>0.2</v>
      </c>
      <c r="N111" s="21">
        <v>0.57628236128409704</v>
      </c>
      <c r="O111" s="20">
        <f t="shared" si="4"/>
        <v>14514.584000000001</v>
      </c>
      <c r="P111" s="20">
        <f t="shared" si="5"/>
        <v>8364.498740576375</v>
      </c>
      <c r="Q111" s="20">
        <f t="shared" si="6"/>
        <v>6150.0852594236258</v>
      </c>
      <c r="R111" s="22">
        <f t="shared" si="7"/>
        <v>0.42371763871590296</v>
      </c>
    </row>
    <row r="112" spans="1:18">
      <c r="A112" s="18">
        <v>1111</v>
      </c>
      <c r="B112" s="19" t="s">
        <v>141</v>
      </c>
      <c r="C112" s="18">
        <v>2024</v>
      </c>
      <c r="D112" s="18" t="s">
        <v>42</v>
      </c>
      <c r="E112" s="18" t="s">
        <v>98</v>
      </c>
      <c r="F112" s="18" t="s">
        <v>99</v>
      </c>
      <c r="G112" s="18" t="s">
        <v>50</v>
      </c>
      <c r="H112" s="18" t="s">
        <v>83</v>
      </c>
      <c r="I112" s="18" t="s">
        <v>49</v>
      </c>
      <c r="J112" s="18" t="s">
        <v>82</v>
      </c>
      <c r="K112" s="18">
        <v>9</v>
      </c>
      <c r="L112" s="20">
        <v>3631.76</v>
      </c>
      <c r="M112" s="21">
        <v>0.05</v>
      </c>
      <c r="N112" s="21">
        <v>0.65617047474055701</v>
      </c>
      <c r="O112" s="20">
        <f t="shared" si="4"/>
        <v>31051.548000000003</v>
      </c>
      <c r="P112" s="20">
        <f t="shared" si="5"/>
        <v>20375.108992589194</v>
      </c>
      <c r="Q112" s="20">
        <f t="shared" si="6"/>
        <v>10676.439007410809</v>
      </c>
      <c r="R112" s="22">
        <f t="shared" si="7"/>
        <v>0.34382952525944305</v>
      </c>
    </row>
    <row r="113" spans="1:18">
      <c r="A113" s="18">
        <v>1112</v>
      </c>
      <c r="B113" s="19" t="s">
        <v>141</v>
      </c>
      <c r="C113" s="18">
        <v>2024</v>
      </c>
      <c r="D113" s="18" t="s">
        <v>42</v>
      </c>
      <c r="E113" s="18" t="s">
        <v>98</v>
      </c>
      <c r="F113" s="18" t="s">
        <v>117</v>
      </c>
      <c r="G113" s="18" t="s">
        <v>47</v>
      </c>
      <c r="H113" s="18" t="s">
        <v>107</v>
      </c>
      <c r="I113" s="18" t="s">
        <v>52</v>
      </c>
      <c r="J113" s="18" t="s">
        <v>102</v>
      </c>
      <c r="K113" s="18">
        <v>6</v>
      </c>
      <c r="L113" s="20">
        <v>2266.9299999999998</v>
      </c>
      <c r="M113" s="21">
        <v>0.1</v>
      </c>
      <c r="N113" s="21">
        <v>0.74257865857377603</v>
      </c>
      <c r="O113" s="20">
        <f t="shared" si="4"/>
        <v>12241.421999999999</v>
      </c>
      <c r="P113" s="20">
        <f t="shared" si="5"/>
        <v>9090.218727795509</v>
      </c>
      <c r="Q113" s="20">
        <f t="shared" si="6"/>
        <v>3151.2032722044896</v>
      </c>
      <c r="R113" s="22">
        <f t="shared" si="7"/>
        <v>0.25742134142622403</v>
      </c>
    </row>
    <row r="114" spans="1:18">
      <c r="A114" s="18">
        <v>1113</v>
      </c>
      <c r="B114" s="19" t="s">
        <v>141</v>
      </c>
      <c r="C114" s="18">
        <v>2024</v>
      </c>
      <c r="D114" s="18" t="s">
        <v>42</v>
      </c>
      <c r="E114" s="18" t="s">
        <v>88</v>
      </c>
      <c r="F114" s="18" t="s">
        <v>110</v>
      </c>
      <c r="G114" s="18" t="s">
        <v>50</v>
      </c>
      <c r="H114" s="18" t="s">
        <v>87</v>
      </c>
      <c r="I114" s="18" t="s">
        <v>54</v>
      </c>
      <c r="J114" s="18" t="s">
        <v>82</v>
      </c>
      <c r="K114" s="18">
        <v>7</v>
      </c>
      <c r="L114" s="20">
        <v>9038.2199999999993</v>
      </c>
      <c r="M114" s="21">
        <v>0.15</v>
      </c>
      <c r="N114" s="21">
        <v>0.57471774735269898</v>
      </c>
      <c r="O114" s="20">
        <f t="shared" si="4"/>
        <v>53777.408999999992</v>
      </c>
      <c r="P114" s="20">
        <f t="shared" si="5"/>
        <v>30906.831358944757</v>
      </c>
      <c r="Q114" s="20">
        <f t="shared" si="6"/>
        <v>22870.577641055235</v>
      </c>
      <c r="R114" s="22">
        <f t="shared" si="7"/>
        <v>0.42528225264730102</v>
      </c>
    </row>
    <row r="115" spans="1:18">
      <c r="A115" s="18">
        <v>1114</v>
      </c>
      <c r="B115" s="19" t="s">
        <v>141</v>
      </c>
      <c r="C115" s="18">
        <v>2024</v>
      </c>
      <c r="D115" s="18" t="s">
        <v>42</v>
      </c>
      <c r="E115" s="18" t="s">
        <v>98</v>
      </c>
      <c r="F115" s="18" t="s">
        <v>99</v>
      </c>
      <c r="G115" s="18" t="s">
        <v>47</v>
      </c>
      <c r="H115" s="18" t="s">
        <v>103</v>
      </c>
      <c r="I115" s="18" t="s">
        <v>56</v>
      </c>
      <c r="J115" s="18" t="s">
        <v>102</v>
      </c>
      <c r="K115" s="18">
        <v>6</v>
      </c>
      <c r="L115" s="20">
        <v>3074.67</v>
      </c>
      <c r="M115" s="21">
        <v>0</v>
      </c>
      <c r="N115" s="21">
        <v>0.64429537359628797</v>
      </c>
      <c r="O115" s="20">
        <f t="shared" si="4"/>
        <v>18448.02</v>
      </c>
      <c r="P115" s="20">
        <f t="shared" si="5"/>
        <v>11885.973938011794</v>
      </c>
      <c r="Q115" s="20">
        <f t="shared" si="6"/>
        <v>6562.0460619882069</v>
      </c>
      <c r="R115" s="22">
        <f t="shared" si="7"/>
        <v>0.35570462640371198</v>
      </c>
    </row>
    <row r="116" spans="1:18">
      <c r="A116" s="18">
        <v>1115</v>
      </c>
      <c r="B116" s="19" t="s">
        <v>142</v>
      </c>
      <c r="C116" s="18">
        <v>2024</v>
      </c>
      <c r="D116" s="18" t="s">
        <v>42</v>
      </c>
      <c r="E116" s="18" t="s">
        <v>88</v>
      </c>
      <c r="F116" s="18" t="s">
        <v>93</v>
      </c>
      <c r="G116" s="18" t="s">
        <v>41</v>
      </c>
      <c r="H116" s="18" t="s">
        <v>112</v>
      </c>
      <c r="I116" s="18" t="s">
        <v>52</v>
      </c>
      <c r="J116" s="18" t="s">
        <v>102</v>
      </c>
      <c r="K116" s="18">
        <v>7</v>
      </c>
      <c r="L116" s="20">
        <v>5770.01</v>
      </c>
      <c r="M116" s="21">
        <v>0</v>
      </c>
      <c r="N116" s="21">
        <v>0.73925230657638896</v>
      </c>
      <c r="O116" s="20">
        <f t="shared" si="4"/>
        <v>40390.07</v>
      </c>
      <c r="P116" s="20">
        <f t="shared" si="5"/>
        <v>29858.45241028181</v>
      </c>
      <c r="Q116" s="20">
        <f t="shared" si="6"/>
        <v>10531.617589718189</v>
      </c>
      <c r="R116" s="22">
        <f t="shared" si="7"/>
        <v>0.26074769342361104</v>
      </c>
    </row>
    <row r="117" spans="1:18">
      <c r="A117" s="18">
        <v>1116</v>
      </c>
      <c r="B117" s="19" t="s">
        <v>142</v>
      </c>
      <c r="C117" s="18">
        <v>2024</v>
      </c>
      <c r="D117" s="18" t="s">
        <v>42</v>
      </c>
      <c r="E117" s="18" t="s">
        <v>98</v>
      </c>
      <c r="F117" s="18" t="s">
        <v>109</v>
      </c>
      <c r="G117" s="18" t="s">
        <v>41</v>
      </c>
      <c r="H117" s="18" t="s">
        <v>90</v>
      </c>
      <c r="I117" s="18" t="s">
        <v>49</v>
      </c>
      <c r="J117" s="18" t="s">
        <v>102</v>
      </c>
      <c r="K117" s="18">
        <v>3</v>
      </c>
      <c r="L117" s="20">
        <v>17799.560000000001</v>
      </c>
      <c r="M117" s="21">
        <v>0.05</v>
      </c>
      <c r="N117" s="21">
        <v>0.684097243770034</v>
      </c>
      <c r="O117" s="20">
        <f t="shared" si="4"/>
        <v>50728.746000000006</v>
      </c>
      <c r="P117" s="20">
        <f t="shared" si="5"/>
        <v>34703.395318510142</v>
      </c>
      <c r="Q117" s="20">
        <f t="shared" si="6"/>
        <v>16025.350681489865</v>
      </c>
      <c r="R117" s="22">
        <f t="shared" si="7"/>
        <v>0.315902756229966</v>
      </c>
    </row>
    <row r="118" spans="1:18">
      <c r="A118" s="18">
        <v>1117</v>
      </c>
      <c r="B118" s="19" t="s">
        <v>142</v>
      </c>
      <c r="C118" s="18">
        <v>2024</v>
      </c>
      <c r="D118" s="18" t="s">
        <v>42</v>
      </c>
      <c r="E118" s="18" t="s">
        <v>85</v>
      </c>
      <c r="F118" s="18" t="s">
        <v>94</v>
      </c>
      <c r="G118" s="18" t="s">
        <v>44</v>
      </c>
      <c r="H118" s="18" t="s">
        <v>114</v>
      </c>
      <c r="I118" s="18" t="s">
        <v>43</v>
      </c>
      <c r="J118" s="18" t="s">
        <v>91</v>
      </c>
      <c r="K118" s="18">
        <v>10</v>
      </c>
      <c r="L118" s="20">
        <v>8917.2999999999993</v>
      </c>
      <c r="M118" s="21">
        <v>0.05</v>
      </c>
      <c r="N118" s="21">
        <v>0.55654325737100896</v>
      </c>
      <c r="O118" s="20">
        <f t="shared" si="4"/>
        <v>84714.349999999991</v>
      </c>
      <c r="P118" s="20">
        <f t="shared" si="5"/>
        <v>47147.200295067727</v>
      </c>
      <c r="Q118" s="20">
        <f t="shared" si="6"/>
        <v>37567.149704932264</v>
      </c>
      <c r="R118" s="22">
        <f t="shared" si="7"/>
        <v>0.44345674262899104</v>
      </c>
    </row>
    <row r="119" spans="1:18">
      <c r="A119" s="18">
        <v>1118</v>
      </c>
      <c r="B119" s="19" t="s">
        <v>142</v>
      </c>
      <c r="C119" s="18">
        <v>2024</v>
      </c>
      <c r="D119" s="18" t="s">
        <v>42</v>
      </c>
      <c r="E119" s="18" t="s">
        <v>98</v>
      </c>
      <c r="F119" s="18" t="s">
        <v>117</v>
      </c>
      <c r="G119" s="18" t="s">
        <v>50</v>
      </c>
      <c r="H119" s="18" t="s">
        <v>97</v>
      </c>
      <c r="I119" s="18" t="s">
        <v>49</v>
      </c>
      <c r="J119" s="18" t="s">
        <v>91</v>
      </c>
      <c r="K119" s="18">
        <v>2</v>
      </c>
      <c r="L119" s="20">
        <v>12577.11</v>
      </c>
      <c r="M119" s="21">
        <v>0.05</v>
      </c>
      <c r="N119" s="21">
        <v>0.65889317229642896</v>
      </c>
      <c r="O119" s="20">
        <f t="shared" si="4"/>
        <v>23896.508999999998</v>
      </c>
      <c r="P119" s="20">
        <f t="shared" si="5"/>
        <v>15745.246621820164</v>
      </c>
      <c r="Q119" s="20">
        <f t="shared" si="6"/>
        <v>8151.2623781798338</v>
      </c>
      <c r="R119" s="22">
        <f t="shared" si="7"/>
        <v>0.34110682770357104</v>
      </c>
    </row>
    <row r="120" spans="1:18">
      <c r="A120" s="18">
        <v>1119</v>
      </c>
      <c r="B120" s="19" t="s">
        <v>143</v>
      </c>
      <c r="C120" s="18">
        <v>2024</v>
      </c>
      <c r="D120" s="18" t="s">
        <v>42</v>
      </c>
      <c r="E120" s="18" t="s">
        <v>79</v>
      </c>
      <c r="F120" s="18" t="s">
        <v>105</v>
      </c>
      <c r="G120" s="18" t="s">
        <v>47</v>
      </c>
      <c r="H120" s="18" t="s">
        <v>81</v>
      </c>
      <c r="I120" s="18" t="s">
        <v>43</v>
      </c>
      <c r="J120" s="18" t="s">
        <v>91</v>
      </c>
      <c r="K120" s="18">
        <v>2</v>
      </c>
      <c r="L120" s="20">
        <v>813.02</v>
      </c>
      <c r="M120" s="21">
        <v>0.2</v>
      </c>
      <c r="N120" s="21">
        <v>0.67789858370594103</v>
      </c>
      <c r="O120" s="20">
        <f t="shared" si="4"/>
        <v>1300.8320000000001</v>
      </c>
      <c r="P120" s="20">
        <f t="shared" si="5"/>
        <v>881.83217043936679</v>
      </c>
      <c r="Q120" s="20">
        <f t="shared" si="6"/>
        <v>418.99982956063332</v>
      </c>
      <c r="R120" s="22">
        <f t="shared" si="7"/>
        <v>0.32210141629405892</v>
      </c>
    </row>
    <row r="121" spans="1:18">
      <c r="A121" s="18">
        <v>1120</v>
      </c>
      <c r="B121" s="19" t="s">
        <v>143</v>
      </c>
      <c r="C121" s="18">
        <v>2024</v>
      </c>
      <c r="D121" s="18" t="s">
        <v>42</v>
      </c>
      <c r="E121" s="18" t="s">
        <v>79</v>
      </c>
      <c r="F121" s="18" t="s">
        <v>100</v>
      </c>
      <c r="G121" s="18" t="s">
        <v>47</v>
      </c>
      <c r="H121" s="18" t="s">
        <v>81</v>
      </c>
      <c r="I121" s="18" t="s">
        <v>46</v>
      </c>
      <c r="J121" s="18" t="s">
        <v>102</v>
      </c>
      <c r="K121" s="18">
        <v>4</v>
      </c>
      <c r="L121" s="20">
        <v>765.49</v>
      </c>
      <c r="M121" s="21">
        <v>0.15</v>
      </c>
      <c r="N121" s="21">
        <v>0.59143147406933205</v>
      </c>
      <c r="O121" s="20">
        <f t="shared" si="4"/>
        <v>2602.6660000000002</v>
      </c>
      <c r="P121" s="20">
        <f t="shared" si="5"/>
        <v>1539.2985888901324</v>
      </c>
      <c r="Q121" s="20">
        <f t="shared" si="6"/>
        <v>1063.3674111098678</v>
      </c>
      <c r="R121" s="22">
        <f t="shared" si="7"/>
        <v>0.40856852593066789</v>
      </c>
    </row>
    <row r="122" spans="1:18">
      <c r="A122" s="18">
        <v>1121</v>
      </c>
      <c r="B122" s="19" t="s">
        <v>143</v>
      </c>
      <c r="C122" s="18">
        <v>2024</v>
      </c>
      <c r="D122" s="18" t="s">
        <v>42</v>
      </c>
      <c r="E122" s="18" t="s">
        <v>88</v>
      </c>
      <c r="F122" s="18" t="s">
        <v>110</v>
      </c>
      <c r="G122" s="18" t="s">
        <v>47</v>
      </c>
      <c r="H122" s="18" t="s">
        <v>81</v>
      </c>
      <c r="I122" s="18" t="s">
        <v>62</v>
      </c>
      <c r="J122" s="18" t="s">
        <v>82</v>
      </c>
      <c r="K122" s="18">
        <v>5</v>
      </c>
      <c r="L122" s="20">
        <v>828.67</v>
      </c>
      <c r="M122" s="21">
        <v>0</v>
      </c>
      <c r="N122" s="21">
        <v>0.747505460873234</v>
      </c>
      <c r="O122" s="20">
        <f t="shared" si="4"/>
        <v>4143.3499999999995</v>
      </c>
      <c r="P122" s="20">
        <f t="shared" si="5"/>
        <v>3097.1767513091136</v>
      </c>
      <c r="Q122" s="20">
        <f t="shared" si="6"/>
        <v>1046.1732486908859</v>
      </c>
      <c r="R122" s="22">
        <f t="shared" si="7"/>
        <v>0.252494539126766</v>
      </c>
    </row>
    <row r="123" spans="1:18">
      <c r="A123" s="18">
        <v>1122</v>
      </c>
      <c r="B123" s="19" t="s">
        <v>143</v>
      </c>
      <c r="C123" s="18">
        <v>2024</v>
      </c>
      <c r="D123" s="18" t="s">
        <v>42</v>
      </c>
      <c r="E123" s="18" t="s">
        <v>98</v>
      </c>
      <c r="F123" s="18" t="s">
        <v>117</v>
      </c>
      <c r="G123" s="18" t="s">
        <v>41</v>
      </c>
      <c r="H123" s="18" t="s">
        <v>90</v>
      </c>
      <c r="I123" s="18" t="s">
        <v>46</v>
      </c>
      <c r="J123" s="18" t="s">
        <v>82</v>
      </c>
      <c r="K123" s="18">
        <v>6</v>
      </c>
      <c r="L123" s="20">
        <v>18521.97</v>
      </c>
      <c r="M123" s="21">
        <v>0</v>
      </c>
      <c r="N123" s="21">
        <v>0.66777058441008896</v>
      </c>
      <c r="O123" s="20">
        <f t="shared" si="4"/>
        <v>111131.82</v>
      </c>
      <c r="P123" s="20">
        <f t="shared" si="5"/>
        <v>74210.560387956823</v>
      </c>
      <c r="Q123" s="20">
        <f t="shared" si="6"/>
        <v>36921.259612043184</v>
      </c>
      <c r="R123" s="22">
        <f t="shared" si="7"/>
        <v>0.33222941558991098</v>
      </c>
    </row>
    <row r="124" spans="1:18">
      <c r="A124" s="18">
        <v>1123</v>
      </c>
      <c r="B124" s="19" t="s">
        <v>144</v>
      </c>
      <c r="C124" s="18">
        <v>2024</v>
      </c>
      <c r="D124" s="18" t="s">
        <v>42</v>
      </c>
      <c r="E124" s="18" t="s">
        <v>88</v>
      </c>
      <c r="F124" s="18" t="s">
        <v>89</v>
      </c>
      <c r="G124" s="18" t="s">
        <v>41</v>
      </c>
      <c r="H124" s="18" t="s">
        <v>101</v>
      </c>
      <c r="I124" s="18" t="s">
        <v>56</v>
      </c>
      <c r="J124" s="18" t="s">
        <v>102</v>
      </c>
      <c r="K124" s="18">
        <v>2</v>
      </c>
      <c r="L124" s="20">
        <v>56351.16</v>
      </c>
      <c r="M124" s="21">
        <v>0.1</v>
      </c>
      <c r="N124" s="21">
        <v>0.63965504285397701</v>
      </c>
      <c r="O124" s="20">
        <f t="shared" si="4"/>
        <v>101432.088</v>
      </c>
      <c r="P124" s="20">
        <f t="shared" si="5"/>
        <v>64881.546596408371</v>
      </c>
      <c r="Q124" s="20">
        <f t="shared" si="6"/>
        <v>36550.541403591633</v>
      </c>
      <c r="R124" s="22">
        <f t="shared" si="7"/>
        <v>0.36034495714602299</v>
      </c>
    </row>
    <row r="125" spans="1:18">
      <c r="A125" s="18">
        <v>1124</v>
      </c>
      <c r="B125" s="19" t="s">
        <v>144</v>
      </c>
      <c r="C125" s="18">
        <v>2024</v>
      </c>
      <c r="D125" s="18" t="s">
        <v>42</v>
      </c>
      <c r="E125" s="18" t="s">
        <v>98</v>
      </c>
      <c r="F125" s="18" t="s">
        <v>99</v>
      </c>
      <c r="G125" s="18" t="s">
        <v>41</v>
      </c>
      <c r="H125" s="18" t="s">
        <v>112</v>
      </c>
      <c r="I125" s="18" t="s">
        <v>60</v>
      </c>
      <c r="J125" s="18" t="s">
        <v>82</v>
      </c>
      <c r="K125" s="18">
        <v>10</v>
      </c>
      <c r="L125" s="20">
        <v>5726.02</v>
      </c>
      <c r="M125" s="21">
        <v>0.2</v>
      </c>
      <c r="N125" s="21">
        <v>0.65429024294261695</v>
      </c>
      <c r="O125" s="20">
        <f t="shared" si="4"/>
        <v>45808.160000000003</v>
      </c>
      <c r="P125" s="20">
        <f t="shared" si="5"/>
        <v>29971.832135154269</v>
      </c>
      <c r="Q125" s="20">
        <f t="shared" si="6"/>
        <v>15836.327864845734</v>
      </c>
      <c r="R125" s="22">
        <f t="shared" si="7"/>
        <v>0.3457097570573831</v>
      </c>
    </row>
    <row r="126" spans="1:18">
      <c r="A126" s="18">
        <v>1125</v>
      </c>
      <c r="B126" s="19" t="s">
        <v>145</v>
      </c>
      <c r="C126" s="18">
        <v>2024</v>
      </c>
      <c r="D126" s="18" t="s">
        <v>42</v>
      </c>
      <c r="E126" s="18" t="s">
        <v>79</v>
      </c>
      <c r="F126" s="18" t="s">
        <v>100</v>
      </c>
      <c r="G126" s="18" t="s">
        <v>50</v>
      </c>
      <c r="H126" s="18" t="s">
        <v>97</v>
      </c>
      <c r="I126" s="18" t="s">
        <v>56</v>
      </c>
      <c r="J126" s="18" t="s">
        <v>102</v>
      </c>
      <c r="K126" s="18">
        <v>2</v>
      </c>
      <c r="L126" s="20">
        <v>11988.32</v>
      </c>
      <c r="M126" s="21">
        <v>0.1</v>
      </c>
      <c r="N126" s="21">
        <v>0.56469814315329003</v>
      </c>
      <c r="O126" s="20">
        <f t="shared" si="4"/>
        <v>21578.975999999999</v>
      </c>
      <c r="P126" s="20">
        <f t="shared" si="5"/>
        <v>12185.60767834941</v>
      </c>
      <c r="Q126" s="20">
        <f t="shared" si="6"/>
        <v>9393.3683216505888</v>
      </c>
      <c r="R126" s="22">
        <f t="shared" si="7"/>
        <v>0.43530185684670991</v>
      </c>
    </row>
    <row r="127" spans="1:18">
      <c r="A127" s="18">
        <v>1126</v>
      </c>
      <c r="B127" s="19" t="s">
        <v>145</v>
      </c>
      <c r="C127" s="18">
        <v>2024</v>
      </c>
      <c r="D127" s="18" t="s">
        <v>42</v>
      </c>
      <c r="E127" s="18" t="s">
        <v>79</v>
      </c>
      <c r="F127" s="18" t="s">
        <v>105</v>
      </c>
      <c r="G127" s="18" t="s">
        <v>44</v>
      </c>
      <c r="H127" s="18" t="s">
        <v>119</v>
      </c>
      <c r="I127" s="18" t="s">
        <v>46</v>
      </c>
      <c r="J127" s="18" t="s">
        <v>91</v>
      </c>
      <c r="K127" s="18">
        <v>10</v>
      </c>
      <c r="L127" s="20">
        <v>7093.15</v>
      </c>
      <c r="M127" s="21">
        <v>0.15</v>
      </c>
      <c r="N127" s="21">
        <v>0.69243055928526098</v>
      </c>
      <c r="O127" s="20">
        <f t="shared" si="4"/>
        <v>60291.775000000001</v>
      </c>
      <c r="P127" s="20">
        <f t="shared" si="5"/>
        <v>41747.867483551119</v>
      </c>
      <c r="Q127" s="20">
        <f t="shared" si="6"/>
        <v>18543.907516448882</v>
      </c>
      <c r="R127" s="22">
        <f t="shared" si="7"/>
        <v>0.30756944071473896</v>
      </c>
    </row>
    <row r="128" spans="1:18">
      <c r="A128" s="18">
        <v>1127</v>
      </c>
      <c r="B128" s="19" t="s">
        <v>145</v>
      </c>
      <c r="C128" s="18">
        <v>2024</v>
      </c>
      <c r="D128" s="18" t="s">
        <v>42</v>
      </c>
      <c r="E128" s="18" t="s">
        <v>85</v>
      </c>
      <c r="F128" s="18" t="s">
        <v>94</v>
      </c>
      <c r="G128" s="18" t="s">
        <v>47</v>
      </c>
      <c r="H128" s="18" t="s">
        <v>107</v>
      </c>
      <c r="I128" s="18" t="s">
        <v>60</v>
      </c>
      <c r="J128" s="18" t="s">
        <v>102</v>
      </c>
      <c r="K128" s="18">
        <v>7</v>
      </c>
      <c r="L128" s="20">
        <v>2111.8200000000002</v>
      </c>
      <c r="M128" s="21">
        <v>0.2</v>
      </c>
      <c r="N128" s="21">
        <v>0.57288281448601597</v>
      </c>
      <c r="O128" s="20">
        <f t="shared" si="4"/>
        <v>11826.192000000003</v>
      </c>
      <c r="P128" s="20">
        <f t="shared" si="5"/>
        <v>6775.0221576120075</v>
      </c>
      <c r="Q128" s="20">
        <f t="shared" si="6"/>
        <v>5051.1698423879952</v>
      </c>
      <c r="R128" s="22">
        <f t="shared" si="7"/>
        <v>0.42711718551398403</v>
      </c>
    </row>
    <row r="129" spans="1:18">
      <c r="A129" s="18">
        <v>1128</v>
      </c>
      <c r="B129" s="19" t="s">
        <v>145</v>
      </c>
      <c r="C129" s="18">
        <v>2024</v>
      </c>
      <c r="D129" s="18" t="s">
        <v>42</v>
      </c>
      <c r="E129" s="18" t="s">
        <v>88</v>
      </c>
      <c r="F129" s="18" t="s">
        <v>89</v>
      </c>
      <c r="G129" s="18" t="s">
        <v>50</v>
      </c>
      <c r="H129" s="18" t="s">
        <v>83</v>
      </c>
      <c r="I129" s="18" t="s">
        <v>56</v>
      </c>
      <c r="J129" s="18" t="s">
        <v>91</v>
      </c>
      <c r="K129" s="18">
        <v>8</v>
      </c>
      <c r="L129" s="20">
        <v>3464.56</v>
      </c>
      <c r="M129" s="21">
        <v>0.2</v>
      </c>
      <c r="N129" s="21">
        <v>0.56901716785512602</v>
      </c>
      <c r="O129" s="20">
        <f t="shared" si="4"/>
        <v>22173.184000000001</v>
      </c>
      <c r="P129" s="20">
        <f t="shared" si="5"/>
        <v>12616.922362010595</v>
      </c>
      <c r="Q129" s="20">
        <f t="shared" si="6"/>
        <v>9556.2616379894062</v>
      </c>
      <c r="R129" s="22">
        <f t="shared" si="7"/>
        <v>0.43098283214487398</v>
      </c>
    </row>
    <row r="130" spans="1:18">
      <c r="A130" s="18">
        <v>1129</v>
      </c>
      <c r="B130" s="19" t="s">
        <v>145</v>
      </c>
      <c r="C130" s="18">
        <v>2024</v>
      </c>
      <c r="D130" s="18" t="s">
        <v>42</v>
      </c>
      <c r="E130" s="18" t="s">
        <v>85</v>
      </c>
      <c r="F130" s="18" t="s">
        <v>121</v>
      </c>
      <c r="G130" s="18" t="s">
        <v>47</v>
      </c>
      <c r="H130" s="18" t="s">
        <v>107</v>
      </c>
      <c r="I130" s="18" t="s">
        <v>46</v>
      </c>
      <c r="J130" s="18" t="s">
        <v>102</v>
      </c>
      <c r="K130" s="18">
        <v>8</v>
      </c>
      <c r="L130" s="20">
        <v>2104.77</v>
      </c>
      <c r="M130" s="21">
        <v>0</v>
      </c>
      <c r="N130" s="21">
        <v>0.56864602034073597</v>
      </c>
      <c r="O130" s="20">
        <f t="shared" ref="O130:O193" si="8">K130*L130*(1-M130)</f>
        <v>16838.16</v>
      </c>
      <c r="P130" s="20">
        <f t="shared" ref="P130:P193" si="9">O130*N130</f>
        <v>9574.9526738605673</v>
      </c>
      <c r="Q130" s="20">
        <f t="shared" ref="Q130:Q193" si="10">O130-P130</f>
        <v>7263.2073261394326</v>
      </c>
      <c r="R130" s="22">
        <f t="shared" ref="R130:R193" si="11">IF(O130=0,0,Q130/O130)</f>
        <v>0.43135397965926398</v>
      </c>
    </row>
    <row r="131" spans="1:18">
      <c r="A131" s="18">
        <v>1130</v>
      </c>
      <c r="B131" s="19" t="s">
        <v>146</v>
      </c>
      <c r="C131" s="18">
        <v>2024</v>
      </c>
      <c r="D131" s="18" t="s">
        <v>42</v>
      </c>
      <c r="E131" s="18" t="s">
        <v>98</v>
      </c>
      <c r="F131" s="18" t="s">
        <v>117</v>
      </c>
      <c r="G131" s="18" t="s">
        <v>41</v>
      </c>
      <c r="H131" s="18" t="s">
        <v>106</v>
      </c>
      <c r="I131" s="18" t="s">
        <v>43</v>
      </c>
      <c r="J131" s="18" t="s">
        <v>91</v>
      </c>
      <c r="K131" s="18">
        <v>6</v>
      </c>
      <c r="L131" s="20">
        <v>2593.4</v>
      </c>
      <c r="M131" s="21">
        <v>0.1</v>
      </c>
      <c r="N131" s="21">
        <v>0.72361842977381297</v>
      </c>
      <c r="O131" s="20">
        <f t="shared" si="8"/>
        <v>14004.360000000002</v>
      </c>
      <c r="P131" s="20">
        <f t="shared" si="9"/>
        <v>10133.812993187197</v>
      </c>
      <c r="Q131" s="20">
        <f t="shared" si="10"/>
        <v>3870.5470068128052</v>
      </c>
      <c r="R131" s="22">
        <f t="shared" si="11"/>
        <v>0.27638157022618703</v>
      </c>
    </row>
    <row r="132" spans="1:18">
      <c r="A132" s="18">
        <v>1131</v>
      </c>
      <c r="B132" s="19" t="s">
        <v>146</v>
      </c>
      <c r="C132" s="18">
        <v>2024</v>
      </c>
      <c r="D132" s="18" t="s">
        <v>42</v>
      </c>
      <c r="E132" s="18" t="s">
        <v>79</v>
      </c>
      <c r="F132" s="18" t="s">
        <v>105</v>
      </c>
      <c r="G132" s="18" t="s">
        <v>47</v>
      </c>
      <c r="H132" s="18" t="s">
        <v>107</v>
      </c>
      <c r="I132" s="18" t="s">
        <v>43</v>
      </c>
      <c r="J132" s="18" t="s">
        <v>102</v>
      </c>
      <c r="K132" s="18">
        <v>9</v>
      </c>
      <c r="L132" s="20">
        <v>2136.8000000000002</v>
      </c>
      <c r="M132" s="21">
        <v>0.2</v>
      </c>
      <c r="N132" s="21">
        <v>0.64643787924087803</v>
      </c>
      <c r="O132" s="20">
        <f t="shared" si="8"/>
        <v>15384.960000000001</v>
      </c>
      <c r="P132" s="20">
        <f t="shared" si="9"/>
        <v>9945.4209146057401</v>
      </c>
      <c r="Q132" s="20">
        <f t="shared" si="10"/>
        <v>5439.5390853942608</v>
      </c>
      <c r="R132" s="22">
        <f t="shared" si="11"/>
        <v>0.35356212075912191</v>
      </c>
    </row>
    <row r="133" spans="1:18">
      <c r="A133" s="18">
        <v>1132</v>
      </c>
      <c r="B133" s="19" t="s">
        <v>147</v>
      </c>
      <c r="C133" s="18">
        <v>2024</v>
      </c>
      <c r="D133" s="18" t="s">
        <v>42</v>
      </c>
      <c r="E133" s="18" t="s">
        <v>98</v>
      </c>
      <c r="F133" s="18" t="s">
        <v>99</v>
      </c>
      <c r="G133" s="18" t="s">
        <v>47</v>
      </c>
      <c r="H133" s="18" t="s">
        <v>81</v>
      </c>
      <c r="I133" s="18" t="s">
        <v>52</v>
      </c>
      <c r="J133" s="18" t="s">
        <v>102</v>
      </c>
      <c r="K133" s="18">
        <v>4</v>
      </c>
      <c r="L133" s="20">
        <v>824.58</v>
      </c>
      <c r="M133" s="21">
        <v>0.15</v>
      </c>
      <c r="N133" s="21">
        <v>0.74490932042514202</v>
      </c>
      <c r="O133" s="20">
        <f t="shared" si="8"/>
        <v>2803.5720000000001</v>
      </c>
      <c r="P133" s="20">
        <f t="shared" si="9"/>
        <v>2088.4069132829563</v>
      </c>
      <c r="Q133" s="20">
        <f t="shared" si="10"/>
        <v>715.16508671704378</v>
      </c>
      <c r="R133" s="22">
        <f t="shared" si="11"/>
        <v>0.25509067957485798</v>
      </c>
    </row>
    <row r="134" spans="1:18">
      <c r="A134" s="18">
        <v>1133</v>
      </c>
      <c r="B134" s="19" t="s">
        <v>147</v>
      </c>
      <c r="C134" s="18">
        <v>2024</v>
      </c>
      <c r="D134" s="18" t="s">
        <v>42</v>
      </c>
      <c r="E134" s="18" t="s">
        <v>79</v>
      </c>
      <c r="F134" s="18" t="s">
        <v>80</v>
      </c>
      <c r="G134" s="18" t="s">
        <v>47</v>
      </c>
      <c r="H134" s="18" t="s">
        <v>81</v>
      </c>
      <c r="I134" s="18" t="s">
        <v>46</v>
      </c>
      <c r="J134" s="18" t="s">
        <v>91</v>
      </c>
      <c r="K134" s="18">
        <v>12</v>
      </c>
      <c r="L134" s="20">
        <v>820.99</v>
      </c>
      <c r="M134" s="21">
        <v>0.05</v>
      </c>
      <c r="N134" s="21">
        <v>0.62020468414739605</v>
      </c>
      <c r="O134" s="20">
        <f t="shared" si="8"/>
        <v>9359.2860000000001</v>
      </c>
      <c r="P134" s="20">
        <f t="shared" si="9"/>
        <v>5804.6730174751456</v>
      </c>
      <c r="Q134" s="20">
        <f t="shared" si="10"/>
        <v>3554.6129825248545</v>
      </c>
      <c r="R134" s="22">
        <f t="shared" si="11"/>
        <v>0.37979531585260395</v>
      </c>
    </row>
    <row r="135" spans="1:18">
      <c r="A135" s="18">
        <v>1134</v>
      </c>
      <c r="B135" s="19" t="s">
        <v>148</v>
      </c>
      <c r="C135" s="18">
        <v>2024</v>
      </c>
      <c r="D135" s="18" t="s">
        <v>42</v>
      </c>
      <c r="E135" s="18" t="s">
        <v>88</v>
      </c>
      <c r="F135" s="18" t="s">
        <v>93</v>
      </c>
      <c r="G135" s="18" t="s">
        <v>50</v>
      </c>
      <c r="H135" s="18" t="s">
        <v>83</v>
      </c>
      <c r="I135" s="18" t="s">
        <v>46</v>
      </c>
      <c r="J135" s="18" t="s">
        <v>102</v>
      </c>
      <c r="K135" s="18">
        <v>11</v>
      </c>
      <c r="L135" s="20">
        <v>3665.13</v>
      </c>
      <c r="M135" s="21">
        <v>0</v>
      </c>
      <c r="N135" s="21">
        <v>0.69922235240114095</v>
      </c>
      <c r="O135" s="20">
        <f t="shared" si="8"/>
        <v>40316.43</v>
      </c>
      <c r="P135" s="20">
        <f t="shared" si="9"/>
        <v>28190.14902501593</v>
      </c>
      <c r="Q135" s="20">
        <f t="shared" si="10"/>
        <v>12126.280974984071</v>
      </c>
      <c r="R135" s="22">
        <f t="shared" si="11"/>
        <v>0.30077764759885911</v>
      </c>
    </row>
    <row r="136" spans="1:18">
      <c r="A136" s="18">
        <v>1135</v>
      </c>
      <c r="B136" s="19" t="s">
        <v>148</v>
      </c>
      <c r="C136" s="18">
        <v>2024</v>
      </c>
      <c r="D136" s="18" t="s">
        <v>42</v>
      </c>
      <c r="E136" s="18" t="s">
        <v>88</v>
      </c>
      <c r="F136" s="18" t="s">
        <v>89</v>
      </c>
      <c r="G136" s="18" t="s">
        <v>50</v>
      </c>
      <c r="H136" s="18" t="s">
        <v>97</v>
      </c>
      <c r="I136" s="18" t="s">
        <v>54</v>
      </c>
      <c r="J136" s="18" t="s">
        <v>82</v>
      </c>
      <c r="K136" s="18">
        <v>6</v>
      </c>
      <c r="L136" s="20">
        <v>11773.96</v>
      </c>
      <c r="M136" s="21">
        <v>0.05</v>
      </c>
      <c r="N136" s="21">
        <v>0.705367123993348</v>
      </c>
      <c r="O136" s="20">
        <f t="shared" si="8"/>
        <v>67111.571999999986</v>
      </c>
      <c r="P136" s="20">
        <f t="shared" si="9"/>
        <v>47338.296528312494</v>
      </c>
      <c r="Q136" s="20">
        <f t="shared" si="10"/>
        <v>19773.275471687492</v>
      </c>
      <c r="R136" s="22">
        <f t="shared" si="11"/>
        <v>0.29463287600665194</v>
      </c>
    </row>
    <row r="137" spans="1:18">
      <c r="A137" s="18">
        <v>1136</v>
      </c>
      <c r="B137" s="19" t="s">
        <v>148</v>
      </c>
      <c r="C137" s="18">
        <v>2024</v>
      </c>
      <c r="D137" s="18" t="s">
        <v>42</v>
      </c>
      <c r="E137" s="18" t="s">
        <v>79</v>
      </c>
      <c r="F137" s="18" t="s">
        <v>100</v>
      </c>
      <c r="G137" s="18" t="s">
        <v>44</v>
      </c>
      <c r="H137" s="18" t="s">
        <v>119</v>
      </c>
      <c r="I137" s="18" t="s">
        <v>62</v>
      </c>
      <c r="J137" s="18" t="s">
        <v>82</v>
      </c>
      <c r="K137" s="18">
        <v>11</v>
      </c>
      <c r="L137" s="20">
        <v>6707.11</v>
      </c>
      <c r="M137" s="21">
        <v>0.1</v>
      </c>
      <c r="N137" s="21">
        <v>0.68238773856165202</v>
      </c>
      <c r="O137" s="20">
        <f t="shared" si="8"/>
        <v>66400.388999999996</v>
      </c>
      <c r="P137" s="20">
        <f t="shared" si="9"/>
        <v>45310.811289323989</v>
      </c>
      <c r="Q137" s="20">
        <f t="shared" si="10"/>
        <v>21089.577710676007</v>
      </c>
      <c r="R137" s="22">
        <f t="shared" si="11"/>
        <v>0.31761226143834803</v>
      </c>
    </row>
    <row r="138" spans="1:18">
      <c r="A138" s="18">
        <v>1137</v>
      </c>
      <c r="B138" s="19" t="s">
        <v>149</v>
      </c>
      <c r="C138" s="18">
        <v>2024</v>
      </c>
      <c r="D138" s="18" t="s">
        <v>42</v>
      </c>
      <c r="E138" s="18" t="s">
        <v>85</v>
      </c>
      <c r="F138" s="18" t="s">
        <v>121</v>
      </c>
      <c r="G138" s="18" t="s">
        <v>47</v>
      </c>
      <c r="H138" s="18" t="s">
        <v>81</v>
      </c>
      <c r="I138" s="18" t="s">
        <v>60</v>
      </c>
      <c r="J138" s="18" t="s">
        <v>82</v>
      </c>
      <c r="K138" s="18">
        <v>6</v>
      </c>
      <c r="L138" s="20">
        <v>794.39</v>
      </c>
      <c r="M138" s="21">
        <v>0.05</v>
      </c>
      <c r="N138" s="21">
        <v>0.68564357858670699</v>
      </c>
      <c r="O138" s="20">
        <f t="shared" si="8"/>
        <v>4528.0230000000001</v>
      </c>
      <c r="P138" s="20">
        <f t="shared" si="9"/>
        <v>3104.6098936429166</v>
      </c>
      <c r="Q138" s="20">
        <f t="shared" si="10"/>
        <v>1423.4131063570835</v>
      </c>
      <c r="R138" s="22">
        <f t="shared" si="11"/>
        <v>0.31435642141329306</v>
      </c>
    </row>
    <row r="139" spans="1:18">
      <c r="A139" s="18">
        <v>1138</v>
      </c>
      <c r="B139" s="19" t="s">
        <v>149</v>
      </c>
      <c r="C139" s="18">
        <v>2024</v>
      </c>
      <c r="D139" s="18" t="s">
        <v>42</v>
      </c>
      <c r="E139" s="18" t="s">
        <v>85</v>
      </c>
      <c r="F139" s="18" t="s">
        <v>94</v>
      </c>
      <c r="G139" s="18" t="s">
        <v>47</v>
      </c>
      <c r="H139" s="18" t="s">
        <v>81</v>
      </c>
      <c r="I139" s="18" t="s">
        <v>49</v>
      </c>
      <c r="J139" s="18" t="s">
        <v>91</v>
      </c>
      <c r="K139" s="18">
        <v>10</v>
      </c>
      <c r="L139" s="20">
        <v>764.38</v>
      </c>
      <c r="M139" s="21">
        <v>0</v>
      </c>
      <c r="N139" s="21">
        <v>0.61028387240368698</v>
      </c>
      <c r="O139" s="20">
        <f t="shared" si="8"/>
        <v>7643.8</v>
      </c>
      <c r="P139" s="20">
        <f t="shared" si="9"/>
        <v>4664.887863879303</v>
      </c>
      <c r="Q139" s="20">
        <f t="shared" si="10"/>
        <v>2978.9121361206971</v>
      </c>
      <c r="R139" s="22">
        <f t="shared" si="11"/>
        <v>0.38971612759631297</v>
      </c>
    </row>
    <row r="140" spans="1:18">
      <c r="A140" s="18">
        <v>1139</v>
      </c>
      <c r="B140" s="19" t="s">
        <v>149</v>
      </c>
      <c r="C140" s="18">
        <v>2024</v>
      </c>
      <c r="D140" s="18" t="s">
        <v>42</v>
      </c>
      <c r="E140" s="18" t="s">
        <v>88</v>
      </c>
      <c r="F140" s="18" t="s">
        <v>110</v>
      </c>
      <c r="G140" s="18" t="s">
        <v>47</v>
      </c>
      <c r="H140" s="18" t="s">
        <v>107</v>
      </c>
      <c r="I140" s="18" t="s">
        <v>54</v>
      </c>
      <c r="J140" s="18" t="s">
        <v>82</v>
      </c>
      <c r="K140" s="18">
        <v>1</v>
      </c>
      <c r="L140" s="20">
        <v>2199.42</v>
      </c>
      <c r="M140" s="21">
        <v>0.1</v>
      </c>
      <c r="N140" s="21">
        <v>0.58513896037516799</v>
      </c>
      <c r="O140" s="20">
        <f t="shared" si="8"/>
        <v>1979.4780000000001</v>
      </c>
      <c r="P140" s="20">
        <f t="shared" si="9"/>
        <v>1158.2696990055169</v>
      </c>
      <c r="Q140" s="20">
        <f t="shared" si="10"/>
        <v>821.20830099448312</v>
      </c>
      <c r="R140" s="22">
        <f t="shared" si="11"/>
        <v>0.41486103962483195</v>
      </c>
    </row>
    <row r="141" spans="1:18">
      <c r="A141" s="18">
        <v>1140</v>
      </c>
      <c r="B141" s="19" t="s">
        <v>149</v>
      </c>
      <c r="C141" s="18">
        <v>2024</v>
      </c>
      <c r="D141" s="18" t="s">
        <v>42</v>
      </c>
      <c r="E141" s="18" t="s">
        <v>85</v>
      </c>
      <c r="F141" s="18" t="s">
        <v>94</v>
      </c>
      <c r="G141" s="18" t="s">
        <v>44</v>
      </c>
      <c r="H141" s="18" t="s">
        <v>95</v>
      </c>
      <c r="I141" s="18" t="s">
        <v>60</v>
      </c>
      <c r="J141" s="18" t="s">
        <v>102</v>
      </c>
      <c r="K141" s="18">
        <v>6</v>
      </c>
      <c r="L141" s="20">
        <v>4307.43</v>
      </c>
      <c r="M141" s="21">
        <v>0.2</v>
      </c>
      <c r="N141" s="21">
        <v>0.55846045231255803</v>
      </c>
      <c r="O141" s="20">
        <f t="shared" si="8"/>
        <v>20675.664000000004</v>
      </c>
      <c r="P141" s="20">
        <f t="shared" si="9"/>
        <v>11546.540669302476</v>
      </c>
      <c r="Q141" s="20">
        <f t="shared" si="10"/>
        <v>9129.1233306975282</v>
      </c>
      <c r="R141" s="22">
        <f t="shared" si="11"/>
        <v>0.44153954768744191</v>
      </c>
    </row>
    <row r="142" spans="1:18">
      <c r="A142" s="18">
        <v>1141</v>
      </c>
      <c r="B142" s="19" t="s">
        <v>149</v>
      </c>
      <c r="C142" s="18">
        <v>2024</v>
      </c>
      <c r="D142" s="18" t="s">
        <v>42</v>
      </c>
      <c r="E142" s="18" t="s">
        <v>79</v>
      </c>
      <c r="F142" s="18" t="s">
        <v>105</v>
      </c>
      <c r="G142" s="18" t="s">
        <v>41</v>
      </c>
      <c r="H142" s="18" t="s">
        <v>106</v>
      </c>
      <c r="I142" s="18" t="s">
        <v>62</v>
      </c>
      <c r="J142" s="18" t="s">
        <v>91</v>
      </c>
      <c r="K142" s="18">
        <v>10</v>
      </c>
      <c r="L142" s="20">
        <v>2476.11</v>
      </c>
      <c r="M142" s="21">
        <v>0.2</v>
      </c>
      <c r="N142" s="21">
        <v>0.633538791968696</v>
      </c>
      <c r="O142" s="20">
        <f t="shared" si="8"/>
        <v>19808.880000000005</v>
      </c>
      <c r="P142" s="20">
        <f t="shared" si="9"/>
        <v>12549.693905452867</v>
      </c>
      <c r="Q142" s="20">
        <f t="shared" si="10"/>
        <v>7259.1860945471381</v>
      </c>
      <c r="R142" s="22">
        <f t="shared" si="11"/>
        <v>0.36646120803130394</v>
      </c>
    </row>
    <row r="143" spans="1:18">
      <c r="A143" s="18">
        <v>1142</v>
      </c>
      <c r="B143" s="19" t="s">
        <v>150</v>
      </c>
      <c r="C143" s="18">
        <v>2024</v>
      </c>
      <c r="D143" s="18" t="s">
        <v>42</v>
      </c>
      <c r="E143" s="18" t="s">
        <v>85</v>
      </c>
      <c r="F143" s="18" t="s">
        <v>86</v>
      </c>
      <c r="G143" s="18" t="s">
        <v>47</v>
      </c>
      <c r="H143" s="18" t="s">
        <v>81</v>
      </c>
      <c r="I143" s="18" t="s">
        <v>62</v>
      </c>
      <c r="J143" s="18" t="s">
        <v>91</v>
      </c>
      <c r="K143" s="18">
        <v>12</v>
      </c>
      <c r="L143" s="20">
        <v>833.58</v>
      </c>
      <c r="M143" s="21">
        <v>0</v>
      </c>
      <c r="N143" s="21">
        <v>0.63734235591364596</v>
      </c>
      <c r="O143" s="20">
        <f t="shared" si="8"/>
        <v>10002.960000000001</v>
      </c>
      <c r="P143" s="20">
        <f t="shared" si="9"/>
        <v>6375.3100925099643</v>
      </c>
      <c r="Q143" s="20">
        <f t="shared" si="10"/>
        <v>3627.6499074900366</v>
      </c>
      <c r="R143" s="22">
        <f t="shared" si="11"/>
        <v>0.36265764408635409</v>
      </c>
    </row>
    <row r="144" spans="1:18">
      <c r="A144" s="18">
        <v>1143</v>
      </c>
      <c r="B144" s="19" t="s">
        <v>150</v>
      </c>
      <c r="C144" s="18">
        <v>2024</v>
      </c>
      <c r="D144" s="18" t="s">
        <v>42</v>
      </c>
      <c r="E144" s="18" t="s">
        <v>79</v>
      </c>
      <c r="F144" s="18" t="s">
        <v>100</v>
      </c>
      <c r="G144" s="18" t="s">
        <v>50</v>
      </c>
      <c r="H144" s="18" t="s">
        <v>87</v>
      </c>
      <c r="I144" s="18" t="s">
        <v>56</v>
      </c>
      <c r="J144" s="18" t="s">
        <v>102</v>
      </c>
      <c r="K144" s="18">
        <v>2</v>
      </c>
      <c r="L144" s="20">
        <v>9400.98</v>
      </c>
      <c r="M144" s="21">
        <v>0.05</v>
      </c>
      <c r="N144" s="21">
        <v>0.69916096529292104</v>
      </c>
      <c r="O144" s="20">
        <f t="shared" si="8"/>
        <v>17861.861999999997</v>
      </c>
      <c r="P144" s="20">
        <f t="shared" si="9"/>
        <v>12488.316677848943</v>
      </c>
      <c r="Q144" s="20">
        <f t="shared" si="10"/>
        <v>5373.5453221510543</v>
      </c>
      <c r="R144" s="22">
        <f t="shared" si="11"/>
        <v>0.30083903470707896</v>
      </c>
    </row>
    <row r="145" spans="1:18">
      <c r="A145" s="18">
        <v>1144</v>
      </c>
      <c r="B145" s="19" t="s">
        <v>151</v>
      </c>
      <c r="C145" s="18">
        <v>2024</v>
      </c>
      <c r="D145" s="18" t="s">
        <v>42</v>
      </c>
      <c r="E145" s="18" t="s">
        <v>98</v>
      </c>
      <c r="F145" s="18" t="s">
        <v>117</v>
      </c>
      <c r="G145" s="18" t="s">
        <v>41</v>
      </c>
      <c r="H145" s="18" t="s">
        <v>90</v>
      </c>
      <c r="I145" s="18" t="s">
        <v>60</v>
      </c>
      <c r="J145" s="18" t="s">
        <v>102</v>
      </c>
      <c r="K145" s="18">
        <v>4</v>
      </c>
      <c r="L145" s="20">
        <v>18730.66</v>
      </c>
      <c r="M145" s="21">
        <v>0.05</v>
      </c>
      <c r="N145" s="21">
        <v>0.62021994699147198</v>
      </c>
      <c r="O145" s="20">
        <f t="shared" si="8"/>
        <v>71176.508000000002</v>
      </c>
      <c r="P145" s="20">
        <f t="shared" si="9"/>
        <v>44145.090018798081</v>
      </c>
      <c r="Q145" s="20">
        <f t="shared" si="10"/>
        <v>27031.417981201921</v>
      </c>
      <c r="R145" s="22">
        <f t="shared" si="11"/>
        <v>0.37978005300852802</v>
      </c>
    </row>
    <row r="146" spans="1:18">
      <c r="A146" s="18">
        <v>1145</v>
      </c>
      <c r="B146" s="19" t="s">
        <v>151</v>
      </c>
      <c r="C146" s="18">
        <v>2024</v>
      </c>
      <c r="D146" s="18" t="s">
        <v>42</v>
      </c>
      <c r="E146" s="18" t="s">
        <v>88</v>
      </c>
      <c r="F146" s="18" t="s">
        <v>110</v>
      </c>
      <c r="G146" s="18" t="s">
        <v>41</v>
      </c>
      <c r="H146" s="18" t="s">
        <v>101</v>
      </c>
      <c r="I146" s="18" t="s">
        <v>52</v>
      </c>
      <c r="J146" s="18" t="s">
        <v>82</v>
      </c>
      <c r="K146" s="18">
        <v>3</v>
      </c>
      <c r="L146" s="20">
        <v>55563.19</v>
      </c>
      <c r="M146" s="21">
        <v>0.2</v>
      </c>
      <c r="N146" s="21">
        <v>0.56507065471581497</v>
      </c>
      <c r="O146" s="20">
        <f t="shared" si="8"/>
        <v>133351.65600000002</v>
      </c>
      <c r="P146" s="20">
        <f t="shared" si="9"/>
        <v>75353.107563358149</v>
      </c>
      <c r="Q146" s="20">
        <f t="shared" si="10"/>
        <v>57998.548436641868</v>
      </c>
      <c r="R146" s="22">
        <f t="shared" si="11"/>
        <v>0.43492934528418498</v>
      </c>
    </row>
    <row r="147" spans="1:18">
      <c r="A147" s="18">
        <v>1146</v>
      </c>
      <c r="B147" s="19" t="s">
        <v>151</v>
      </c>
      <c r="C147" s="18">
        <v>2024</v>
      </c>
      <c r="D147" s="18" t="s">
        <v>42</v>
      </c>
      <c r="E147" s="18" t="s">
        <v>85</v>
      </c>
      <c r="F147" s="18" t="s">
        <v>121</v>
      </c>
      <c r="G147" s="18" t="s">
        <v>50</v>
      </c>
      <c r="H147" s="18" t="s">
        <v>87</v>
      </c>
      <c r="I147" s="18" t="s">
        <v>62</v>
      </c>
      <c r="J147" s="18" t="s">
        <v>102</v>
      </c>
      <c r="K147" s="18">
        <v>11</v>
      </c>
      <c r="L147" s="20">
        <v>9962.2099999999991</v>
      </c>
      <c r="M147" s="21">
        <v>0.05</v>
      </c>
      <c r="N147" s="21">
        <v>0.72284937496628299</v>
      </c>
      <c r="O147" s="20">
        <f t="shared" si="8"/>
        <v>104105.09449999999</v>
      </c>
      <c r="P147" s="20">
        <f t="shared" si="9"/>
        <v>75252.302490130824</v>
      </c>
      <c r="Q147" s="20">
        <f t="shared" si="10"/>
        <v>28852.792009869168</v>
      </c>
      <c r="R147" s="22">
        <f t="shared" si="11"/>
        <v>0.27715062503371696</v>
      </c>
    </row>
    <row r="148" spans="1:18">
      <c r="A148" s="18">
        <v>1147</v>
      </c>
      <c r="B148" s="19" t="s">
        <v>152</v>
      </c>
      <c r="C148" s="18">
        <v>2024</v>
      </c>
      <c r="D148" s="18" t="s">
        <v>42</v>
      </c>
      <c r="E148" s="18" t="s">
        <v>88</v>
      </c>
      <c r="F148" s="18" t="s">
        <v>89</v>
      </c>
      <c r="G148" s="18" t="s">
        <v>41</v>
      </c>
      <c r="H148" s="18" t="s">
        <v>112</v>
      </c>
      <c r="I148" s="18" t="s">
        <v>58</v>
      </c>
      <c r="J148" s="18" t="s">
        <v>102</v>
      </c>
      <c r="K148" s="18">
        <v>5</v>
      </c>
      <c r="L148" s="20">
        <v>6177.8</v>
      </c>
      <c r="M148" s="21">
        <v>0.15</v>
      </c>
      <c r="N148" s="21">
        <v>0.56123442404261603</v>
      </c>
      <c r="O148" s="20">
        <f t="shared" si="8"/>
        <v>26255.649999999998</v>
      </c>
      <c r="P148" s="20">
        <f t="shared" si="9"/>
        <v>14735.574605614511</v>
      </c>
      <c r="Q148" s="20">
        <f t="shared" si="10"/>
        <v>11520.075394385487</v>
      </c>
      <c r="R148" s="22">
        <f t="shared" si="11"/>
        <v>0.43876557595738397</v>
      </c>
    </row>
    <row r="149" spans="1:18">
      <c r="A149" s="18">
        <v>1148</v>
      </c>
      <c r="B149" s="19" t="s">
        <v>152</v>
      </c>
      <c r="C149" s="18">
        <v>2024</v>
      </c>
      <c r="D149" s="18" t="s">
        <v>42</v>
      </c>
      <c r="E149" s="18" t="s">
        <v>79</v>
      </c>
      <c r="F149" s="18" t="s">
        <v>105</v>
      </c>
      <c r="G149" s="18" t="s">
        <v>50</v>
      </c>
      <c r="H149" s="18" t="s">
        <v>97</v>
      </c>
      <c r="I149" s="18" t="s">
        <v>40</v>
      </c>
      <c r="J149" s="18" t="s">
        <v>82</v>
      </c>
      <c r="K149" s="18">
        <v>6</v>
      </c>
      <c r="L149" s="20">
        <v>12398.04</v>
      </c>
      <c r="M149" s="21">
        <v>0</v>
      </c>
      <c r="N149" s="21">
        <v>0.67893329391516799</v>
      </c>
      <c r="O149" s="20">
        <f t="shared" si="8"/>
        <v>74388.240000000005</v>
      </c>
      <c r="P149" s="20">
        <f t="shared" si="9"/>
        <v>50504.652811752057</v>
      </c>
      <c r="Q149" s="20">
        <f t="shared" si="10"/>
        <v>23883.587188247948</v>
      </c>
      <c r="R149" s="22">
        <f t="shared" si="11"/>
        <v>0.32106670608483207</v>
      </c>
    </row>
    <row r="150" spans="1:18">
      <c r="A150" s="18">
        <v>1149</v>
      </c>
      <c r="B150" s="19" t="s">
        <v>152</v>
      </c>
      <c r="C150" s="18">
        <v>2024</v>
      </c>
      <c r="D150" s="18" t="s">
        <v>42</v>
      </c>
      <c r="E150" s="18" t="s">
        <v>79</v>
      </c>
      <c r="F150" s="18" t="s">
        <v>80</v>
      </c>
      <c r="G150" s="18" t="s">
        <v>50</v>
      </c>
      <c r="H150" s="18" t="s">
        <v>97</v>
      </c>
      <c r="I150" s="18" t="s">
        <v>62</v>
      </c>
      <c r="J150" s="18" t="s">
        <v>102</v>
      </c>
      <c r="K150" s="18">
        <v>12</v>
      </c>
      <c r="L150" s="20">
        <v>12475.05</v>
      </c>
      <c r="M150" s="21">
        <v>0.1</v>
      </c>
      <c r="N150" s="21">
        <v>0.73180999131473301</v>
      </c>
      <c r="O150" s="20">
        <f t="shared" si="8"/>
        <v>134730.53999999998</v>
      </c>
      <c r="P150" s="20">
        <f t="shared" si="9"/>
        <v>98597.155307229274</v>
      </c>
      <c r="Q150" s="20">
        <f t="shared" si="10"/>
        <v>36133.384692770705</v>
      </c>
      <c r="R150" s="22">
        <f t="shared" si="11"/>
        <v>0.26819000868526699</v>
      </c>
    </row>
    <row r="151" spans="1:18">
      <c r="A151" s="18">
        <v>1150</v>
      </c>
      <c r="B151" s="19" t="s">
        <v>152</v>
      </c>
      <c r="C151" s="18">
        <v>2024</v>
      </c>
      <c r="D151" s="18" t="s">
        <v>42</v>
      </c>
      <c r="E151" s="18" t="s">
        <v>88</v>
      </c>
      <c r="F151" s="18" t="s">
        <v>89</v>
      </c>
      <c r="G151" s="18" t="s">
        <v>50</v>
      </c>
      <c r="H151" s="18" t="s">
        <v>87</v>
      </c>
      <c r="I151" s="18" t="s">
        <v>46</v>
      </c>
      <c r="J151" s="18" t="s">
        <v>82</v>
      </c>
      <c r="K151" s="18">
        <v>8</v>
      </c>
      <c r="L151" s="20">
        <v>9123.33</v>
      </c>
      <c r="M151" s="21">
        <v>0.05</v>
      </c>
      <c r="N151" s="21">
        <v>0.74647711621867896</v>
      </c>
      <c r="O151" s="20">
        <f t="shared" si="8"/>
        <v>69337.30799999999</v>
      </c>
      <c r="P151" s="20">
        <f t="shared" si="9"/>
        <v>51758.713722206332</v>
      </c>
      <c r="Q151" s="20">
        <f t="shared" si="10"/>
        <v>17578.594277793658</v>
      </c>
      <c r="R151" s="22">
        <f t="shared" si="11"/>
        <v>0.25352288378132104</v>
      </c>
    </row>
    <row r="152" spans="1:18">
      <c r="A152" s="18">
        <v>1151</v>
      </c>
      <c r="B152" s="19" t="s">
        <v>153</v>
      </c>
      <c r="C152" s="18">
        <v>2024</v>
      </c>
      <c r="D152" s="18" t="s">
        <v>42</v>
      </c>
      <c r="E152" s="18" t="s">
        <v>88</v>
      </c>
      <c r="F152" s="18" t="s">
        <v>110</v>
      </c>
      <c r="G152" s="18" t="s">
        <v>44</v>
      </c>
      <c r="H152" s="18" t="s">
        <v>95</v>
      </c>
      <c r="I152" s="18" t="s">
        <v>58</v>
      </c>
      <c r="J152" s="18" t="s">
        <v>91</v>
      </c>
      <c r="K152" s="18">
        <v>9</v>
      </c>
      <c r="L152" s="20">
        <v>4510.24</v>
      </c>
      <c r="M152" s="21">
        <v>0</v>
      </c>
      <c r="N152" s="21">
        <v>0.62277959193714305</v>
      </c>
      <c r="O152" s="20">
        <f t="shared" si="8"/>
        <v>40592.159999999996</v>
      </c>
      <c r="P152" s="20">
        <f t="shared" si="9"/>
        <v>25279.96884064722</v>
      </c>
      <c r="Q152" s="20">
        <f t="shared" si="10"/>
        <v>15312.191159352777</v>
      </c>
      <c r="R152" s="22">
        <f t="shared" si="11"/>
        <v>0.37722040806285689</v>
      </c>
    </row>
    <row r="153" spans="1:18">
      <c r="A153" s="18">
        <v>1152</v>
      </c>
      <c r="B153" s="19" t="s">
        <v>153</v>
      </c>
      <c r="C153" s="18">
        <v>2024</v>
      </c>
      <c r="D153" s="18" t="s">
        <v>42</v>
      </c>
      <c r="E153" s="18" t="s">
        <v>98</v>
      </c>
      <c r="F153" s="18" t="s">
        <v>109</v>
      </c>
      <c r="G153" s="18" t="s">
        <v>50</v>
      </c>
      <c r="H153" s="18" t="s">
        <v>97</v>
      </c>
      <c r="I153" s="18" t="s">
        <v>62</v>
      </c>
      <c r="J153" s="18" t="s">
        <v>82</v>
      </c>
      <c r="K153" s="18">
        <v>11</v>
      </c>
      <c r="L153" s="20">
        <v>12176.77</v>
      </c>
      <c r="M153" s="21">
        <v>0</v>
      </c>
      <c r="N153" s="21">
        <v>0.61593815102354599</v>
      </c>
      <c r="O153" s="20">
        <f t="shared" si="8"/>
        <v>133944.47</v>
      </c>
      <c r="P153" s="20">
        <f t="shared" si="9"/>
        <v>82501.509191628822</v>
      </c>
      <c r="Q153" s="20">
        <f t="shared" si="10"/>
        <v>51442.960808371179</v>
      </c>
      <c r="R153" s="22">
        <f t="shared" si="11"/>
        <v>0.38406184897645401</v>
      </c>
    </row>
    <row r="154" spans="1:18">
      <c r="A154" s="18">
        <v>1153</v>
      </c>
      <c r="B154" s="19" t="s">
        <v>154</v>
      </c>
      <c r="C154" s="18">
        <v>2024</v>
      </c>
      <c r="D154" s="18" t="s">
        <v>42</v>
      </c>
      <c r="E154" s="18" t="s">
        <v>98</v>
      </c>
      <c r="F154" s="18" t="s">
        <v>109</v>
      </c>
      <c r="G154" s="18" t="s">
        <v>44</v>
      </c>
      <c r="H154" s="18" t="s">
        <v>114</v>
      </c>
      <c r="I154" s="18" t="s">
        <v>43</v>
      </c>
      <c r="J154" s="18" t="s">
        <v>102</v>
      </c>
      <c r="K154" s="18">
        <v>11</v>
      </c>
      <c r="L154" s="20">
        <v>8677.2900000000009</v>
      </c>
      <c r="M154" s="21">
        <v>0.05</v>
      </c>
      <c r="N154" s="21">
        <v>0.61204634751036302</v>
      </c>
      <c r="O154" s="20">
        <f t="shared" si="8"/>
        <v>90677.680500000002</v>
      </c>
      <c r="P154" s="20">
        <f t="shared" si="9"/>
        <v>55498.943150736668</v>
      </c>
      <c r="Q154" s="20">
        <f t="shared" si="10"/>
        <v>35178.737349263334</v>
      </c>
      <c r="R154" s="22">
        <f t="shared" si="11"/>
        <v>0.38795365248963698</v>
      </c>
    </row>
    <row r="155" spans="1:18">
      <c r="A155" s="18">
        <v>1154</v>
      </c>
      <c r="B155" s="19" t="s">
        <v>154</v>
      </c>
      <c r="C155" s="18">
        <v>2024</v>
      </c>
      <c r="D155" s="18" t="s">
        <v>42</v>
      </c>
      <c r="E155" s="18" t="s">
        <v>85</v>
      </c>
      <c r="F155" s="18" t="s">
        <v>86</v>
      </c>
      <c r="G155" s="18" t="s">
        <v>41</v>
      </c>
      <c r="H155" s="18" t="s">
        <v>106</v>
      </c>
      <c r="I155" s="18" t="s">
        <v>60</v>
      </c>
      <c r="J155" s="18" t="s">
        <v>91</v>
      </c>
      <c r="K155" s="18">
        <v>11</v>
      </c>
      <c r="L155" s="20">
        <v>2572.92</v>
      </c>
      <c r="M155" s="21">
        <v>0</v>
      </c>
      <c r="N155" s="21">
        <v>0.68402327999894497</v>
      </c>
      <c r="O155" s="20">
        <f t="shared" si="8"/>
        <v>28302.120000000003</v>
      </c>
      <c r="P155" s="20">
        <f t="shared" si="9"/>
        <v>19359.308953323743</v>
      </c>
      <c r="Q155" s="20">
        <f t="shared" si="10"/>
        <v>8942.8110466762591</v>
      </c>
      <c r="R155" s="22">
        <f t="shared" si="11"/>
        <v>0.31597672000105498</v>
      </c>
    </row>
    <row r="156" spans="1:18">
      <c r="A156" s="18">
        <v>1155</v>
      </c>
      <c r="B156" s="19" t="s">
        <v>154</v>
      </c>
      <c r="C156" s="18">
        <v>2024</v>
      </c>
      <c r="D156" s="18" t="s">
        <v>42</v>
      </c>
      <c r="E156" s="18" t="s">
        <v>79</v>
      </c>
      <c r="F156" s="18" t="s">
        <v>80</v>
      </c>
      <c r="G156" s="18" t="s">
        <v>50</v>
      </c>
      <c r="H156" s="18" t="s">
        <v>87</v>
      </c>
      <c r="I156" s="18" t="s">
        <v>54</v>
      </c>
      <c r="J156" s="18" t="s">
        <v>82</v>
      </c>
      <c r="K156" s="18">
        <v>6</v>
      </c>
      <c r="L156" s="20">
        <v>9318.42</v>
      </c>
      <c r="M156" s="21">
        <v>0</v>
      </c>
      <c r="N156" s="21">
        <v>0.61834646902630996</v>
      </c>
      <c r="O156" s="20">
        <f t="shared" si="8"/>
        <v>55910.520000000004</v>
      </c>
      <c r="P156" s="20">
        <f t="shared" si="9"/>
        <v>34572.072623424887</v>
      </c>
      <c r="Q156" s="20">
        <f t="shared" si="10"/>
        <v>21338.447376575117</v>
      </c>
      <c r="R156" s="22">
        <f t="shared" si="11"/>
        <v>0.38165353097369004</v>
      </c>
    </row>
    <row r="157" spans="1:18">
      <c r="A157" s="18">
        <v>1156</v>
      </c>
      <c r="B157" s="19" t="s">
        <v>154</v>
      </c>
      <c r="C157" s="18">
        <v>2024</v>
      </c>
      <c r="D157" s="18" t="s">
        <v>42</v>
      </c>
      <c r="E157" s="18" t="s">
        <v>85</v>
      </c>
      <c r="F157" s="18" t="s">
        <v>86</v>
      </c>
      <c r="G157" s="18" t="s">
        <v>44</v>
      </c>
      <c r="H157" s="18" t="s">
        <v>119</v>
      </c>
      <c r="I157" s="18" t="s">
        <v>46</v>
      </c>
      <c r="J157" s="18" t="s">
        <v>82</v>
      </c>
      <c r="K157" s="18">
        <v>5</v>
      </c>
      <c r="L157" s="20">
        <v>7241.1</v>
      </c>
      <c r="M157" s="21">
        <v>0</v>
      </c>
      <c r="N157" s="21">
        <v>0.65153794254492903</v>
      </c>
      <c r="O157" s="20">
        <f t="shared" si="8"/>
        <v>36205.5</v>
      </c>
      <c r="P157" s="20">
        <f t="shared" si="9"/>
        <v>23589.256978810427</v>
      </c>
      <c r="Q157" s="20">
        <f t="shared" si="10"/>
        <v>12616.243021189573</v>
      </c>
      <c r="R157" s="22">
        <f t="shared" si="11"/>
        <v>0.34846205745507103</v>
      </c>
    </row>
    <row r="158" spans="1:18">
      <c r="A158" s="18">
        <v>1157</v>
      </c>
      <c r="B158" s="19" t="s">
        <v>154</v>
      </c>
      <c r="C158" s="18">
        <v>2024</v>
      </c>
      <c r="D158" s="18" t="s">
        <v>42</v>
      </c>
      <c r="E158" s="18" t="s">
        <v>79</v>
      </c>
      <c r="F158" s="18" t="s">
        <v>80</v>
      </c>
      <c r="G158" s="18" t="s">
        <v>47</v>
      </c>
      <c r="H158" s="18" t="s">
        <v>103</v>
      </c>
      <c r="I158" s="18" t="s">
        <v>46</v>
      </c>
      <c r="J158" s="18" t="s">
        <v>102</v>
      </c>
      <c r="K158" s="18">
        <v>7</v>
      </c>
      <c r="L158" s="20">
        <v>3089.36</v>
      </c>
      <c r="M158" s="21">
        <v>0</v>
      </c>
      <c r="N158" s="21">
        <v>0.71626901133782495</v>
      </c>
      <c r="O158" s="20">
        <f t="shared" si="8"/>
        <v>21625.52</v>
      </c>
      <c r="P158" s="20">
        <f t="shared" si="9"/>
        <v>15489.68983006636</v>
      </c>
      <c r="Q158" s="20">
        <f t="shared" si="10"/>
        <v>6135.8301699336407</v>
      </c>
      <c r="R158" s="22">
        <f t="shared" si="11"/>
        <v>0.28373098866217511</v>
      </c>
    </row>
    <row r="159" spans="1:18">
      <c r="A159" s="18">
        <v>1158</v>
      </c>
      <c r="B159" s="19" t="s">
        <v>155</v>
      </c>
      <c r="C159" s="18">
        <v>2024</v>
      </c>
      <c r="D159" s="18" t="s">
        <v>42</v>
      </c>
      <c r="E159" s="18" t="s">
        <v>85</v>
      </c>
      <c r="F159" s="18" t="s">
        <v>86</v>
      </c>
      <c r="G159" s="18" t="s">
        <v>50</v>
      </c>
      <c r="H159" s="18" t="s">
        <v>97</v>
      </c>
      <c r="I159" s="18" t="s">
        <v>49</v>
      </c>
      <c r="J159" s="18" t="s">
        <v>91</v>
      </c>
      <c r="K159" s="18">
        <v>10</v>
      </c>
      <c r="L159" s="20">
        <v>11741.91</v>
      </c>
      <c r="M159" s="21">
        <v>0.2</v>
      </c>
      <c r="N159" s="21">
        <v>0.70676007188696899</v>
      </c>
      <c r="O159" s="20">
        <f t="shared" si="8"/>
        <v>93935.280000000013</v>
      </c>
      <c r="P159" s="20">
        <f t="shared" si="9"/>
        <v>66389.705245522564</v>
      </c>
      <c r="Q159" s="20">
        <f t="shared" si="10"/>
        <v>27545.574754477449</v>
      </c>
      <c r="R159" s="22">
        <f t="shared" si="11"/>
        <v>0.29323992811303107</v>
      </c>
    </row>
    <row r="160" spans="1:18">
      <c r="A160" s="18">
        <v>1159</v>
      </c>
      <c r="B160" s="19" t="s">
        <v>155</v>
      </c>
      <c r="C160" s="18">
        <v>2024</v>
      </c>
      <c r="D160" s="18" t="s">
        <v>42</v>
      </c>
      <c r="E160" s="18" t="s">
        <v>88</v>
      </c>
      <c r="F160" s="18" t="s">
        <v>93</v>
      </c>
      <c r="G160" s="18" t="s">
        <v>44</v>
      </c>
      <c r="H160" s="18" t="s">
        <v>114</v>
      </c>
      <c r="I160" s="18" t="s">
        <v>58</v>
      </c>
      <c r="J160" s="18" t="s">
        <v>82</v>
      </c>
      <c r="K160" s="18">
        <v>6</v>
      </c>
      <c r="L160" s="20">
        <v>9160.48</v>
      </c>
      <c r="M160" s="21">
        <v>0.15</v>
      </c>
      <c r="N160" s="21">
        <v>0.74688795870631597</v>
      </c>
      <c r="O160" s="20">
        <f t="shared" si="8"/>
        <v>46718.447999999997</v>
      </c>
      <c r="P160" s="20">
        <f t="shared" si="9"/>
        <v>34893.446260647164</v>
      </c>
      <c r="Q160" s="20">
        <f t="shared" si="10"/>
        <v>11825.001739352832</v>
      </c>
      <c r="R160" s="22">
        <f t="shared" si="11"/>
        <v>0.25311204129368409</v>
      </c>
    </row>
    <row r="161" spans="1:18">
      <c r="A161" s="18">
        <v>1160</v>
      </c>
      <c r="B161" s="19" t="s">
        <v>155</v>
      </c>
      <c r="C161" s="18">
        <v>2024</v>
      </c>
      <c r="D161" s="18" t="s">
        <v>42</v>
      </c>
      <c r="E161" s="18" t="s">
        <v>85</v>
      </c>
      <c r="F161" s="18" t="s">
        <v>121</v>
      </c>
      <c r="G161" s="18" t="s">
        <v>50</v>
      </c>
      <c r="H161" s="18" t="s">
        <v>87</v>
      </c>
      <c r="I161" s="18" t="s">
        <v>60</v>
      </c>
      <c r="J161" s="18" t="s">
        <v>91</v>
      </c>
      <c r="K161" s="18">
        <v>3</v>
      </c>
      <c r="L161" s="20">
        <v>9801.0499999999993</v>
      </c>
      <c r="M161" s="21">
        <v>0.15</v>
      </c>
      <c r="N161" s="21">
        <v>0.57767970692068604</v>
      </c>
      <c r="O161" s="20">
        <f t="shared" si="8"/>
        <v>24992.677499999998</v>
      </c>
      <c r="P161" s="20">
        <f t="shared" si="9"/>
        <v>14437.762613363224</v>
      </c>
      <c r="Q161" s="20">
        <f t="shared" si="10"/>
        <v>10554.914886636774</v>
      </c>
      <c r="R161" s="22">
        <f t="shared" si="11"/>
        <v>0.4223202930793139</v>
      </c>
    </row>
    <row r="162" spans="1:18">
      <c r="A162" s="18">
        <v>1161</v>
      </c>
      <c r="B162" s="19" t="s">
        <v>156</v>
      </c>
      <c r="C162" s="18">
        <v>2024</v>
      </c>
      <c r="D162" s="18" t="s">
        <v>42</v>
      </c>
      <c r="E162" s="18" t="s">
        <v>79</v>
      </c>
      <c r="F162" s="18" t="s">
        <v>80</v>
      </c>
      <c r="G162" s="18" t="s">
        <v>50</v>
      </c>
      <c r="H162" s="18" t="s">
        <v>97</v>
      </c>
      <c r="I162" s="18" t="s">
        <v>60</v>
      </c>
      <c r="J162" s="18" t="s">
        <v>82</v>
      </c>
      <c r="K162" s="18">
        <v>12</v>
      </c>
      <c r="L162" s="20">
        <v>12415.07</v>
      </c>
      <c r="M162" s="21">
        <v>0</v>
      </c>
      <c r="N162" s="21">
        <v>0.60701260281186598</v>
      </c>
      <c r="O162" s="20">
        <f t="shared" si="8"/>
        <v>148980.84</v>
      </c>
      <c r="P162" s="20">
        <f t="shared" si="9"/>
        <v>90433.247457498146</v>
      </c>
      <c r="Q162" s="20">
        <f t="shared" si="10"/>
        <v>58547.59254250185</v>
      </c>
      <c r="R162" s="22">
        <f t="shared" si="11"/>
        <v>0.39298739718813408</v>
      </c>
    </row>
    <row r="163" spans="1:18">
      <c r="A163" s="18">
        <v>1162</v>
      </c>
      <c r="B163" s="19" t="s">
        <v>156</v>
      </c>
      <c r="C163" s="18">
        <v>2024</v>
      </c>
      <c r="D163" s="18" t="s">
        <v>42</v>
      </c>
      <c r="E163" s="18" t="s">
        <v>88</v>
      </c>
      <c r="F163" s="18" t="s">
        <v>89</v>
      </c>
      <c r="G163" s="18" t="s">
        <v>50</v>
      </c>
      <c r="H163" s="18" t="s">
        <v>87</v>
      </c>
      <c r="I163" s="18" t="s">
        <v>46</v>
      </c>
      <c r="J163" s="18" t="s">
        <v>91</v>
      </c>
      <c r="K163" s="18">
        <v>2</v>
      </c>
      <c r="L163" s="20">
        <v>9924.09</v>
      </c>
      <c r="M163" s="21">
        <v>0</v>
      </c>
      <c r="N163" s="21">
        <v>0.71334065117110002</v>
      </c>
      <c r="O163" s="20">
        <f t="shared" si="8"/>
        <v>19848.18</v>
      </c>
      <c r="P163" s="20">
        <f t="shared" si="9"/>
        <v>14158.513645761204</v>
      </c>
      <c r="Q163" s="20">
        <f t="shared" si="10"/>
        <v>5689.666354238796</v>
      </c>
      <c r="R163" s="22">
        <f t="shared" si="11"/>
        <v>0.28665934882889998</v>
      </c>
    </row>
    <row r="164" spans="1:18">
      <c r="A164" s="18">
        <v>1163</v>
      </c>
      <c r="B164" s="19" t="s">
        <v>156</v>
      </c>
      <c r="C164" s="18">
        <v>2024</v>
      </c>
      <c r="D164" s="18" t="s">
        <v>42</v>
      </c>
      <c r="E164" s="18" t="s">
        <v>98</v>
      </c>
      <c r="F164" s="18" t="s">
        <v>117</v>
      </c>
      <c r="G164" s="18" t="s">
        <v>50</v>
      </c>
      <c r="H164" s="18" t="s">
        <v>83</v>
      </c>
      <c r="I164" s="18" t="s">
        <v>56</v>
      </c>
      <c r="J164" s="18" t="s">
        <v>102</v>
      </c>
      <c r="K164" s="18">
        <v>6</v>
      </c>
      <c r="L164" s="20">
        <v>3407.52</v>
      </c>
      <c r="M164" s="21">
        <v>0</v>
      </c>
      <c r="N164" s="21">
        <v>0.62498253468355403</v>
      </c>
      <c r="O164" s="20">
        <f t="shared" si="8"/>
        <v>20445.12</v>
      </c>
      <c r="P164" s="20">
        <f t="shared" si="9"/>
        <v>12777.842919509423</v>
      </c>
      <c r="Q164" s="20">
        <f t="shared" si="10"/>
        <v>7667.2770804905758</v>
      </c>
      <c r="R164" s="22">
        <f t="shared" si="11"/>
        <v>0.37501746531644597</v>
      </c>
    </row>
    <row r="165" spans="1:18">
      <c r="A165" s="18">
        <v>1164</v>
      </c>
      <c r="B165" s="19" t="s">
        <v>156</v>
      </c>
      <c r="C165" s="18">
        <v>2024</v>
      </c>
      <c r="D165" s="18" t="s">
        <v>42</v>
      </c>
      <c r="E165" s="18" t="s">
        <v>79</v>
      </c>
      <c r="F165" s="18" t="s">
        <v>105</v>
      </c>
      <c r="G165" s="18" t="s">
        <v>41</v>
      </c>
      <c r="H165" s="18" t="s">
        <v>106</v>
      </c>
      <c r="I165" s="18" t="s">
        <v>46</v>
      </c>
      <c r="J165" s="18" t="s">
        <v>82</v>
      </c>
      <c r="K165" s="18">
        <v>1</v>
      </c>
      <c r="L165" s="20">
        <v>2446.7199999999998</v>
      </c>
      <c r="M165" s="21">
        <v>0.1</v>
      </c>
      <c r="N165" s="21">
        <v>0.68921439771519699</v>
      </c>
      <c r="O165" s="20">
        <f t="shared" si="8"/>
        <v>2202.0479999999998</v>
      </c>
      <c r="P165" s="20">
        <f t="shared" si="9"/>
        <v>1517.6831860599539</v>
      </c>
      <c r="Q165" s="20">
        <f t="shared" si="10"/>
        <v>684.36481394004591</v>
      </c>
      <c r="R165" s="22">
        <f t="shared" si="11"/>
        <v>0.31078560228480306</v>
      </c>
    </row>
    <row r="166" spans="1:18">
      <c r="A166" s="18">
        <v>1165</v>
      </c>
      <c r="B166" s="19" t="s">
        <v>157</v>
      </c>
      <c r="C166" s="18">
        <v>2024</v>
      </c>
      <c r="D166" s="18" t="s">
        <v>42</v>
      </c>
      <c r="E166" s="18" t="s">
        <v>85</v>
      </c>
      <c r="F166" s="18" t="s">
        <v>121</v>
      </c>
      <c r="G166" s="18" t="s">
        <v>41</v>
      </c>
      <c r="H166" s="18" t="s">
        <v>90</v>
      </c>
      <c r="I166" s="18" t="s">
        <v>40</v>
      </c>
      <c r="J166" s="18" t="s">
        <v>91</v>
      </c>
      <c r="K166" s="18">
        <v>4</v>
      </c>
      <c r="L166" s="20">
        <v>18602.93</v>
      </c>
      <c r="M166" s="21">
        <v>0.15</v>
      </c>
      <c r="N166" s="21">
        <v>0.73804518986826395</v>
      </c>
      <c r="O166" s="20">
        <f t="shared" si="8"/>
        <v>63249.962</v>
      </c>
      <c r="P166" s="20">
        <f t="shared" si="9"/>
        <v>46681.330213450477</v>
      </c>
      <c r="Q166" s="20">
        <f t="shared" si="10"/>
        <v>16568.631786549522</v>
      </c>
      <c r="R166" s="22">
        <f t="shared" si="11"/>
        <v>0.2619548101317361</v>
      </c>
    </row>
    <row r="167" spans="1:18">
      <c r="A167" s="18">
        <v>1166</v>
      </c>
      <c r="B167" s="19" t="s">
        <v>157</v>
      </c>
      <c r="C167" s="18">
        <v>2024</v>
      </c>
      <c r="D167" s="18" t="s">
        <v>42</v>
      </c>
      <c r="E167" s="18" t="s">
        <v>85</v>
      </c>
      <c r="F167" s="18" t="s">
        <v>86</v>
      </c>
      <c r="G167" s="18" t="s">
        <v>47</v>
      </c>
      <c r="H167" s="18" t="s">
        <v>81</v>
      </c>
      <c r="I167" s="18" t="s">
        <v>52</v>
      </c>
      <c r="J167" s="18" t="s">
        <v>82</v>
      </c>
      <c r="K167" s="18">
        <v>1</v>
      </c>
      <c r="L167" s="20">
        <v>779.08</v>
      </c>
      <c r="M167" s="21">
        <v>0.2</v>
      </c>
      <c r="N167" s="21">
        <v>0.708779821727888</v>
      </c>
      <c r="O167" s="20">
        <f t="shared" si="8"/>
        <v>623.26400000000012</v>
      </c>
      <c r="P167" s="20">
        <f t="shared" si="9"/>
        <v>441.75694680941046</v>
      </c>
      <c r="Q167" s="20">
        <f t="shared" si="10"/>
        <v>181.50705319058966</v>
      </c>
      <c r="R167" s="22">
        <f t="shared" si="11"/>
        <v>0.291220178272112</v>
      </c>
    </row>
    <row r="168" spans="1:18">
      <c r="A168" s="18">
        <v>1167</v>
      </c>
      <c r="B168" s="19" t="s">
        <v>157</v>
      </c>
      <c r="C168" s="18">
        <v>2024</v>
      </c>
      <c r="D168" s="18" t="s">
        <v>42</v>
      </c>
      <c r="E168" s="18" t="s">
        <v>85</v>
      </c>
      <c r="F168" s="18" t="s">
        <v>86</v>
      </c>
      <c r="G168" s="18" t="s">
        <v>41</v>
      </c>
      <c r="H168" s="18" t="s">
        <v>112</v>
      </c>
      <c r="I168" s="18" t="s">
        <v>62</v>
      </c>
      <c r="J168" s="18" t="s">
        <v>102</v>
      </c>
      <c r="K168" s="18">
        <v>1</v>
      </c>
      <c r="L168" s="20">
        <v>6079.17</v>
      </c>
      <c r="M168" s="21">
        <v>0.15</v>
      </c>
      <c r="N168" s="21">
        <v>0.598387626884199</v>
      </c>
      <c r="O168" s="20">
        <f t="shared" si="8"/>
        <v>5167.2945</v>
      </c>
      <c r="P168" s="20">
        <f t="shared" si="9"/>
        <v>3092.0450932667736</v>
      </c>
      <c r="Q168" s="20">
        <f t="shared" si="10"/>
        <v>2075.2494067332264</v>
      </c>
      <c r="R168" s="22">
        <f t="shared" si="11"/>
        <v>0.401612373115801</v>
      </c>
    </row>
    <row r="169" spans="1:18">
      <c r="A169" s="18">
        <v>1168</v>
      </c>
      <c r="B169" s="19" t="s">
        <v>158</v>
      </c>
      <c r="C169" s="18">
        <v>2024</v>
      </c>
      <c r="D169" s="18" t="s">
        <v>42</v>
      </c>
      <c r="E169" s="18" t="s">
        <v>98</v>
      </c>
      <c r="F169" s="18" t="s">
        <v>109</v>
      </c>
      <c r="G169" s="18" t="s">
        <v>41</v>
      </c>
      <c r="H169" s="18" t="s">
        <v>106</v>
      </c>
      <c r="I169" s="18" t="s">
        <v>49</v>
      </c>
      <c r="J169" s="18" t="s">
        <v>102</v>
      </c>
      <c r="K169" s="18">
        <v>7</v>
      </c>
      <c r="L169" s="20">
        <v>2421.83</v>
      </c>
      <c r="M169" s="21">
        <v>0.2</v>
      </c>
      <c r="N169" s="21">
        <v>0.567122790997452</v>
      </c>
      <c r="O169" s="20">
        <f t="shared" si="8"/>
        <v>13562.248</v>
      </c>
      <c r="P169" s="20">
        <f t="shared" si="9"/>
        <v>7691.4599379596111</v>
      </c>
      <c r="Q169" s="20">
        <f t="shared" si="10"/>
        <v>5870.7880620403885</v>
      </c>
      <c r="R169" s="22">
        <f t="shared" si="11"/>
        <v>0.432877209002548</v>
      </c>
    </row>
    <row r="170" spans="1:18">
      <c r="A170" s="18">
        <v>1169</v>
      </c>
      <c r="B170" s="19" t="s">
        <v>158</v>
      </c>
      <c r="C170" s="18">
        <v>2024</v>
      </c>
      <c r="D170" s="18" t="s">
        <v>42</v>
      </c>
      <c r="E170" s="18" t="s">
        <v>98</v>
      </c>
      <c r="F170" s="18" t="s">
        <v>117</v>
      </c>
      <c r="G170" s="18" t="s">
        <v>41</v>
      </c>
      <c r="H170" s="18" t="s">
        <v>112</v>
      </c>
      <c r="I170" s="18" t="s">
        <v>58</v>
      </c>
      <c r="J170" s="18" t="s">
        <v>82</v>
      </c>
      <c r="K170" s="18">
        <v>11</v>
      </c>
      <c r="L170" s="20">
        <v>5932.13</v>
      </c>
      <c r="M170" s="21">
        <v>0.05</v>
      </c>
      <c r="N170" s="21">
        <v>0.60073005221384301</v>
      </c>
      <c r="O170" s="20">
        <f t="shared" si="8"/>
        <v>61990.758499999996</v>
      </c>
      <c r="P170" s="20">
        <f t="shared" si="9"/>
        <v>37239.711590480729</v>
      </c>
      <c r="Q170" s="20">
        <f t="shared" si="10"/>
        <v>24751.046909519268</v>
      </c>
      <c r="R170" s="22">
        <f t="shared" si="11"/>
        <v>0.39926994778615699</v>
      </c>
    </row>
    <row r="171" spans="1:18">
      <c r="A171" s="18">
        <v>1170</v>
      </c>
      <c r="B171" s="19" t="s">
        <v>158</v>
      </c>
      <c r="C171" s="18">
        <v>2024</v>
      </c>
      <c r="D171" s="18" t="s">
        <v>42</v>
      </c>
      <c r="E171" s="18" t="s">
        <v>79</v>
      </c>
      <c r="F171" s="18" t="s">
        <v>105</v>
      </c>
      <c r="G171" s="18" t="s">
        <v>41</v>
      </c>
      <c r="H171" s="18" t="s">
        <v>106</v>
      </c>
      <c r="I171" s="18" t="s">
        <v>49</v>
      </c>
      <c r="J171" s="18" t="s">
        <v>102</v>
      </c>
      <c r="K171" s="18">
        <v>11</v>
      </c>
      <c r="L171" s="20">
        <v>2532.06</v>
      </c>
      <c r="M171" s="21">
        <v>0.15</v>
      </c>
      <c r="N171" s="21">
        <v>0.69703739696246203</v>
      </c>
      <c r="O171" s="20">
        <f t="shared" si="8"/>
        <v>23674.760999999999</v>
      </c>
      <c r="P171" s="20">
        <f t="shared" si="9"/>
        <v>16502.193781148413</v>
      </c>
      <c r="Q171" s="20">
        <f t="shared" si="10"/>
        <v>7172.5672188515855</v>
      </c>
      <c r="R171" s="22">
        <f t="shared" si="11"/>
        <v>0.30296260303753797</v>
      </c>
    </row>
    <row r="172" spans="1:18">
      <c r="A172" s="18">
        <v>1171</v>
      </c>
      <c r="B172" s="19" t="s">
        <v>159</v>
      </c>
      <c r="C172" s="18">
        <v>2024</v>
      </c>
      <c r="D172" s="18" t="s">
        <v>42</v>
      </c>
      <c r="E172" s="18" t="s">
        <v>88</v>
      </c>
      <c r="F172" s="18" t="s">
        <v>110</v>
      </c>
      <c r="G172" s="18" t="s">
        <v>47</v>
      </c>
      <c r="H172" s="18" t="s">
        <v>103</v>
      </c>
      <c r="I172" s="18" t="s">
        <v>54</v>
      </c>
      <c r="J172" s="18" t="s">
        <v>102</v>
      </c>
      <c r="K172" s="18">
        <v>3</v>
      </c>
      <c r="L172" s="20">
        <v>3305.72</v>
      </c>
      <c r="M172" s="21">
        <v>0.2</v>
      </c>
      <c r="N172" s="21">
        <v>0.64292457994940799</v>
      </c>
      <c r="O172" s="20">
        <f t="shared" si="8"/>
        <v>7933.7280000000001</v>
      </c>
      <c r="P172" s="20">
        <f t="shared" si="9"/>
        <v>5100.7887418328564</v>
      </c>
      <c r="Q172" s="20">
        <f t="shared" si="10"/>
        <v>2832.9392581671436</v>
      </c>
      <c r="R172" s="22">
        <f t="shared" si="11"/>
        <v>0.35707542005059206</v>
      </c>
    </row>
    <row r="173" spans="1:18">
      <c r="A173" s="18">
        <v>1172</v>
      </c>
      <c r="B173" s="19" t="s">
        <v>159</v>
      </c>
      <c r="C173" s="18">
        <v>2024</v>
      </c>
      <c r="D173" s="18" t="s">
        <v>42</v>
      </c>
      <c r="E173" s="18" t="s">
        <v>85</v>
      </c>
      <c r="F173" s="18" t="s">
        <v>94</v>
      </c>
      <c r="G173" s="18" t="s">
        <v>44</v>
      </c>
      <c r="H173" s="18" t="s">
        <v>119</v>
      </c>
      <c r="I173" s="18" t="s">
        <v>43</v>
      </c>
      <c r="J173" s="18" t="s">
        <v>102</v>
      </c>
      <c r="K173" s="18">
        <v>8</v>
      </c>
      <c r="L173" s="20">
        <v>6675.89</v>
      </c>
      <c r="M173" s="21">
        <v>0</v>
      </c>
      <c r="N173" s="21">
        <v>0.55876125513182495</v>
      </c>
      <c r="O173" s="20">
        <f t="shared" si="8"/>
        <v>53407.12</v>
      </c>
      <c r="P173" s="20">
        <f t="shared" si="9"/>
        <v>29841.829404175991</v>
      </c>
      <c r="Q173" s="20">
        <f t="shared" si="10"/>
        <v>23565.290595824012</v>
      </c>
      <c r="R173" s="22">
        <f t="shared" si="11"/>
        <v>0.4412387448681751</v>
      </c>
    </row>
    <row r="174" spans="1:18">
      <c r="A174" s="18">
        <v>1173</v>
      </c>
      <c r="B174" s="19" t="s">
        <v>159</v>
      </c>
      <c r="C174" s="18">
        <v>2024</v>
      </c>
      <c r="D174" s="18" t="s">
        <v>42</v>
      </c>
      <c r="E174" s="18" t="s">
        <v>88</v>
      </c>
      <c r="F174" s="18" t="s">
        <v>110</v>
      </c>
      <c r="G174" s="18" t="s">
        <v>47</v>
      </c>
      <c r="H174" s="18" t="s">
        <v>107</v>
      </c>
      <c r="I174" s="18" t="s">
        <v>60</v>
      </c>
      <c r="J174" s="18" t="s">
        <v>91</v>
      </c>
      <c r="K174" s="18">
        <v>9</v>
      </c>
      <c r="L174" s="20">
        <v>2194.15</v>
      </c>
      <c r="M174" s="21">
        <v>0</v>
      </c>
      <c r="N174" s="21">
        <v>0.70065818376377298</v>
      </c>
      <c r="O174" s="20">
        <f t="shared" si="8"/>
        <v>19747.350000000002</v>
      </c>
      <c r="P174" s="20">
        <f t="shared" si="9"/>
        <v>13836.142385147545</v>
      </c>
      <c r="Q174" s="20">
        <f t="shared" si="10"/>
        <v>5911.2076148524575</v>
      </c>
      <c r="R174" s="22">
        <f t="shared" si="11"/>
        <v>0.29934181623622697</v>
      </c>
    </row>
    <row r="175" spans="1:18">
      <c r="A175" s="18">
        <v>1174</v>
      </c>
      <c r="B175" s="19" t="s">
        <v>159</v>
      </c>
      <c r="C175" s="18">
        <v>2024</v>
      </c>
      <c r="D175" s="18" t="s">
        <v>42</v>
      </c>
      <c r="E175" s="18" t="s">
        <v>88</v>
      </c>
      <c r="F175" s="18" t="s">
        <v>89</v>
      </c>
      <c r="G175" s="18" t="s">
        <v>47</v>
      </c>
      <c r="H175" s="18" t="s">
        <v>81</v>
      </c>
      <c r="I175" s="18" t="s">
        <v>54</v>
      </c>
      <c r="J175" s="18" t="s">
        <v>91</v>
      </c>
      <c r="K175" s="18">
        <v>2</v>
      </c>
      <c r="L175" s="20">
        <v>823.95</v>
      </c>
      <c r="M175" s="21">
        <v>0.1</v>
      </c>
      <c r="N175" s="21">
        <v>0.72789730340245595</v>
      </c>
      <c r="O175" s="20">
        <f t="shared" si="8"/>
        <v>1483.1100000000001</v>
      </c>
      <c r="P175" s="20">
        <f t="shared" si="9"/>
        <v>1079.5517696492166</v>
      </c>
      <c r="Q175" s="20">
        <f t="shared" si="10"/>
        <v>403.55823035078356</v>
      </c>
      <c r="R175" s="22">
        <f t="shared" si="11"/>
        <v>0.27210269659754405</v>
      </c>
    </row>
    <row r="176" spans="1:18">
      <c r="A176" s="18">
        <v>1175</v>
      </c>
      <c r="B176" s="19" t="s">
        <v>160</v>
      </c>
      <c r="C176" s="18">
        <v>2024</v>
      </c>
      <c r="D176" s="18" t="s">
        <v>42</v>
      </c>
      <c r="E176" s="18" t="s">
        <v>85</v>
      </c>
      <c r="F176" s="18" t="s">
        <v>121</v>
      </c>
      <c r="G176" s="18" t="s">
        <v>44</v>
      </c>
      <c r="H176" s="18" t="s">
        <v>114</v>
      </c>
      <c r="I176" s="18" t="s">
        <v>58</v>
      </c>
      <c r="J176" s="18" t="s">
        <v>91</v>
      </c>
      <c r="K176" s="18">
        <v>9</v>
      </c>
      <c r="L176" s="20">
        <v>8790.0499999999993</v>
      </c>
      <c r="M176" s="21">
        <v>0</v>
      </c>
      <c r="N176" s="21">
        <v>0.69541626486852703</v>
      </c>
      <c r="O176" s="20">
        <f t="shared" si="8"/>
        <v>79110.45</v>
      </c>
      <c r="P176" s="20">
        <f t="shared" si="9"/>
        <v>55014.693651068359</v>
      </c>
      <c r="Q176" s="20">
        <f t="shared" si="10"/>
        <v>24095.756348931638</v>
      </c>
      <c r="R176" s="22">
        <f t="shared" si="11"/>
        <v>0.30458373513147302</v>
      </c>
    </row>
    <row r="177" spans="1:18">
      <c r="A177" s="18">
        <v>1176</v>
      </c>
      <c r="B177" s="19" t="s">
        <v>160</v>
      </c>
      <c r="C177" s="18">
        <v>2024</v>
      </c>
      <c r="D177" s="18" t="s">
        <v>42</v>
      </c>
      <c r="E177" s="18" t="s">
        <v>79</v>
      </c>
      <c r="F177" s="18" t="s">
        <v>105</v>
      </c>
      <c r="G177" s="18" t="s">
        <v>44</v>
      </c>
      <c r="H177" s="18" t="s">
        <v>95</v>
      </c>
      <c r="I177" s="18" t="s">
        <v>52</v>
      </c>
      <c r="J177" s="18" t="s">
        <v>91</v>
      </c>
      <c r="K177" s="18">
        <v>2</v>
      </c>
      <c r="L177" s="20">
        <v>4311.03</v>
      </c>
      <c r="M177" s="21">
        <v>0.2</v>
      </c>
      <c r="N177" s="21">
        <v>0.60912798986806904</v>
      </c>
      <c r="O177" s="20">
        <f t="shared" si="8"/>
        <v>6897.6480000000001</v>
      </c>
      <c r="P177" s="20">
        <f t="shared" si="9"/>
        <v>4201.5504610575072</v>
      </c>
      <c r="Q177" s="20">
        <f t="shared" si="10"/>
        <v>2696.097538942493</v>
      </c>
      <c r="R177" s="22">
        <f t="shared" si="11"/>
        <v>0.3908720101319309</v>
      </c>
    </row>
    <row r="178" spans="1:18">
      <c r="A178" s="18">
        <v>1177</v>
      </c>
      <c r="B178" s="19" t="s">
        <v>160</v>
      </c>
      <c r="C178" s="18">
        <v>2024</v>
      </c>
      <c r="D178" s="18" t="s">
        <v>42</v>
      </c>
      <c r="E178" s="18" t="s">
        <v>85</v>
      </c>
      <c r="F178" s="18" t="s">
        <v>94</v>
      </c>
      <c r="G178" s="18" t="s">
        <v>50</v>
      </c>
      <c r="H178" s="18" t="s">
        <v>83</v>
      </c>
      <c r="I178" s="18" t="s">
        <v>58</v>
      </c>
      <c r="J178" s="18" t="s">
        <v>91</v>
      </c>
      <c r="K178" s="18">
        <v>8</v>
      </c>
      <c r="L178" s="20">
        <v>3339.82</v>
      </c>
      <c r="M178" s="21">
        <v>0.05</v>
      </c>
      <c r="N178" s="21">
        <v>0.67297029643975304</v>
      </c>
      <c r="O178" s="20">
        <f t="shared" si="8"/>
        <v>25382.632000000001</v>
      </c>
      <c r="P178" s="20">
        <f t="shared" si="9"/>
        <v>17081.757381461164</v>
      </c>
      <c r="Q178" s="20">
        <f t="shared" si="10"/>
        <v>8300.8746185388372</v>
      </c>
      <c r="R178" s="22">
        <f t="shared" si="11"/>
        <v>0.32702970356024691</v>
      </c>
    </row>
    <row r="179" spans="1:18">
      <c r="A179" s="18">
        <v>1178</v>
      </c>
      <c r="B179" s="19" t="s">
        <v>160</v>
      </c>
      <c r="C179" s="18">
        <v>2024</v>
      </c>
      <c r="D179" s="18" t="s">
        <v>42</v>
      </c>
      <c r="E179" s="18" t="s">
        <v>85</v>
      </c>
      <c r="F179" s="18" t="s">
        <v>121</v>
      </c>
      <c r="G179" s="18" t="s">
        <v>41</v>
      </c>
      <c r="H179" s="18" t="s">
        <v>90</v>
      </c>
      <c r="I179" s="18" t="s">
        <v>56</v>
      </c>
      <c r="J179" s="18" t="s">
        <v>91</v>
      </c>
      <c r="K179" s="18">
        <v>9</v>
      </c>
      <c r="L179" s="20">
        <v>18541.97</v>
      </c>
      <c r="M179" s="21">
        <v>0.2</v>
      </c>
      <c r="N179" s="21">
        <v>0.58199734531758596</v>
      </c>
      <c r="O179" s="20">
        <f t="shared" si="8"/>
        <v>133502.18400000001</v>
      </c>
      <c r="P179" s="20">
        <f t="shared" si="9"/>
        <v>77697.916682099909</v>
      </c>
      <c r="Q179" s="20">
        <f t="shared" si="10"/>
        <v>55804.267317900099</v>
      </c>
      <c r="R179" s="22">
        <f t="shared" si="11"/>
        <v>0.41800265468241399</v>
      </c>
    </row>
    <row r="180" spans="1:18">
      <c r="A180" s="18">
        <v>1179</v>
      </c>
      <c r="B180" s="19" t="s">
        <v>160</v>
      </c>
      <c r="C180" s="18">
        <v>2024</v>
      </c>
      <c r="D180" s="18" t="s">
        <v>42</v>
      </c>
      <c r="E180" s="18" t="s">
        <v>79</v>
      </c>
      <c r="F180" s="18" t="s">
        <v>100</v>
      </c>
      <c r="G180" s="18" t="s">
        <v>50</v>
      </c>
      <c r="H180" s="18" t="s">
        <v>83</v>
      </c>
      <c r="I180" s="18" t="s">
        <v>46</v>
      </c>
      <c r="J180" s="18" t="s">
        <v>82</v>
      </c>
      <c r="K180" s="18">
        <v>4</v>
      </c>
      <c r="L180" s="20">
        <v>3597.48</v>
      </c>
      <c r="M180" s="21">
        <v>0.05</v>
      </c>
      <c r="N180" s="21">
        <v>0.62243011650868396</v>
      </c>
      <c r="O180" s="20">
        <f t="shared" si="8"/>
        <v>13670.423999999999</v>
      </c>
      <c r="P180" s="20">
        <f t="shared" si="9"/>
        <v>8508.8836030431085</v>
      </c>
      <c r="Q180" s="20">
        <f t="shared" si="10"/>
        <v>5161.5403969568906</v>
      </c>
      <c r="R180" s="22">
        <f t="shared" si="11"/>
        <v>0.37756988349131609</v>
      </c>
    </row>
    <row r="181" spans="1:18">
      <c r="A181" s="18">
        <v>1180</v>
      </c>
      <c r="B181" s="19" t="s">
        <v>161</v>
      </c>
      <c r="C181" s="18">
        <v>2024</v>
      </c>
      <c r="D181" s="18" t="s">
        <v>42</v>
      </c>
      <c r="E181" s="18" t="s">
        <v>88</v>
      </c>
      <c r="F181" s="18" t="s">
        <v>93</v>
      </c>
      <c r="G181" s="18" t="s">
        <v>50</v>
      </c>
      <c r="H181" s="18" t="s">
        <v>97</v>
      </c>
      <c r="I181" s="18" t="s">
        <v>54</v>
      </c>
      <c r="J181" s="18" t="s">
        <v>91</v>
      </c>
      <c r="K181" s="18">
        <v>2</v>
      </c>
      <c r="L181" s="20">
        <v>12088.71</v>
      </c>
      <c r="M181" s="21">
        <v>0.15</v>
      </c>
      <c r="N181" s="21">
        <v>0.62338998973076698</v>
      </c>
      <c r="O181" s="20">
        <f t="shared" si="8"/>
        <v>20550.806999999997</v>
      </c>
      <c r="P181" s="20">
        <f t="shared" si="9"/>
        <v>12811.167364688972</v>
      </c>
      <c r="Q181" s="20">
        <f t="shared" si="10"/>
        <v>7739.6396353110249</v>
      </c>
      <c r="R181" s="22">
        <f t="shared" si="11"/>
        <v>0.37661001026923302</v>
      </c>
    </row>
    <row r="182" spans="1:18">
      <c r="A182" s="18">
        <v>1181</v>
      </c>
      <c r="B182" s="19" t="s">
        <v>161</v>
      </c>
      <c r="C182" s="18">
        <v>2024</v>
      </c>
      <c r="D182" s="18" t="s">
        <v>42</v>
      </c>
      <c r="E182" s="18" t="s">
        <v>98</v>
      </c>
      <c r="F182" s="18" t="s">
        <v>99</v>
      </c>
      <c r="G182" s="18" t="s">
        <v>47</v>
      </c>
      <c r="H182" s="18" t="s">
        <v>81</v>
      </c>
      <c r="I182" s="18" t="s">
        <v>43</v>
      </c>
      <c r="J182" s="18" t="s">
        <v>82</v>
      </c>
      <c r="K182" s="18">
        <v>12</v>
      </c>
      <c r="L182" s="20">
        <v>774.88</v>
      </c>
      <c r="M182" s="21">
        <v>0.15</v>
      </c>
      <c r="N182" s="21">
        <v>0.62739747600785301</v>
      </c>
      <c r="O182" s="20">
        <f t="shared" si="8"/>
        <v>7903.7759999999989</v>
      </c>
      <c r="P182" s="20">
        <f t="shared" si="9"/>
        <v>4958.8091133314438</v>
      </c>
      <c r="Q182" s="20">
        <f t="shared" si="10"/>
        <v>2944.9668866685552</v>
      </c>
      <c r="R182" s="22">
        <f t="shared" si="11"/>
        <v>0.37260252399214699</v>
      </c>
    </row>
    <row r="183" spans="1:18">
      <c r="A183" s="18">
        <v>1182</v>
      </c>
      <c r="B183" s="19" t="s">
        <v>162</v>
      </c>
      <c r="C183" s="18">
        <v>2024</v>
      </c>
      <c r="D183" s="18" t="s">
        <v>42</v>
      </c>
      <c r="E183" s="18" t="s">
        <v>98</v>
      </c>
      <c r="F183" s="18" t="s">
        <v>109</v>
      </c>
      <c r="G183" s="18" t="s">
        <v>50</v>
      </c>
      <c r="H183" s="18" t="s">
        <v>83</v>
      </c>
      <c r="I183" s="18" t="s">
        <v>62</v>
      </c>
      <c r="J183" s="18" t="s">
        <v>91</v>
      </c>
      <c r="K183" s="18">
        <v>12</v>
      </c>
      <c r="L183" s="20">
        <v>3645.77</v>
      </c>
      <c r="M183" s="21">
        <v>0.1</v>
      </c>
      <c r="N183" s="21">
        <v>0.59003566819822395</v>
      </c>
      <c r="O183" s="20">
        <f t="shared" si="8"/>
        <v>39374.315999999999</v>
      </c>
      <c r="P183" s="20">
        <f t="shared" si="9"/>
        <v>23232.250850908018</v>
      </c>
      <c r="Q183" s="20">
        <f t="shared" si="10"/>
        <v>16142.065149091981</v>
      </c>
      <c r="R183" s="22">
        <f t="shared" si="11"/>
        <v>0.40996433180177611</v>
      </c>
    </row>
    <row r="184" spans="1:18">
      <c r="A184" s="18">
        <v>1183</v>
      </c>
      <c r="B184" s="19" t="s">
        <v>162</v>
      </c>
      <c r="C184" s="18">
        <v>2024</v>
      </c>
      <c r="D184" s="18" t="s">
        <v>42</v>
      </c>
      <c r="E184" s="18" t="s">
        <v>88</v>
      </c>
      <c r="F184" s="18" t="s">
        <v>110</v>
      </c>
      <c r="G184" s="18" t="s">
        <v>50</v>
      </c>
      <c r="H184" s="18" t="s">
        <v>83</v>
      </c>
      <c r="I184" s="18" t="s">
        <v>58</v>
      </c>
      <c r="J184" s="18" t="s">
        <v>82</v>
      </c>
      <c r="K184" s="18">
        <v>11</v>
      </c>
      <c r="L184" s="20">
        <v>3663.65</v>
      </c>
      <c r="M184" s="21">
        <v>0.05</v>
      </c>
      <c r="N184" s="21">
        <v>0.68356795809779403</v>
      </c>
      <c r="O184" s="20">
        <f t="shared" si="8"/>
        <v>38285.142500000002</v>
      </c>
      <c r="P184" s="20">
        <f t="shared" si="9"/>
        <v>26170.496684208076</v>
      </c>
      <c r="Q184" s="20">
        <f t="shared" si="10"/>
        <v>12114.645815791926</v>
      </c>
      <c r="R184" s="22">
        <f t="shared" si="11"/>
        <v>0.31643204190220592</v>
      </c>
    </row>
    <row r="185" spans="1:18">
      <c r="A185" s="18">
        <v>1184</v>
      </c>
      <c r="B185" s="19" t="s">
        <v>163</v>
      </c>
      <c r="C185" s="18">
        <v>2024</v>
      </c>
      <c r="D185" s="18" t="s">
        <v>42</v>
      </c>
      <c r="E185" s="18" t="s">
        <v>98</v>
      </c>
      <c r="F185" s="18" t="s">
        <v>109</v>
      </c>
      <c r="G185" s="18" t="s">
        <v>44</v>
      </c>
      <c r="H185" s="18" t="s">
        <v>95</v>
      </c>
      <c r="I185" s="18" t="s">
        <v>46</v>
      </c>
      <c r="J185" s="18" t="s">
        <v>91</v>
      </c>
      <c r="K185" s="18">
        <v>9</v>
      </c>
      <c r="L185" s="20">
        <v>4375.91</v>
      </c>
      <c r="M185" s="21">
        <v>0</v>
      </c>
      <c r="N185" s="21">
        <v>0.708413134722228</v>
      </c>
      <c r="O185" s="20">
        <f t="shared" si="8"/>
        <v>39383.19</v>
      </c>
      <c r="P185" s="20">
        <f t="shared" si="9"/>
        <v>27899.569083261104</v>
      </c>
      <c r="Q185" s="20">
        <f t="shared" si="10"/>
        <v>11483.620916738899</v>
      </c>
      <c r="R185" s="22">
        <f t="shared" si="11"/>
        <v>0.291586865277772</v>
      </c>
    </row>
    <row r="186" spans="1:18">
      <c r="A186" s="18">
        <v>1185</v>
      </c>
      <c r="B186" s="19" t="s">
        <v>163</v>
      </c>
      <c r="C186" s="18">
        <v>2024</v>
      </c>
      <c r="D186" s="18" t="s">
        <v>42</v>
      </c>
      <c r="E186" s="18" t="s">
        <v>88</v>
      </c>
      <c r="F186" s="18" t="s">
        <v>89</v>
      </c>
      <c r="G186" s="18" t="s">
        <v>41</v>
      </c>
      <c r="H186" s="18" t="s">
        <v>106</v>
      </c>
      <c r="I186" s="18" t="s">
        <v>60</v>
      </c>
      <c r="J186" s="18" t="s">
        <v>102</v>
      </c>
      <c r="K186" s="18">
        <v>6</v>
      </c>
      <c r="L186" s="20">
        <v>2491.85</v>
      </c>
      <c r="M186" s="21">
        <v>0.15</v>
      </c>
      <c r="N186" s="21">
        <v>0.57595424594275402</v>
      </c>
      <c r="O186" s="20">
        <f t="shared" si="8"/>
        <v>12708.434999999998</v>
      </c>
      <c r="P186" s="20">
        <f t="shared" si="9"/>
        <v>7319.4770975375022</v>
      </c>
      <c r="Q186" s="20">
        <f t="shared" si="10"/>
        <v>5388.9579024624954</v>
      </c>
      <c r="R186" s="22">
        <f t="shared" si="11"/>
        <v>0.42404575405724593</v>
      </c>
    </row>
    <row r="187" spans="1:18">
      <c r="A187" s="18">
        <v>1186</v>
      </c>
      <c r="B187" s="19" t="s">
        <v>164</v>
      </c>
      <c r="C187" s="18">
        <v>2024</v>
      </c>
      <c r="D187" s="18" t="s">
        <v>42</v>
      </c>
      <c r="E187" s="18" t="s">
        <v>79</v>
      </c>
      <c r="F187" s="18" t="s">
        <v>105</v>
      </c>
      <c r="G187" s="18" t="s">
        <v>50</v>
      </c>
      <c r="H187" s="18" t="s">
        <v>87</v>
      </c>
      <c r="I187" s="18" t="s">
        <v>58</v>
      </c>
      <c r="J187" s="18" t="s">
        <v>102</v>
      </c>
      <c r="K187" s="18">
        <v>7</v>
      </c>
      <c r="L187" s="20">
        <v>9755.7099999999991</v>
      </c>
      <c r="M187" s="21">
        <v>0.15</v>
      </c>
      <c r="N187" s="21">
        <v>0.56475014258224798</v>
      </c>
      <c r="O187" s="20">
        <f t="shared" si="8"/>
        <v>58046.474499999997</v>
      </c>
      <c r="P187" s="20">
        <f t="shared" si="9"/>
        <v>32781.754750271823</v>
      </c>
      <c r="Q187" s="20">
        <f t="shared" si="10"/>
        <v>25264.719749728174</v>
      </c>
      <c r="R187" s="22">
        <f t="shared" si="11"/>
        <v>0.43524985741775196</v>
      </c>
    </row>
    <row r="188" spans="1:18">
      <c r="A188" s="18">
        <v>1187</v>
      </c>
      <c r="B188" s="19" t="s">
        <v>164</v>
      </c>
      <c r="C188" s="18">
        <v>2024</v>
      </c>
      <c r="D188" s="18" t="s">
        <v>42</v>
      </c>
      <c r="E188" s="18" t="s">
        <v>98</v>
      </c>
      <c r="F188" s="18" t="s">
        <v>99</v>
      </c>
      <c r="G188" s="18" t="s">
        <v>41</v>
      </c>
      <c r="H188" s="18" t="s">
        <v>112</v>
      </c>
      <c r="I188" s="18" t="s">
        <v>58</v>
      </c>
      <c r="J188" s="18" t="s">
        <v>102</v>
      </c>
      <c r="K188" s="18">
        <v>9</v>
      </c>
      <c r="L188" s="20">
        <v>5906.71</v>
      </c>
      <c r="M188" s="21">
        <v>0.15</v>
      </c>
      <c r="N188" s="21">
        <v>0.67795878587333303</v>
      </c>
      <c r="O188" s="20">
        <f t="shared" si="8"/>
        <v>45186.3315</v>
      </c>
      <c r="P188" s="20">
        <f t="shared" si="9"/>
        <v>30634.470441809943</v>
      </c>
      <c r="Q188" s="20">
        <f t="shared" si="10"/>
        <v>14551.861058190058</v>
      </c>
      <c r="R188" s="22">
        <f t="shared" si="11"/>
        <v>0.32204121412666697</v>
      </c>
    </row>
    <row r="189" spans="1:18">
      <c r="A189" s="18">
        <v>1188</v>
      </c>
      <c r="B189" s="19" t="s">
        <v>165</v>
      </c>
      <c r="C189" s="18">
        <v>2024</v>
      </c>
      <c r="D189" s="18" t="s">
        <v>42</v>
      </c>
      <c r="E189" s="18" t="s">
        <v>88</v>
      </c>
      <c r="F189" s="18" t="s">
        <v>89</v>
      </c>
      <c r="G189" s="18" t="s">
        <v>41</v>
      </c>
      <c r="H189" s="18" t="s">
        <v>90</v>
      </c>
      <c r="I189" s="18" t="s">
        <v>60</v>
      </c>
      <c r="J189" s="18" t="s">
        <v>82</v>
      </c>
      <c r="K189" s="18">
        <v>5</v>
      </c>
      <c r="L189" s="20">
        <v>17396.38</v>
      </c>
      <c r="M189" s="21">
        <v>0.05</v>
      </c>
      <c r="N189" s="21">
        <v>0.73694756732781597</v>
      </c>
      <c r="O189" s="20">
        <f t="shared" si="8"/>
        <v>82632.805000000008</v>
      </c>
      <c r="P189" s="20">
        <f t="shared" si="9"/>
        <v>60896.044626223797</v>
      </c>
      <c r="Q189" s="20">
        <f t="shared" si="10"/>
        <v>21736.760373776211</v>
      </c>
      <c r="R189" s="22">
        <f t="shared" si="11"/>
        <v>0.26305243267218398</v>
      </c>
    </row>
    <row r="190" spans="1:18">
      <c r="A190" s="18">
        <v>1189</v>
      </c>
      <c r="B190" s="19" t="s">
        <v>165</v>
      </c>
      <c r="C190" s="18">
        <v>2024</v>
      </c>
      <c r="D190" s="18" t="s">
        <v>42</v>
      </c>
      <c r="E190" s="18" t="s">
        <v>88</v>
      </c>
      <c r="F190" s="18" t="s">
        <v>89</v>
      </c>
      <c r="G190" s="18" t="s">
        <v>47</v>
      </c>
      <c r="H190" s="18" t="s">
        <v>81</v>
      </c>
      <c r="I190" s="18" t="s">
        <v>52</v>
      </c>
      <c r="J190" s="18" t="s">
        <v>82</v>
      </c>
      <c r="K190" s="18">
        <v>11</v>
      </c>
      <c r="L190" s="20">
        <v>836.51</v>
      </c>
      <c r="M190" s="21">
        <v>0.05</v>
      </c>
      <c r="N190" s="21">
        <v>0.57503405902538096</v>
      </c>
      <c r="O190" s="20">
        <f t="shared" si="8"/>
        <v>8741.5295000000006</v>
      </c>
      <c r="P190" s="20">
        <f t="shared" si="9"/>
        <v>5026.6771904751095</v>
      </c>
      <c r="Q190" s="20">
        <f t="shared" si="10"/>
        <v>3714.8523095248911</v>
      </c>
      <c r="R190" s="22">
        <f t="shared" si="11"/>
        <v>0.42496594097461904</v>
      </c>
    </row>
    <row r="191" spans="1:18">
      <c r="A191" s="18">
        <v>1190</v>
      </c>
      <c r="B191" s="19" t="s">
        <v>165</v>
      </c>
      <c r="C191" s="18">
        <v>2024</v>
      </c>
      <c r="D191" s="18" t="s">
        <v>42</v>
      </c>
      <c r="E191" s="18" t="s">
        <v>98</v>
      </c>
      <c r="F191" s="18" t="s">
        <v>99</v>
      </c>
      <c r="G191" s="18" t="s">
        <v>41</v>
      </c>
      <c r="H191" s="18" t="s">
        <v>101</v>
      </c>
      <c r="I191" s="18" t="s">
        <v>62</v>
      </c>
      <c r="J191" s="18" t="s">
        <v>102</v>
      </c>
      <c r="K191" s="18">
        <v>3</v>
      </c>
      <c r="L191" s="20">
        <v>53191.6</v>
      </c>
      <c r="M191" s="21">
        <v>0.15</v>
      </c>
      <c r="N191" s="21">
        <v>0.69412655368745502</v>
      </c>
      <c r="O191" s="20">
        <f t="shared" si="8"/>
        <v>135638.57999999999</v>
      </c>
      <c r="P191" s="20">
        <f t="shared" si="9"/>
        <v>94150.340082460156</v>
      </c>
      <c r="Q191" s="20">
        <f t="shared" si="10"/>
        <v>41488.239917539831</v>
      </c>
      <c r="R191" s="22">
        <f t="shared" si="11"/>
        <v>0.30587344631254498</v>
      </c>
    </row>
    <row r="192" spans="1:18">
      <c r="A192" s="18">
        <v>1191</v>
      </c>
      <c r="B192" s="19" t="s">
        <v>166</v>
      </c>
      <c r="C192" s="18">
        <v>2024</v>
      </c>
      <c r="D192" s="18" t="s">
        <v>42</v>
      </c>
      <c r="E192" s="18" t="s">
        <v>79</v>
      </c>
      <c r="F192" s="18" t="s">
        <v>100</v>
      </c>
      <c r="G192" s="18" t="s">
        <v>41</v>
      </c>
      <c r="H192" s="18" t="s">
        <v>90</v>
      </c>
      <c r="I192" s="18" t="s">
        <v>62</v>
      </c>
      <c r="J192" s="18" t="s">
        <v>91</v>
      </c>
      <c r="K192" s="18">
        <v>11</v>
      </c>
      <c r="L192" s="20">
        <v>17479.46</v>
      </c>
      <c r="M192" s="21">
        <v>0.15</v>
      </c>
      <c r="N192" s="21">
        <v>0.63331735673264899</v>
      </c>
      <c r="O192" s="20">
        <f t="shared" si="8"/>
        <v>163432.951</v>
      </c>
      <c r="P192" s="20">
        <f t="shared" si="9"/>
        <v>103504.92453033655</v>
      </c>
      <c r="Q192" s="20">
        <f t="shared" si="10"/>
        <v>59928.026469663455</v>
      </c>
      <c r="R192" s="22">
        <f t="shared" si="11"/>
        <v>0.36668264326735101</v>
      </c>
    </row>
    <row r="193" spans="1:18">
      <c r="A193" s="18">
        <v>1192</v>
      </c>
      <c r="B193" s="19" t="s">
        <v>166</v>
      </c>
      <c r="C193" s="18">
        <v>2024</v>
      </c>
      <c r="D193" s="18" t="s">
        <v>42</v>
      </c>
      <c r="E193" s="18" t="s">
        <v>79</v>
      </c>
      <c r="F193" s="18" t="s">
        <v>105</v>
      </c>
      <c r="G193" s="18" t="s">
        <v>47</v>
      </c>
      <c r="H193" s="18" t="s">
        <v>103</v>
      </c>
      <c r="I193" s="18" t="s">
        <v>52</v>
      </c>
      <c r="J193" s="18" t="s">
        <v>91</v>
      </c>
      <c r="K193" s="18">
        <v>4</v>
      </c>
      <c r="L193" s="20">
        <v>3297.5</v>
      </c>
      <c r="M193" s="21">
        <v>0.2</v>
      </c>
      <c r="N193" s="21">
        <v>0.631218505348912</v>
      </c>
      <c r="O193" s="20">
        <f t="shared" si="8"/>
        <v>10552</v>
      </c>
      <c r="P193" s="20">
        <f t="shared" si="9"/>
        <v>6660.6176684417196</v>
      </c>
      <c r="Q193" s="20">
        <f t="shared" si="10"/>
        <v>3891.3823315582804</v>
      </c>
      <c r="R193" s="22">
        <f t="shared" si="11"/>
        <v>0.368781494651088</v>
      </c>
    </row>
    <row r="194" spans="1:18">
      <c r="A194" s="18">
        <v>1193</v>
      </c>
      <c r="B194" s="19" t="s">
        <v>166</v>
      </c>
      <c r="C194" s="18">
        <v>2024</v>
      </c>
      <c r="D194" s="18" t="s">
        <v>42</v>
      </c>
      <c r="E194" s="18" t="s">
        <v>85</v>
      </c>
      <c r="F194" s="18" t="s">
        <v>86</v>
      </c>
      <c r="G194" s="18" t="s">
        <v>41</v>
      </c>
      <c r="H194" s="18" t="s">
        <v>101</v>
      </c>
      <c r="I194" s="18" t="s">
        <v>58</v>
      </c>
      <c r="J194" s="18" t="s">
        <v>91</v>
      </c>
      <c r="K194" s="18">
        <v>8</v>
      </c>
      <c r="L194" s="20">
        <v>54804.43</v>
      </c>
      <c r="M194" s="21">
        <v>0.05</v>
      </c>
      <c r="N194" s="21">
        <v>0.67133205256412698</v>
      </c>
      <c r="O194" s="20">
        <f t="shared" ref="O194:O257" si="12">K194*L194*(1-M194)</f>
        <v>416513.66800000001</v>
      </c>
      <c r="P194" s="20">
        <f t="shared" ref="P194:P257" si="13">O194*N194</f>
        <v>279618.97565945331</v>
      </c>
      <c r="Q194" s="20">
        <f t="shared" ref="Q194:Q257" si="14">O194-P194</f>
        <v>136894.6923405467</v>
      </c>
      <c r="R194" s="22">
        <f t="shared" ref="R194:R257" si="15">IF(O194=0,0,Q194/O194)</f>
        <v>0.32866794743587308</v>
      </c>
    </row>
    <row r="195" spans="1:18">
      <c r="A195" s="18">
        <v>1194</v>
      </c>
      <c r="B195" s="19" t="s">
        <v>166</v>
      </c>
      <c r="C195" s="18">
        <v>2024</v>
      </c>
      <c r="D195" s="18" t="s">
        <v>42</v>
      </c>
      <c r="E195" s="18" t="s">
        <v>98</v>
      </c>
      <c r="F195" s="18" t="s">
        <v>99</v>
      </c>
      <c r="G195" s="18" t="s">
        <v>47</v>
      </c>
      <c r="H195" s="18" t="s">
        <v>103</v>
      </c>
      <c r="I195" s="18" t="s">
        <v>54</v>
      </c>
      <c r="J195" s="18" t="s">
        <v>91</v>
      </c>
      <c r="K195" s="18">
        <v>3</v>
      </c>
      <c r="L195" s="20">
        <v>3283.41</v>
      </c>
      <c r="M195" s="21">
        <v>0.15</v>
      </c>
      <c r="N195" s="21">
        <v>0.66233024314967404</v>
      </c>
      <c r="O195" s="20">
        <f t="shared" si="12"/>
        <v>8372.6954999999998</v>
      </c>
      <c r="P195" s="20">
        <f t="shared" si="13"/>
        <v>5545.4894463331811</v>
      </c>
      <c r="Q195" s="20">
        <f t="shared" si="14"/>
        <v>2827.2060536668187</v>
      </c>
      <c r="R195" s="22">
        <f t="shared" si="15"/>
        <v>0.33766975685032602</v>
      </c>
    </row>
    <row r="196" spans="1:18">
      <c r="A196" s="18">
        <v>1195</v>
      </c>
      <c r="B196" s="19" t="s">
        <v>167</v>
      </c>
      <c r="C196" s="18">
        <v>2024</v>
      </c>
      <c r="D196" s="18" t="s">
        <v>42</v>
      </c>
      <c r="E196" s="18" t="s">
        <v>88</v>
      </c>
      <c r="F196" s="18" t="s">
        <v>89</v>
      </c>
      <c r="G196" s="18" t="s">
        <v>41</v>
      </c>
      <c r="H196" s="18" t="s">
        <v>106</v>
      </c>
      <c r="I196" s="18" t="s">
        <v>58</v>
      </c>
      <c r="J196" s="18" t="s">
        <v>82</v>
      </c>
      <c r="K196" s="18">
        <v>3</v>
      </c>
      <c r="L196" s="20">
        <v>2399.1999999999998</v>
      </c>
      <c r="M196" s="21">
        <v>0.05</v>
      </c>
      <c r="N196" s="21">
        <v>0.73907697854064403</v>
      </c>
      <c r="O196" s="20">
        <f t="shared" si="12"/>
        <v>6837.7199999999993</v>
      </c>
      <c r="P196" s="20">
        <f t="shared" si="13"/>
        <v>5053.6014377069323</v>
      </c>
      <c r="Q196" s="20">
        <f t="shared" si="14"/>
        <v>1784.118562293067</v>
      </c>
      <c r="R196" s="22">
        <f t="shared" si="15"/>
        <v>0.26092302145935592</v>
      </c>
    </row>
    <row r="197" spans="1:18">
      <c r="A197" s="18">
        <v>1196</v>
      </c>
      <c r="B197" s="19" t="s">
        <v>167</v>
      </c>
      <c r="C197" s="18">
        <v>2024</v>
      </c>
      <c r="D197" s="18" t="s">
        <v>42</v>
      </c>
      <c r="E197" s="18" t="s">
        <v>85</v>
      </c>
      <c r="F197" s="18" t="s">
        <v>86</v>
      </c>
      <c r="G197" s="18" t="s">
        <v>44</v>
      </c>
      <c r="H197" s="18" t="s">
        <v>114</v>
      </c>
      <c r="I197" s="18" t="s">
        <v>62</v>
      </c>
      <c r="J197" s="18" t="s">
        <v>102</v>
      </c>
      <c r="K197" s="18">
        <v>6</v>
      </c>
      <c r="L197" s="20">
        <v>8720.85</v>
      </c>
      <c r="M197" s="21">
        <v>0</v>
      </c>
      <c r="N197" s="21">
        <v>0.64965310841198198</v>
      </c>
      <c r="O197" s="20">
        <f t="shared" si="12"/>
        <v>52325.100000000006</v>
      </c>
      <c r="P197" s="20">
        <f t="shared" si="13"/>
        <v>33993.163862967805</v>
      </c>
      <c r="Q197" s="20">
        <f t="shared" si="14"/>
        <v>18331.9361370322</v>
      </c>
      <c r="R197" s="22">
        <f t="shared" si="15"/>
        <v>0.35034689158801796</v>
      </c>
    </row>
    <row r="198" spans="1:18">
      <c r="A198" s="18">
        <v>1197</v>
      </c>
      <c r="B198" s="19" t="s">
        <v>167</v>
      </c>
      <c r="C198" s="18">
        <v>2024</v>
      </c>
      <c r="D198" s="18" t="s">
        <v>42</v>
      </c>
      <c r="E198" s="18" t="s">
        <v>85</v>
      </c>
      <c r="F198" s="18" t="s">
        <v>121</v>
      </c>
      <c r="G198" s="18" t="s">
        <v>47</v>
      </c>
      <c r="H198" s="18" t="s">
        <v>107</v>
      </c>
      <c r="I198" s="18" t="s">
        <v>40</v>
      </c>
      <c r="J198" s="18" t="s">
        <v>82</v>
      </c>
      <c r="K198" s="18">
        <v>7</v>
      </c>
      <c r="L198" s="20">
        <v>2201.1999999999998</v>
      </c>
      <c r="M198" s="21">
        <v>0</v>
      </c>
      <c r="N198" s="21">
        <v>0.59302888450524804</v>
      </c>
      <c r="O198" s="20">
        <f t="shared" si="12"/>
        <v>15408.399999999998</v>
      </c>
      <c r="P198" s="20">
        <f t="shared" si="13"/>
        <v>9137.6262640106634</v>
      </c>
      <c r="Q198" s="20">
        <f t="shared" si="14"/>
        <v>6270.7737359893345</v>
      </c>
      <c r="R198" s="22">
        <f t="shared" si="15"/>
        <v>0.4069711154947519</v>
      </c>
    </row>
    <row r="199" spans="1:18">
      <c r="A199" s="18">
        <v>1198</v>
      </c>
      <c r="B199" s="19" t="s">
        <v>167</v>
      </c>
      <c r="C199" s="18">
        <v>2024</v>
      </c>
      <c r="D199" s="18" t="s">
        <v>42</v>
      </c>
      <c r="E199" s="18" t="s">
        <v>98</v>
      </c>
      <c r="F199" s="18" t="s">
        <v>117</v>
      </c>
      <c r="G199" s="18" t="s">
        <v>41</v>
      </c>
      <c r="H199" s="18" t="s">
        <v>106</v>
      </c>
      <c r="I199" s="18" t="s">
        <v>58</v>
      </c>
      <c r="J199" s="18" t="s">
        <v>102</v>
      </c>
      <c r="K199" s="18">
        <v>11</v>
      </c>
      <c r="L199" s="20">
        <v>2543.13</v>
      </c>
      <c r="M199" s="21">
        <v>0.05</v>
      </c>
      <c r="N199" s="21">
        <v>0.65733814985778505</v>
      </c>
      <c r="O199" s="20">
        <f t="shared" si="12"/>
        <v>26575.708500000001</v>
      </c>
      <c r="P199" s="20">
        <f t="shared" si="13"/>
        <v>17469.227056549811</v>
      </c>
      <c r="Q199" s="20">
        <f t="shared" si="14"/>
        <v>9106.4814434501895</v>
      </c>
      <c r="R199" s="22">
        <f t="shared" si="15"/>
        <v>0.34266185014221501</v>
      </c>
    </row>
    <row r="200" spans="1:18">
      <c r="A200" s="18">
        <v>1199</v>
      </c>
      <c r="B200" s="19" t="s">
        <v>168</v>
      </c>
      <c r="C200" s="18">
        <v>2024</v>
      </c>
      <c r="D200" s="18" t="s">
        <v>42</v>
      </c>
      <c r="E200" s="18" t="s">
        <v>85</v>
      </c>
      <c r="F200" s="18" t="s">
        <v>86</v>
      </c>
      <c r="G200" s="18" t="s">
        <v>47</v>
      </c>
      <c r="H200" s="18" t="s">
        <v>103</v>
      </c>
      <c r="I200" s="18" t="s">
        <v>54</v>
      </c>
      <c r="J200" s="18" t="s">
        <v>91</v>
      </c>
      <c r="K200" s="18">
        <v>6</v>
      </c>
      <c r="L200" s="20">
        <v>3054.48</v>
      </c>
      <c r="M200" s="21">
        <v>0</v>
      </c>
      <c r="N200" s="21">
        <v>0.66405632877620602</v>
      </c>
      <c r="O200" s="20">
        <f t="shared" si="12"/>
        <v>18326.88</v>
      </c>
      <c r="P200" s="20">
        <f t="shared" si="13"/>
        <v>12170.080650722075</v>
      </c>
      <c r="Q200" s="20">
        <f t="shared" si="14"/>
        <v>6156.799349277926</v>
      </c>
      <c r="R200" s="22">
        <f t="shared" si="15"/>
        <v>0.33594367122379398</v>
      </c>
    </row>
    <row r="201" spans="1:18">
      <c r="A201" s="18">
        <v>1200</v>
      </c>
      <c r="B201" s="19" t="s">
        <v>168</v>
      </c>
      <c r="C201" s="18">
        <v>2024</v>
      </c>
      <c r="D201" s="18" t="s">
        <v>42</v>
      </c>
      <c r="E201" s="18" t="s">
        <v>88</v>
      </c>
      <c r="F201" s="18" t="s">
        <v>89</v>
      </c>
      <c r="G201" s="18" t="s">
        <v>47</v>
      </c>
      <c r="H201" s="18" t="s">
        <v>81</v>
      </c>
      <c r="I201" s="18" t="s">
        <v>56</v>
      </c>
      <c r="J201" s="18" t="s">
        <v>102</v>
      </c>
      <c r="K201" s="18">
        <v>8</v>
      </c>
      <c r="L201" s="20">
        <v>821.15</v>
      </c>
      <c r="M201" s="21">
        <v>0.05</v>
      </c>
      <c r="N201" s="21">
        <v>0.71506226359172298</v>
      </c>
      <c r="O201" s="20">
        <f t="shared" si="12"/>
        <v>6240.74</v>
      </c>
      <c r="P201" s="20">
        <f t="shared" si="13"/>
        <v>4462.5176708874087</v>
      </c>
      <c r="Q201" s="20">
        <f t="shared" si="14"/>
        <v>1778.2223291125911</v>
      </c>
      <c r="R201" s="22">
        <f t="shared" si="15"/>
        <v>0.28493773640827708</v>
      </c>
    </row>
    <row r="202" spans="1:18">
      <c r="A202" s="18">
        <v>1201</v>
      </c>
      <c r="B202" s="19" t="s">
        <v>169</v>
      </c>
      <c r="C202" s="18">
        <v>2024</v>
      </c>
      <c r="D202" s="18" t="s">
        <v>42</v>
      </c>
      <c r="E202" s="18" t="s">
        <v>88</v>
      </c>
      <c r="F202" s="18" t="s">
        <v>110</v>
      </c>
      <c r="G202" s="18" t="s">
        <v>50</v>
      </c>
      <c r="H202" s="18" t="s">
        <v>97</v>
      </c>
      <c r="I202" s="18" t="s">
        <v>54</v>
      </c>
      <c r="J202" s="18" t="s">
        <v>102</v>
      </c>
      <c r="K202" s="18">
        <v>6</v>
      </c>
      <c r="L202" s="20">
        <v>12305.96</v>
      </c>
      <c r="M202" s="21">
        <v>0</v>
      </c>
      <c r="N202" s="21">
        <v>0.67049259023237595</v>
      </c>
      <c r="O202" s="20">
        <f t="shared" si="12"/>
        <v>73835.759999999995</v>
      </c>
      <c r="P202" s="20">
        <f t="shared" si="13"/>
        <v>49506.329974176049</v>
      </c>
      <c r="Q202" s="20">
        <f t="shared" si="14"/>
        <v>24329.430025823945</v>
      </c>
      <c r="R202" s="22">
        <f t="shared" si="15"/>
        <v>0.3295074097676241</v>
      </c>
    </row>
    <row r="203" spans="1:18">
      <c r="A203" s="18">
        <v>1202</v>
      </c>
      <c r="B203" s="19" t="s">
        <v>169</v>
      </c>
      <c r="C203" s="18">
        <v>2024</v>
      </c>
      <c r="D203" s="18" t="s">
        <v>42</v>
      </c>
      <c r="E203" s="18" t="s">
        <v>85</v>
      </c>
      <c r="F203" s="18" t="s">
        <v>94</v>
      </c>
      <c r="G203" s="18" t="s">
        <v>41</v>
      </c>
      <c r="H203" s="18" t="s">
        <v>90</v>
      </c>
      <c r="I203" s="18" t="s">
        <v>40</v>
      </c>
      <c r="J203" s="18" t="s">
        <v>82</v>
      </c>
      <c r="K203" s="18">
        <v>12</v>
      </c>
      <c r="L203" s="20">
        <v>17699.47</v>
      </c>
      <c r="M203" s="21">
        <v>0.1</v>
      </c>
      <c r="N203" s="21">
        <v>0.65386654206661698</v>
      </c>
      <c r="O203" s="20">
        <f t="shared" si="12"/>
        <v>191154.27600000001</v>
      </c>
      <c r="P203" s="20">
        <f t="shared" si="13"/>
        <v>124989.38544936772</v>
      </c>
      <c r="Q203" s="20">
        <f t="shared" si="14"/>
        <v>66164.890550632292</v>
      </c>
      <c r="R203" s="22">
        <f t="shared" si="15"/>
        <v>0.34613345793338302</v>
      </c>
    </row>
    <row r="204" spans="1:18">
      <c r="A204" s="18">
        <v>1203</v>
      </c>
      <c r="B204" s="19" t="s">
        <v>170</v>
      </c>
      <c r="C204" s="18">
        <v>2024</v>
      </c>
      <c r="D204" s="18" t="s">
        <v>45</v>
      </c>
      <c r="E204" s="18" t="s">
        <v>88</v>
      </c>
      <c r="F204" s="18" t="s">
        <v>89</v>
      </c>
      <c r="G204" s="18" t="s">
        <v>47</v>
      </c>
      <c r="H204" s="18" t="s">
        <v>81</v>
      </c>
      <c r="I204" s="18" t="s">
        <v>56</v>
      </c>
      <c r="J204" s="18" t="s">
        <v>102</v>
      </c>
      <c r="K204" s="18">
        <v>12</v>
      </c>
      <c r="L204" s="20">
        <v>827.41</v>
      </c>
      <c r="M204" s="21">
        <v>0.15</v>
      </c>
      <c r="N204" s="21">
        <v>0.617274690430336</v>
      </c>
      <c r="O204" s="20">
        <f t="shared" si="12"/>
        <v>8439.5820000000003</v>
      </c>
      <c r="P204" s="20">
        <f t="shared" si="13"/>
        <v>5209.5403664114365</v>
      </c>
      <c r="Q204" s="20">
        <f t="shared" si="14"/>
        <v>3230.0416335885639</v>
      </c>
      <c r="R204" s="22">
        <f t="shared" si="15"/>
        <v>0.38272530956966394</v>
      </c>
    </row>
    <row r="205" spans="1:18">
      <c r="A205" s="18">
        <v>1204</v>
      </c>
      <c r="B205" s="19" t="s">
        <v>170</v>
      </c>
      <c r="C205" s="18">
        <v>2024</v>
      </c>
      <c r="D205" s="18" t="s">
        <v>45</v>
      </c>
      <c r="E205" s="18" t="s">
        <v>85</v>
      </c>
      <c r="F205" s="18" t="s">
        <v>94</v>
      </c>
      <c r="G205" s="18" t="s">
        <v>47</v>
      </c>
      <c r="H205" s="18" t="s">
        <v>107</v>
      </c>
      <c r="I205" s="18" t="s">
        <v>40</v>
      </c>
      <c r="J205" s="18" t="s">
        <v>91</v>
      </c>
      <c r="K205" s="18">
        <v>6</v>
      </c>
      <c r="L205" s="20">
        <v>2238.2399999999998</v>
      </c>
      <c r="M205" s="21">
        <v>0.1</v>
      </c>
      <c r="N205" s="21">
        <v>0.666740428369757</v>
      </c>
      <c r="O205" s="20">
        <f t="shared" si="12"/>
        <v>12086.495999999999</v>
      </c>
      <c r="P205" s="20">
        <f t="shared" si="13"/>
        <v>8058.555520529354</v>
      </c>
      <c r="Q205" s="20">
        <f t="shared" si="14"/>
        <v>4027.9404794706452</v>
      </c>
      <c r="R205" s="22">
        <f t="shared" si="15"/>
        <v>0.333259571630243</v>
      </c>
    </row>
    <row r="206" spans="1:18">
      <c r="A206" s="18">
        <v>1205</v>
      </c>
      <c r="B206" s="19" t="s">
        <v>170</v>
      </c>
      <c r="C206" s="18">
        <v>2024</v>
      </c>
      <c r="D206" s="18" t="s">
        <v>45</v>
      </c>
      <c r="E206" s="18" t="s">
        <v>79</v>
      </c>
      <c r="F206" s="18" t="s">
        <v>80</v>
      </c>
      <c r="G206" s="18" t="s">
        <v>50</v>
      </c>
      <c r="H206" s="18" t="s">
        <v>97</v>
      </c>
      <c r="I206" s="18" t="s">
        <v>62</v>
      </c>
      <c r="J206" s="18" t="s">
        <v>102</v>
      </c>
      <c r="K206" s="18">
        <v>4</v>
      </c>
      <c r="L206" s="20">
        <v>12265.68</v>
      </c>
      <c r="M206" s="21">
        <v>0.15</v>
      </c>
      <c r="N206" s="21">
        <v>0.64608975674288305</v>
      </c>
      <c r="O206" s="20">
        <f t="shared" si="12"/>
        <v>41703.311999999998</v>
      </c>
      <c r="P206" s="20">
        <f t="shared" si="13"/>
        <v>26944.082705452554</v>
      </c>
      <c r="Q206" s="20">
        <f t="shared" si="14"/>
        <v>14759.229294547444</v>
      </c>
      <c r="R206" s="22">
        <f t="shared" si="15"/>
        <v>0.35391024325711695</v>
      </c>
    </row>
    <row r="207" spans="1:18">
      <c r="A207" s="18">
        <v>1206</v>
      </c>
      <c r="B207" s="19" t="s">
        <v>171</v>
      </c>
      <c r="C207" s="18">
        <v>2024</v>
      </c>
      <c r="D207" s="18" t="s">
        <v>45</v>
      </c>
      <c r="E207" s="18" t="s">
        <v>88</v>
      </c>
      <c r="F207" s="18" t="s">
        <v>93</v>
      </c>
      <c r="G207" s="18" t="s">
        <v>44</v>
      </c>
      <c r="H207" s="18" t="s">
        <v>119</v>
      </c>
      <c r="I207" s="18" t="s">
        <v>62</v>
      </c>
      <c r="J207" s="18" t="s">
        <v>102</v>
      </c>
      <c r="K207" s="18">
        <v>2</v>
      </c>
      <c r="L207" s="20">
        <v>6783.55</v>
      </c>
      <c r="M207" s="21">
        <v>0.1</v>
      </c>
      <c r="N207" s="21">
        <v>0.61273849668917102</v>
      </c>
      <c r="O207" s="20">
        <f t="shared" si="12"/>
        <v>12210.390000000001</v>
      </c>
      <c r="P207" s="20">
        <f t="shared" si="13"/>
        <v>7481.7760125884879</v>
      </c>
      <c r="Q207" s="20">
        <f t="shared" si="14"/>
        <v>4728.6139874115133</v>
      </c>
      <c r="R207" s="22">
        <f t="shared" si="15"/>
        <v>0.38726150331082898</v>
      </c>
    </row>
    <row r="208" spans="1:18">
      <c r="A208" s="18">
        <v>1207</v>
      </c>
      <c r="B208" s="19" t="s">
        <v>171</v>
      </c>
      <c r="C208" s="18">
        <v>2024</v>
      </c>
      <c r="D208" s="18" t="s">
        <v>45</v>
      </c>
      <c r="E208" s="18" t="s">
        <v>88</v>
      </c>
      <c r="F208" s="18" t="s">
        <v>89</v>
      </c>
      <c r="G208" s="18" t="s">
        <v>44</v>
      </c>
      <c r="H208" s="18" t="s">
        <v>114</v>
      </c>
      <c r="I208" s="18" t="s">
        <v>60</v>
      </c>
      <c r="J208" s="18" t="s">
        <v>102</v>
      </c>
      <c r="K208" s="18">
        <v>8</v>
      </c>
      <c r="L208" s="20">
        <v>9335.5400000000009</v>
      </c>
      <c r="M208" s="21">
        <v>0.2</v>
      </c>
      <c r="N208" s="21">
        <v>0.69548041978818398</v>
      </c>
      <c r="O208" s="20">
        <f t="shared" si="12"/>
        <v>59747.456000000006</v>
      </c>
      <c r="P208" s="20">
        <f t="shared" si="13"/>
        <v>41553.185780156055</v>
      </c>
      <c r="Q208" s="20">
        <f t="shared" si="14"/>
        <v>18194.270219843951</v>
      </c>
      <c r="R208" s="22">
        <f t="shared" si="15"/>
        <v>0.30451958021181602</v>
      </c>
    </row>
    <row r="209" spans="1:18">
      <c r="A209" s="18">
        <v>1208</v>
      </c>
      <c r="B209" s="19" t="s">
        <v>171</v>
      </c>
      <c r="C209" s="18">
        <v>2024</v>
      </c>
      <c r="D209" s="18" t="s">
        <v>45</v>
      </c>
      <c r="E209" s="18" t="s">
        <v>88</v>
      </c>
      <c r="F209" s="18" t="s">
        <v>93</v>
      </c>
      <c r="G209" s="18" t="s">
        <v>44</v>
      </c>
      <c r="H209" s="18" t="s">
        <v>95</v>
      </c>
      <c r="I209" s="18" t="s">
        <v>54</v>
      </c>
      <c r="J209" s="18" t="s">
        <v>102</v>
      </c>
      <c r="K209" s="18">
        <v>8</v>
      </c>
      <c r="L209" s="20">
        <v>4511.46</v>
      </c>
      <c r="M209" s="21">
        <v>0.05</v>
      </c>
      <c r="N209" s="21">
        <v>0.74133709843930995</v>
      </c>
      <c r="O209" s="20">
        <f t="shared" si="12"/>
        <v>34287.095999999998</v>
      </c>
      <c r="P209" s="20">
        <f t="shared" si="13"/>
        <v>25418.29626255007</v>
      </c>
      <c r="Q209" s="20">
        <f t="shared" si="14"/>
        <v>8868.7997374499282</v>
      </c>
      <c r="R209" s="22">
        <f t="shared" si="15"/>
        <v>0.25866290156069005</v>
      </c>
    </row>
    <row r="210" spans="1:18">
      <c r="A210" s="18">
        <v>1209</v>
      </c>
      <c r="B210" s="19" t="s">
        <v>171</v>
      </c>
      <c r="C210" s="18">
        <v>2024</v>
      </c>
      <c r="D210" s="18" t="s">
        <v>45</v>
      </c>
      <c r="E210" s="18" t="s">
        <v>85</v>
      </c>
      <c r="F210" s="18" t="s">
        <v>94</v>
      </c>
      <c r="G210" s="18" t="s">
        <v>47</v>
      </c>
      <c r="H210" s="18" t="s">
        <v>103</v>
      </c>
      <c r="I210" s="18" t="s">
        <v>54</v>
      </c>
      <c r="J210" s="18" t="s">
        <v>102</v>
      </c>
      <c r="K210" s="18">
        <v>12</v>
      </c>
      <c r="L210" s="20">
        <v>3257.84</v>
      </c>
      <c r="M210" s="21">
        <v>0.2</v>
      </c>
      <c r="N210" s="21">
        <v>0.60287243665766199</v>
      </c>
      <c r="O210" s="20">
        <f t="shared" si="12"/>
        <v>31275.264000000003</v>
      </c>
      <c r="P210" s="20">
        <f t="shared" si="13"/>
        <v>18854.99461479166</v>
      </c>
      <c r="Q210" s="20">
        <f t="shared" si="14"/>
        <v>12420.269385208343</v>
      </c>
      <c r="R210" s="22">
        <f t="shared" si="15"/>
        <v>0.39712756334233795</v>
      </c>
    </row>
    <row r="211" spans="1:18">
      <c r="A211" s="18">
        <v>1210</v>
      </c>
      <c r="B211" s="19" t="s">
        <v>171</v>
      </c>
      <c r="C211" s="18">
        <v>2024</v>
      </c>
      <c r="D211" s="18" t="s">
        <v>45</v>
      </c>
      <c r="E211" s="18" t="s">
        <v>85</v>
      </c>
      <c r="F211" s="18" t="s">
        <v>86</v>
      </c>
      <c r="G211" s="18" t="s">
        <v>44</v>
      </c>
      <c r="H211" s="18" t="s">
        <v>114</v>
      </c>
      <c r="I211" s="18" t="s">
        <v>60</v>
      </c>
      <c r="J211" s="18" t="s">
        <v>91</v>
      </c>
      <c r="K211" s="18">
        <v>4</v>
      </c>
      <c r="L211" s="20">
        <v>9397.34</v>
      </c>
      <c r="M211" s="21">
        <v>0.05</v>
      </c>
      <c r="N211" s="21">
        <v>0.70423485381752904</v>
      </c>
      <c r="O211" s="20">
        <f t="shared" si="12"/>
        <v>35709.892</v>
      </c>
      <c r="P211" s="20">
        <f t="shared" si="13"/>
        <v>25148.150572459748</v>
      </c>
      <c r="Q211" s="20">
        <f t="shared" si="14"/>
        <v>10561.741427540252</v>
      </c>
      <c r="R211" s="22">
        <f t="shared" si="15"/>
        <v>0.29576514618247102</v>
      </c>
    </row>
    <row r="212" spans="1:18">
      <c r="A212" s="18">
        <v>1211</v>
      </c>
      <c r="B212" s="19" t="s">
        <v>172</v>
      </c>
      <c r="C212" s="18">
        <v>2024</v>
      </c>
      <c r="D212" s="18" t="s">
        <v>45</v>
      </c>
      <c r="E212" s="18" t="s">
        <v>85</v>
      </c>
      <c r="F212" s="18" t="s">
        <v>121</v>
      </c>
      <c r="G212" s="18" t="s">
        <v>50</v>
      </c>
      <c r="H212" s="18" t="s">
        <v>97</v>
      </c>
      <c r="I212" s="18" t="s">
        <v>60</v>
      </c>
      <c r="J212" s="18" t="s">
        <v>102</v>
      </c>
      <c r="K212" s="18">
        <v>5</v>
      </c>
      <c r="L212" s="20">
        <v>11745.35</v>
      </c>
      <c r="M212" s="21">
        <v>0.15</v>
      </c>
      <c r="N212" s="21">
        <v>0.68532444915650903</v>
      </c>
      <c r="O212" s="20">
        <f t="shared" si="12"/>
        <v>49917.737499999996</v>
      </c>
      <c r="P212" s="20">
        <f t="shared" si="13"/>
        <v>34209.845955326709</v>
      </c>
      <c r="Q212" s="20">
        <f t="shared" si="14"/>
        <v>15707.891544673286</v>
      </c>
      <c r="R212" s="22">
        <f t="shared" si="15"/>
        <v>0.31467555084349103</v>
      </c>
    </row>
    <row r="213" spans="1:18">
      <c r="A213" s="18">
        <v>1212</v>
      </c>
      <c r="B213" s="19" t="s">
        <v>172</v>
      </c>
      <c r="C213" s="18">
        <v>2024</v>
      </c>
      <c r="D213" s="18" t="s">
        <v>45</v>
      </c>
      <c r="E213" s="18" t="s">
        <v>85</v>
      </c>
      <c r="F213" s="18" t="s">
        <v>121</v>
      </c>
      <c r="G213" s="18" t="s">
        <v>47</v>
      </c>
      <c r="H213" s="18" t="s">
        <v>81</v>
      </c>
      <c r="I213" s="18" t="s">
        <v>52</v>
      </c>
      <c r="J213" s="18" t="s">
        <v>82</v>
      </c>
      <c r="K213" s="18">
        <v>5</v>
      </c>
      <c r="L213" s="20">
        <v>836.43</v>
      </c>
      <c r="M213" s="21">
        <v>0</v>
      </c>
      <c r="N213" s="21">
        <v>0.61927270281912306</v>
      </c>
      <c r="O213" s="20">
        <f t="shared" si="12"/>
        <v>4182.1499999999996</v>
      </c>
      <c r="P213" s="20">
        <f t="shared" si="13"/>
        <v>2589.8913340949953</v>
      </c>
      <c r="Q213" s="20">
        <f t="shared" si="14"/>
        <v>1592.2586659050044</v>
      </c>
      <c r="R213" s="22">
        <f t="shared" si="15"/>
        <v>0.38072729718087694</v>
      </c>
    </row>
    <row r="214" spans="1:18">
      <c r="A214" s="18">
        <v>1213</v>
      </c>
      <c r="B214" s="19" t="s">
        <v>172</v>
      </c>
      <c r="C214" s="18">
        <v>2024</v>
      </c>
      <c r="D214" s="18" t="s">
        <v>45</v>
      </c>
      <c r="E214" s="18" t="s">
        <v>85</v>
      </c>
      <c r="F214" s="18" t="s">
        <v>94</v>
      </c>
      <c r="G214" s="18" t="s">
        <v>47</v>
      </c>
      <c r="H214" s="18" t="s">
        <v>103</v>
      </c>
      <c r="I214" s="18" t="s">
        <v>58</v>
      </c>
      <c r="J214" s="18" t="s">
        <v>82</v>
      </c>
      <c r="K214" s="18">
        <v>4</v>
      </c>
      <c r="L214" s="20">
        <v>3304.94</v>
      </c>
      <c r="M214" s="21">
        <v>0.05</v>
      </c>
      <c r="N214" s="21">
        <v>0.73660478675666197</v>
      </c>
      <c r="O214" s="20">
        <f t="shared" si="12"/>
        <v>12558.771999999999</v>
      </c>
      <c r="P214" s="20">
        <f t="shared" si="13"/>
        <v>9250.8515709855365</v>
      </c>
      <c r="Q214" s="20">
        <f t="shared" si="14"/>
        <v>3307.9204290144626</v>
      </c>
      <c r="R214" s="22">
        <f t="shared" si="15"/>
        <v>0.26339521324333803</v>
      </c>
    </row>
    <row r="215" spans="1:18">
      <c r="A215" s="18">
        <v>1214</v>
      </c>
      <c r="B215" s="19" t="s">
        <v>173</v>
      </c>
      <c r="C215" s="18">
        <v>2024</v>
      </c>
      <c r="D215" s="18" t="s">
        <v>45</v>
      </c>
      <c r="E215" s="18" t="s">
        <v>88</v>
      </c>
      <c r="F215" s="18" t="s">
        <v>110</v>
      </c>
      <c r="G215" s="18" t="s">
        <v>44</v>
      </c>
      <c r="H215" s="18" t="s">
        <v>119</v>
      </c>
      <c r="I215" s="18" t="s">
        <v>40</v>
      </c>
      <c r="J215" s="18" t="s">
        <v>102</v>
      </c>
      <c r="K215" s="18">
        <v>9</v>
      </c>
      <c r="L215" s="20">
        <v>6807.97</v>
      </c>
      <c r="M215" s="21">
        <v>0</v>
      </c>
      <c r="N215" s="21">
        <v>0.56049822136789296</v>
      </c>
      <c r="O215" s="20">
        <f t="shared" si="12"/>
        <v>61271.73</v>
      </c>
      <c r="P215" s="20">
        <f t="shared" si="13"/>
        <v>34342.695685133767</v>
      </c>
      <c r="Q215" s="20">
        <f t="shared" si="14"/>
        <v>26929.034314866236</v>
      </c>
      <c r="R215" s="22">
        <f t="shared" si="15"/>
        <v>0.4395017786321071</v>
      </c>
    </row>
    <row r="216" spans="1:18">
      <c r="A216" s="18">
        <v>1215</v>
      </c>
      <c r="B216" s="19" t="s">
        <v>173</v>
      </c>
      <c r="C216" s="18">
        <v>2024</v>
      </c>
      <c r="D216" s="18" t="s">
        <v>45</v>
      </c>
      <c r="E216" s="18" t="s">
        <v>85</v>
      </c>
      <c r="F216" s="18" t="s">
        <v>121</v>
      </c>
      <c r="G216" s="18" t="s">
        <v>50</v>
      </c>
      <c r="H216" s="18" t="s">
        <v>83</v>
      </c>
      <c r="I216" s="18" t="s">
        <v>46</v>
      </c>
      <c r="J216" s="18" t="s">
        <v>82</v>
      </c>
      <c r="K216" s="18">
        <v>9</v>
      </c>
      <c r="L216" s="20">
        <v>3667.27</v>
      </c>
      <c r="M216" s="21">
        <v>0</v>
      </c>
      <c r="N216" s="21">
        <v>0.63138149030937696</v>
      </c>
      <c r="O216" s="20">
        <f t="shared" si="12"/>
        <v>33005.43</v>
      </c>
      <c r="P216" s="20">
        <f t="shared" si="13"/>
        <v>20839.017581701821</v>
      </c>
      <c r="Q216" s="20">
        <f t="shared" si="14"/>
        <v>12166.41241829818</v>
      </c>
      <c r="R216" s="22">
        <f t="shared" si="15"/>
        <v>0.36861850969062299</v>
      </c>
    </row>
    <row r="217" spans="1:18">
      <c r="A217" s="18">
        <v>1216</v>
      </c>
      <c r="B217" s="19" t="s">
        <v>173</v>
      </c>
      <c r="C217" s="18">
        <v>2024</v>
      </c>
      <c r="D217" s="18" t="s">
        <v>45</v>
      </c>
      <c r="E217" s="18" t="s">
        <v>85</v>
      </c>
      <c r="F217" s="18" t="s">
        <v>121</v>
      </c>
      <c r="G217" s="18" t="s">
        <v>44</v>
      </c>
      <c r="H217" s="18" t="s">
        <v>114</v>
      </c>
      <c r="I217" s="18" t="s">
        <v>54</v>
      </c>
      <c r="J217" s="18" t="s">
        <v>91</v>
      </c>
      <c r="K217" s="18">
        <v>11</v>
      </c>
      <c r="L217" s="20">
        <v>8603.25</v>
      </c>
      <c r="M217" s="21">
        <v>0</v>
      </c>
      <c r="N217" s="21">
        <v>0.68045974608381599</v>
      </c>
      <c r="O217" s="20">
        <f t="shared" si="12"/>
        <v>94635.75</v>
      </c>
      <c r="P217" s="20">
        <f t="shared" si="13"/>
        <v>64395.818415451489</v>
      </c>
      <c r="Q217" s="20">
        <f t="shared" si="14"/>
        <v>30239.931584548511</v>
      </c>
      <c r="R217" s="22">
        <f t="shared" si="15"/>
        <v>0.31954025391618401</v>
      </c>
    </row>
    <row r="218" spans="1:18">
      <c r="A218" s="18">
        <v>1217</v>
      </c>
      <c r="B218" s="19" t="s">
        <v>173</v>
      </c>
      <c r="C218" s="18">
        <v>2024</v>
      </c>
      <c r="D218" s="18" t="s">
        <v>45</v>
      </c>
      <c r="E218" s="18" t="s">
        <v>88</v>
      </c>
      <c r="F218" s="18" t="s">
        <v>93</v>
      </c>
      <c r="G218" s="18" t="s">
        <v>41</v>
      </c>
      <c r="H218" s="18" t="s">
        <v>101</v>
      </c>
      <c r="I218" s="18" t="s">
        <v>56</v>
      </c>
      <c r="J218" s="18" t="s">
        <v>82</v>
      </c>
      <c r="K218" s="18">
        <v>1</v>
      </c>
      <c r="L218" s="20">
        <v>57734.44</v>
      </c>
      <c r="M218" s="21">
        <v>0.1</v>
      </c>
      <c r="N218" s="21">
        <v>0.70759212597516796</v>
      </c>
      <c r="O218" s="20">
        <f t="shared" si="12"/>
        <v>51960.996000000006</v>
      </c>
      <c r="P218" s="20">
        <f t="shared" si="13"/>
        <v>36767.191627427201</v>
      </c>
      <c r="Q218" s="20">
        <f t="shared" si="14"/>
        <v>15193.804372572806</v>
      </c>
      <c r="R218" s="22">
        <f t="shared" si="15"/>
        <v>0.29240787402483209</v>
      </c>
    </row>
    <row r="219" spans="1:18">
      <c r="A219" s="18">
        <v>1218</v>
      </c>
      <c r="B219" s="19" t="s">
        <v>174</v>
      </c>
      <c r="C219" s="18">
        <v>2024</v>
      </c>
      <c r="D219" s="18" t="s">
        <v>45</v>
      </c>
      <c r="E219" s="18" t="s">
        <v>98</v>
      </c>
      <c r="F219" s="18" t="s">
        <v>117</v>
      </c>
      <c r="G219" s="18" t="s">
        <v>41</v>
      </c>
      <c r="H219" s="18" t="s">
        <v>106</v>
      </c>
      <c r="I219" s="18" t="s">
        <v>62</v>
      </c>
      <c r="J219" s="18" t="s">
        <v>102</v>
      </c>
      <c r="K219" s="18">
        <v>2</v>
      </c>
      <c r="L219" s="20">
        <v>2607.11</v>
      </c>
      <c r="M219" s="21">
        <v>0.05</v>
      </c>
      <c r="N219" s="21">
        <v>0.60691233047000903</v>
      </c>
      <c r="O219" s="20">
        <f t="shared" si="12"/>
        <v>4953.509</v>
      </c>
      <c r="P219" s="20">
        <f t="shared" si="13"/>
        <v>3006.3456911941639</v>
      </c>
      <c r="Q219" s="20">
        <f t="shared" si="14"/>
        <v>1947.1633088058361</v>
      </c>
      <c r="R219" s="22">
        <f t="shared" si="15"/>
        <v>0.39308766952999097</v>
      </c>
    </row>
    <row r="220" spans="1:18">
      <c r="A220" s="18">
        <v>1219</v>
      </c>
      <c r="B220" s="19" t="s">
        <v>174</v>
      </c>
      <c r="C220" s="18">
        <v>2024</v>
      </c>
      <c r="D220" s="18" t="s">
        <v>45</v>
      </c>
      <c r="E220" s="18" t="s">
        <v>85</v>
      </c>
      <c r="F220" s="18" t="s">
        <v>86</v>
      </c>
      <c r="G220" s="18" t="s">
        <v>50</v>
      </c>
      <c r="H220" s="18" t="s">
        <v>97</v>
      </c>
      <c r="I220" s="18" t="s">
        <v>49</v>
      </c>
      <c r="J220" s="18" t="s">
        <v>82</v>
      </c>
      <c r="K220" s="18">
        <v>6</v>
      </c>
      <c r="L220" s="20">
        <v>11594.99</v>
      </c>
      <c r="M220" s="21">
        <v>0.1</v>
      </c>
      <c r="N220" s="21">
        <v>0.67965706774184798</v>
      </c>
      <c r="O220" s="20">
        <f t="shared" si="12"/>
        <v>62612.946000000004</v>
      </c>
      <c r="P220" s="20">
        <f t="shared" si="13"/>
        <v>42555.331281038671</v>
      </c>
      <c r="Q220" s="20">
        <f t="shared" si="14"/>
        <v>20057.614718961333</v>
      </c>
      <c r="R220" s="22">
        <f t="shared" si="15"/>
        <v>0.32034293225815202</v>
      </c>
    </row>
    <row r="221" spans="1:18">
      <c r="A221" s="18">
        <v>1220</v>
      </c>
      <c r="B221" s="19" t="s">
        <v>174</v>
      </c>
      <c r="C221" s="18">
        <v>2024</v>
      </c>
      <c r="D221" s="18" t="s">
        <v>45</v>
      </c>
      <c r="E221" s="18" t="s">
        <v>88</v>
      </c>
      <c r="F221" s="18" t="s">
        <v>110</v>
      </c>
      <c r="G221" s="18" t="s">
        <v>47</v>
      </c>
      <c r="H221" s="18" t="s">
        <v>107</v>
      </c>
      <c r="I221" s="18" t="s">
        <v>62</v>
      </c>
      <c r="J221" s="18" t="s">
        <v>102</v>
      </c>
      <c r="K221" s="18">
        <v>4</v>
      </c>
      <c r="L221" s="20">
        <v>2128.61</v>
      </c>
      <c r="M221" s="21">
        <v>0.2</v>
      </c>
      <c r="N221" s="21">
        <v>0.72940855235679503</v>
      </c>
      <c r="O221" s="20">
        <f t="shared" si="12"/>
        <v>6811.5520000000006</v>
      </c>
      <c r="P221" s="20">
        <f t="shared" si="13"/>
        <v>4968.4042836230319</v>
      </c>
      <c r="Q221" s="20">
        <f t="shared" si="14"/>
        <v>1843.1477163769687</v>
      </c>
      <c r="R221" s="22">
        <f t="shared" si="15"/>
        <v>0.27059144764320503</v>
      </c>
    </row>
    <row r="222" spans="1:18">
      <c r="A222" s="18">
        <v>1221</v>
      </c>
      <c r="B222" s="19" t="s">
        <v>175</v>
      </c>
      <c r="C222" s="18">
        <v>2024</v>
      </c>
      <c r="D222" s="18" t="s">
        <v>45</v>
      </c>
      <c r="E222" s="18" t="s">
        <v>98</v>
      </c>
      <c r="F222" s="18" t="s">
        <v>117</v>
      </c>
      <c r="G222" s="18" t="s">
        <v>50</v>
      </c>
      <c r="H222" s="18" t="s">
        <v>87</v>
      </c>
      <c r="I222" s="18" t="s">
        <v>43</v>
      </c>
      <c r="J222" s="18" t="s">
        <v>82</v>
      </c>
      <c r="K222" s="18">
        <v>3</v>
      </c>
      <c r="L222" s="20">
        <v>9478.58</v>
      </c>
      <c r="M222" s="21">
        <v>0</v>
      </c>
      <c r="N222" s="21">
        <v>0.55136602410791102</v>
      </c>
      <c r="O222" s="20">
        <f t="shared" si="12"/>
        <v>28435.739999999998</v>
      </c>
      <c r="P222" s="20">
        <f t="shared" si="13"/>
        <v>15678.500906366289</v>
      </c>
      <c r="Q222" s="20">
        <f t="shared" si="14"/>
        <v>12757.239093633709</v>
      </c>
      <c r="R222" s="22">
        <f t="shared" si="15"/>
        <v>0.44863397589208898</v>
      </c>
    </row>
    <row r="223" spans="1:18">
      <c r="A223" s="18">
        <v>1222</v>
      </c>
      <c r="B223" s="19" t="s">
        <v>175</v>
      </c>
      <c r="C223" s="18">
        <v>2024</v>
      </c>
      <c r="D223" s="18" t="s">
        <v>45</v>
      </c>
      <c r="E223" s="18" t="s">
        <v>85</v>
      </c>
      <c r="F223" s="18" t="s">
        <v>86</v>
      </c>
      <c r="G223" s="18" t="s">
        <v>50</v>
      </c>
      <c r="H223" s="18" t="s">
        <v>97</v>
      </c>
      <c r="I223" s="18" t="s">
        <v>54</v>
      </c>
      <c r="J223" s="18" t="s">
        <v>91</v>
      </c>
      <c r="K223" s="18">
        <v>10</v>
      </c>
      <c r="L223" s="20">
        <v>12267.46</v>
      </c>
      <c r="M223" s="21">
        <v>0</v>
      </c>
      <c r="N223" s="21">
        <v>0.60231063016307895</v>
      </c>
      <c r="O223" s="20">
        <f t="shared" si="12"/>
        <v>122674.59999999999</v>
      </c>
      <c r="P223" s="20">
        <f t="shared" si="13"/>
        <v>73888.215631003637</v>
      </c>
      <c r="Q223" s="20">
        <f t="shared" si="14"/>
        <v>48786.384368996354</v>
      </c>
      <c r="R223" s="22">
        <f t="shared" si="15"/>
        <v>0.39768936983692105</v>
      </c>
    </row>
    <row r="224" spans="1:18">
      <c r="A224" s="18">
        <v>1223</v>
      </c>
      <c r="B224" s="19" t="s">
        <v>175</v>
      </c>
      <c r="C224" s="18">
        <v>2024</v>
      </c>
      <c r="D224" s="18" t="s">
        <v>45</v>
      </c>
      <c r="E224" s="18" t="s">
        <v>98</v>
      </c>
      <c r="F224" s="18" t="s">
        <v>99</v>
      </c>
      <c r="G224" s="18" t="s">
        <v>44</v>
      </c>
      <c r="H224" s="18" t="s">
        <v>119</v>
      </c>
      <c r="I224" s="18" t="s">
        <v>43</v>
      </c>
      <c r="J224" s="18" t="s">
        <v>91</v>
      </c>
      <c r="K224" s="18">
        <v>5</v>
      </c>
      <c r="L224" s="20">
        <v>6761.8</v>
      </c>
      <c r="M224" s="21">
        <v>0.2</v>
      </c>
      <c r="N224" s="21">
        <v>0.65050409424767797</v>
      </c>
      <c r="O224" s="20">
        <f t="shared" si="12"/>
        <v>27047.200000000001</v>
      </c>
      <c r="P224" s="20">
        <f t="shared" si="13"/>
        <v>17594.314337935797</v>
      </c>
      <c r="Q224" s="20">
        <f t="shared" si="14"/>
        <v>9452.8856620642036</v>
      </c>
      <c r="R224" s="22">
        <f t="shared" si="15"/>
        <v>0.34949590575232198</v>
      </c>
    </row>
    <row r="225" spans="1:18">
      <c r="A225" s="18">
        <v>1224</v>
      </c>
      <c r="B225" s="19" t="s">
        <v>175</v>
      </c>
      <c r="C225" s="18">
        <v>2024</v>
      </c>
      <c r="D225" s="18" t="s">
        <v>45</v>
      </c>
      <c r="E225" s="18" t="s">
        <v>98</v>
      </c>
      <c r="F225" s="18" t="s">
        <v>99</v>
      </c>
      <c r="G225" s="18" t="s">
        <v>41</v>
      </c>
      <c r="H225" s="18" t="s">
        <v>106</v>
      </c>
      <c r="I225" s="18" t="s">
        <v>54</v>
      </c>
      <c r="J225" s="18" t="s">
        <v>102</v>
      </c>
      <c r="K225" s="18">
        <v>4</v>
      </c>
      <c r="L225" s="20">
        <v>2429.7800000000002</v>
      </c>
      <c r="M225" s="21">
        <v>0</v>
      </c>
      <c r="N225" s="21">
        <v>0.64563637994704504</v>
      </c>
      <c r="O225" s="20">
        <f t="shared" si="12"/>
        <v>9719.1200000000008</v>
      </c>
      <c r="P225" s="20">
        <f t="shared" si="13"/>
        <v>6275.0174530709246</v>
      </c>
      <c r="Q225" s="20">
        <f t="shared" si="14"/>
        <v>3444.1025469290762</v>
      </c>
      <c r="R225" s="22">
        <f t="shared" si="15"/>
        <v>0.35436362005295496</v>
      </c>
    </row>
    <row r="226" spans="1:18">
      <c r="A226" s="18">
        <v>1225</v>
      </c>
      <c r="B226" s="19" t="s">
        <v>175</v>
      </c>
      <c r="C226" s="18">
        <v>2024</v>
      </c>
      <c r="D226" s="18" t="s">
        <v>45</v>
      </c>
      <c r="E226" s="18" t="s">
        <v>85</v>
      </c>
      <c r="F226" s="18" t="s">
        <v>94</v>
      </c>
      <c r="G226" s="18" t="s">
        <v>47</v>
      </c>
      <c r="H226" s="18" t="s">
        <v>107</v>
      </c>
      <c r="I226" s="18" t="s">
        <v>60</v>
      </c>
      <c r="J226" s="18" t="s">
        <v>91</v>
      </c>
      <c r="K226" s="18">
        <v>9</v>
      </c>
      <c r="L226" s="20">
        <v>2266.44</v>
      </c>
      <c r="M226" s="21">
        <v>0</v>
      </c>
      <c r="N226" s="21">
        <v>0.70237192399422099</v>
      </c>
      <c r="O226" s="20">
        <f t="shared" si="12"/>
        <v>20397.96</v>
      </c>
      <c r="P226" s="20">
        <f t="shared" si="13"/>
        <v>14326.95441075716</v>
      </c>
      <c r="Q226" s="20">
        <f t="shared" si="14"/>
        <v>6071.0055892428391</v>
      </c>
      <c r="R226" s="22">
        <f t="shared" si="15"/>
        <v>0.29762807600577895</v>
      </c>
    </row>
    <row r="227" spans="1:18">
      <c r="A227" s="18">
        <v>1226</v>
      </c>
      <c r="B227" s="19" t="s">
        <v>176</v>
      </c>
      <c r="C227" s="18">
        <v>2024</v>
      </c>
      <c r="D227" s="18" t="s">
        <v>45</v>
      </c>
      <c r="E227" s="18" t="s">
        <v>85</v>
      </c>
      <c r="F227" s="18" t="s">
        <v>94</v>
      </c>
      <c r="G227" s="18" t="s">
        <v>47</v>
      </c>
      <c r="H227" s="18" t="s">
        <v>81</v>
      </c>
      <c r="I227" s="18" t="s">
        <v>62</v>
      </c>
      <c r="J227" s="18" t="s">
        <v>82</v>
      </c>
      <c r="K227" s="18">
        <v>1</v>
      </c>
      <c r="L227" s="20">
        <v>826.3</v>
      </c>
      <c r="M227" s="21">
        <v>0.15</v>
      </c>
      <c r="N227" s="21">
        <v>0.59043135579332995</v>
      </c>
      <c r="O227" s="20">
        <f t="shared" si="12"/>
        <v>702.3549999999999</v>
      </c>
      <c r="P227" s="20">
        <f t="shared" si="13"/>
        <v>414.69241489822417</v>
      </c>
      <c r="Q227" s="20">
        <f t="shared" si="14"/>
        <v>287.66258510177573</v>
      </c>
      <c r="R227" s="22">
        <f t="shared" si="15"/>
        <v>0.40956864420667011</v>
      </c>
    </row>
    <row r="228" spans="1:18">
      <c r="A228" s="18">
        <v>1227</v>
      </c>
      <c r="B228" s="19" t="s">
        <v>176</v>
      </c>
      <c r="C228" s="18">
        <v>2024</v>
      </c>
      <c r="D228" s="18" t="s">
        <v>45</v>
      </c>
      <c r="E228" s="18" t="s">
        <v>88</v>
      </c>
      <c r="F228" s="18" t="s">
        <v>110</v>
      </c>
      <c r="G228" s="18" t="s">
        <v>47</v>
      </c>
      <c r="H228" s="18" t="s">
        <v>103</v>
      </c>
      <c r="I228" s="18" t="s">
        <v>58</v>
      </c>
      <c r="J228" s="18" t="s">
        <v>82</v>
      </c>
      <c r="K228" s="18">
        <v>11</v>
      </c>
      <c r="L228" s="20">
        <v>3105.73</v>
      </c>
      <c r="M228" s="21">
        <v>0.15</v>
      </c>
      <c r="N228" s="21">
        <v>0.64776559336623796</v>
      </c>
      <c r="O228" s="20">
        <f t="shared" si="12"/>
        <v>29038.575499999999</v>
      </c>
      <c r="P228" s="20">
        <f t="shared" si="13"/>
        <v>18810.190089267799</v>
      </c>
      <c r="Q228" s="20">
        <f t="shared" si="14"/>
        <v>10228.3854107322</v>
      </c>
      <c r="R228" s="22">
        <f t="shared" si="15"/>
        <v>0.3522344066337621</v>
      </c>
    </row>
    <row r="229" spans="1:18">
      <c r="A229" s="18">
        <v>1228</v>
      </c>
      <c r="B229" s="19" t="s">
        <v>177</v>
      </c>
      <c r="C229" s="18">
        <v>2024</v>
      </c>
      <c r="D229" s="18" t="s">
        <v>45</v>
      </c>
      <c r="E229" s="18" t="s">
        <v>79</v>
      </c>
      <c r="F229" s="18" t="s">
        <v>105</v>
      </c>
      <c r="G229" s="18" t="s">
        <v>44</v>
      </c>
      <c r="H229" s="18" t="s">
        <v>95</v>
      </c>
      <c r="I229" s="18" t="s">
        <v>56</v>
      </c>
      <c r="J229" s="18" t="s">
        <v>91</v>
      </c>
      <c r="K229" s="18">
        <v>10</v>
      </c>
      <c r="L229" s="20">
        <v>4300.9799999999996</v>
      </c>
      <c r="M229" s="21">
        <v>0.1</v>
      </c>
      <c r="N229" s="21">
        <v>0.68455354244547395</v>
      </c>
      <c r="O229" s="20">
        <f t="shared" si="12"/>
        <v>38708.82</v>
      </c>
      <c r="P229" s="20">
        <f t="shared" si="13"/>
        <v>26498.259854884211</v>
      </c>
      <c r="Q229" s="20">
        <f t="shared" si="14"/>
        <v>12210.560145115789</v>
      </c>
      <c r="R229" s="22">
        <f t="shared" si="15"/>
        <v>0.31544645755452605</v>
      </c>
    </row>
    <row r="230" spans="1:18">
      <c r="A230" s="18">
        <v>1229</v>
      </c>
      <c r="B230" s="19" t="s">
        <v>177</v>
      </c>
      <c r="C230" s="18">
        <v>2024</v>
      </c>
      <c r="D230" s="18" t="s">
        <v>45</v>
      </c>
      <c r="E230" s="18" t="s">
        <v>98</v>
      </c>
      <c r="F230" s="18" t="s">
        <v>99</v>
      </c>
      <c r="G230" s="18" t="s">
        <v>41</v>
      </c>
      <c r="H230" s="18" t="s">
        <v>112</v>
      </c>
      <c r="I230" s="18" t="s">
        <v>52</v>
      </c>
      <c r="J230" s="18" t="s">
        <v>82</v>
      </c>
      <c r="K230" s="18">
        <v>12</v>
      </c>
      <c r="L230" s="20">
        <v>5830.74</v>
      </c>
      <c r="M230" s="21">
        <v>0</v>
      </c>
      <c r="N230" s="21">
        <v>0.559057960545566</v>
      </c>
      <c r="O230" s="20">
        <f t="shared" si="12"/>
        <v>69968.88</v>
      </c>
      <c r="P230" s="20">
        <f t="shared" si="13"/>
        <v>39116.659354457443</v>
      </c>
      <c r="Q230" s="20">
        <f t="shared" si="14"/>
        <v>30852.220645542562</v>
      </c>
      <c r="R230" s="22">
        <f t="shared" si="15"/>
        <v>0.44094203945443405</v>
      </c>
    </row>
    <row r="231" spans="1:18">
      <c r="A231" s="18">
        <v>1230</v>
      </c>
      <c r="B231" s="19" t="s">
        <v>177</v>
      </c>
      <c r="C231" s="18">
        <v>2024</v>
      </c>
      <c r="D231" s="18" t="s">
        <v>45</v>
      </c>
      <c r="E231" s="18" t="s">
        <v>98</v>
      </c>
      <c r="F231" s="18" t="s">
        <v>99</v>
      </c>
      <c r="G231" s="18" t="s">
        <v>41</v>
      </c>
      <c r="H231" s="18" t="s">
        <v>90</v>
      </c>
      <c r="I231" s="18" t="s">
        <v>43</v>
      </c>
      <c r="J231" s="18" t="s">
        <v>91</v>
      </c>
      <c r="K231" s="18">
        <v>1</v>
      </c>
      <c r="L231" s="20">
        <v>17616.759999999998</v>
      </c>
      <c r="M231" s="21">
        <v>0</v>
      </c>
      <c r="N231" s="21">
        <v>0.70379441251669705</v>
      </c>
      <c r="O231" s="20">
        <f t="shared" si="12"/>
        <v>17616.759999999998</v>
      </c>
      <c r="P231" s="20">
        <f t="shared" si="13"/>
        <v>12398.577254647647</v>
      </c>
      <c r="Q231" s="20">
        <f t="shared" si="14"/>
        <v>5218.182745352351</v>
      </c>
      <c r="R231" s="22">
        <f t="shared" si="15"/>
        <v>0.29620558748330295</v>
      </c>
    </row>
    <row r="232" spans="1:18">
      <c r="A232" s="18">
        <v>1231</v>
      </c>
      <c r="B232" s="19" t="s">
        <v>177</v>
      </c>
      <c r="C232" s="18">
        <v>2024</v>
      </c>
      <c r="D232" s="18" t="s">
        <v>45</v>
      </c>
      <c r="E232" s="18" t="s">
        <v>85</v>
      </c>
      <c r="F232" s="18" t="s">
        <v>121</v>
      </c>
      <c r="G232" s="18" t="s">
        <v>50</v>
      </c>
      <c r="H232" s="18" t="s">
        <v>97</v>
      </c>
      <c r="I232" s="18" t="s">
        <v>56</v>
      </c>
      <c r="J232" s="18" t="s">
        <v>91</v>
      </c>
      <c r="K232" s="18">
        <v>2</v>
      </c>
      <c r="L232" s="20">
        <v>12219.28</v>
      </c>
      <c r="M232" s="21">
        <v>0.2</v>
      </c>
      <c r="N232" s="21">
        <v>0.72491074433818503</v>
      </c>
      <c r="O232" s="20">
        <f t="shared" si="12"/>
        <v>19550.848000000002</v>
      </c>
      <c r="P232" s="20">
        <f t="shared" si="13"/>
        <v>14172.619776122718</v>
      </c>
      <c r="Q232" s="20">
        <f t="shared" si="14"/>
        <v>5378.2282238772841</v>
      </c>
      <c r="R232" s="22">
        <f t="shared" si="15"/>
        <v>0.27508925566181497</v>
      </c>
    </row>
    <row r="233" spans="1:18">
      <c r="A233" s="18">
        <v>1232</v>
      </c>
      <c r="B233" s="19" t="s">
        <v>177</v>
      </c>
      <c r="C233" s="18">
        <v>2024</v>
      </c>
      <c r="D233" s="18" t="s">
        <v>45</v>
      </c>
      <c r="E233" s="18" t="s">
        <v>88</v>
      </c>
      <c r="F233" s="18" t="s">
        <v>93</v>
      </c>
      <c r="G233" s="18" t="s">
        <v>47</v>
      </c>
      <c r="H233" s="18" t="s">
        <v>81</v>
      </c>
      <c r="I233" s="18" t="s">
        <v>46</v>
      </c>
      <c r="J233" s="18" t="s">
        <v>102</v>
      </c>
      <c r="K233" s="18">
        <v>7</v>
      </c>
      <c r="L233" s="20">
        <v>802.31</v>
      </c>
      <c r="M233" s="21">
        <v>0.2</v>
      </c>
      <c r="N233" s="21">
        <v>0.74574487540526702</v>
      </c>
      <c r="O233" s="20">
        <f t="shared" si="12"/>
        <v>4492.9360000000006</v>
      </c>
      <c r="P233" s="20">
        <f t="shared" si="13"/>
        <v>3350.5839975238391</v>
      </c>
      <c r="Q233" s="20">
        <f t="shared" si="14"/>
        <v>1142.3520024761615</v>
      </c>
      <c r="R233" s="22">
        <f t="shared" si="15"/>
        <v>0.25425512459473298</v>
      </c>
    </row>
    <row r="234" spans="1:18">
      <c r="A234" s="18">
        <v>1233</v>
      </c>
      <c r="B234" s="19" t="s">
        <v>178</v>
      </c>
      <c r="C234" s="18">
        <v>2024</v>
      </c>
      <c r="D234" s="18" t="s">
        <v>45</v>
      </c>
      <c r="E234" s="18" t="s">
        <v>79</v>
      </c>
      <c r="F234" s="18" t="s">
        <v>105</v>
      </c>
      <c r="G234" s="18" t="s">
        <v>50</v>
      </c>
      <c r="H234" s="18" t="s">
        <v>87</v>
      </c>
      <c r="I234" s="18" t="s">
        <v>60</v>
      </c>
      <c r="J234" s="18" t="s">
        <v>91</v>
      </c>
      <c r="K234" s="18">
        <v>9</v>
      </c>
      <c r="L234" s="20">
        <v>9385.31</v>
      </c>
      <c r="M234" s="21">
        <v>0</v>
      </c>
      <c r="N234" s="21">
        <v>0.59950240770075502</v>
      </c>
      <c r="O234" s="20">
        <f t="shared" si="12"/>
        <v>84467.79</v>
      </c>
      <c r="P234" s="20">
        <f t="shared" si="13"/>
        <v>50638.643478161757</v>
      </c>
      <c r="Q234" s="20">
        <f t="shared" si="14"/>
        <v>33829.146521838236</v>
      </c>
      <c r="R234" s="22">
        <f t="shared" si="15"/>
        <v>0.40049759229924492</v>
      </c>
    </row>
    <row r="235" spans="1:18">
      <c r="A235" s="18">
        <v>1234</v>
      </c>
      <c r="B235" s="19" t="s">
        <v>178</v>
      </c>
      <c r="C235" s="18">
        <v>2024</v>
      </c>
      <c r="D235" s="18" t="s">
        <v>45</v>
      </c>
      <c r="E235" s="18" t="s">
        <v>98</v>
      </c>
      <c r="F235" s="18" t="s">
        <v>117</v>
      </c>
      <c r="G235" s="18" t="s">
        <v>47</v>
      </c>
      <c r="H235" s="18" t="s">
        <v>81</v>
      </c>
      <c r="I235" s="18" t="s">
        <v>43</v>
      </c>
      <c r="J235" s="18" t="s">
        <v>82</v>
      </c>
      <c r="K235" s="18">
        <v>11</v>
      </c>
      <c r="L235" s="20">
        <v>793.54</v>
      </c>
      <c r="M235" s="21">
        <v>0</v>
      </c>
      <c r="N235" s="21">
        <v>0.59813325882864199</v>
      </c>
      <c r="O235" s="20">
        <f t="shared" si="12"/>
        <v>8728.9399999999987</v>
      </c>
      <c r="P235" s="20">
        <f t="shared" si="13"/>
        <v>5221.0693283196852</v>
      </c>
      <c r="Q235" s="20">
        <f t="shared" si="14"/>
        <v>3507.8706716803135</v>
      </c>
      <c r="R235" s="22">
        <f t="shared" si="15"/>
        <v>0.40186674117135807</v>
      </c>
    </row>
    <row r="236" spans="1:18">
      <c r="A236" s="18">
        <v>1235</v>
      </c>
      <c r="B236" s="19" t="s">
        <v>179</v>
      </c>
      <c r="C236" s="18">
        <v>2024</v>
      </c>
      <c r="D236" s="18" t="s">
        <v>45</v>
      </c>
      <c r="E236" s="18" t="s">
        <v>79</v>
      </c>
      <c r="F236" s="18" t="s">
        <v>80</v>
      </c>
      <c r="G236" s="18" t="s">
        <v>41</v>
      </c>
      <c r="H236" s="18" t="s">
        <v>112</v>
      </c>
      <c r="I236" s="18" t="s">
        <v>62</v>
      </c>
      <c r="J236" s="18" t="s">
        <v>102</v>
      </c>
      <c r="K236" s="18">
        <v>12</v>
      </c>
      <c r="L236" s="20">
        <v>6223.33</v>
      </c>
      <c r="M236" s="21">
        <v>0</v>
      </c>
      <c r="N236" s="21">
        <v>0.69810821569597203</v>
      </c>
      <c r="O236" s="20">
        <f t="shared" si="12"/>
        <v>74679.959999999992</v>
      </c>
      <c r="P236" s="20">
        <f t="shared" si="13"/>
        <v>52134.693623846557</v>
      </c>
      <c r="Q236" s="20">
        <f t="shared" si="14"/>
        <v>22545.266376153435</v>
      </c>
      <c r="R236" s="22">
        <f t="shared" si="15"/>
        <v>0.30189178430402797</v>
      </c>
    </row>
    <row r="237" spans="1:18">
      <c r="A237" s="18">
        <v>1236</v>
      </c>
      <c r="B237" s="19" t="s">
        <v>179</v>
      </c>
      <c r="C237" s="18">
        <v>2024</v>
      </c>
      <c r="D237" s="18" t="s">
        <v>45</v>
      </c>
      <c r="E237" s="18" t="s">
        <v>85</v>
      </c>
      <c r="F237" s="18" t="s">
        <v>121</v>
      </c>
      <c r="G237" s="18" t="s">
        <v>44</v>
      </c>
      <c r="H237" s="18" t="s">
        <v>95</v>
      </c>
      <c r="I237" s="18" t="s">
        <v>49</v>
      </c>
      <c r="J237" s="18" t="s">
        <v>82</v>
      </c>
      <c r="K237" s="18">
        <v>3</v>
      </c>
      <c r="L237" s="20">
        <v>4501.75</v>
      </c>
      <c r="M237" s="21">
        <v>0.05</v>
      </c>
      <c r="N237" s="21">
        <v>0.59683230342833105</v>
      </c>
      <c r="O237" s="20">
        <f t="shared" si="12"/>
        <v>12829.987499999999</v>
      </c>
      <c r="P237" s="20">
        <f t="shared" si="13"/>
        <v>7657.3509925816943</v>
      </c>
      <c r="Q237" s="20">
        <f t="shared" si="14"/>
        <v>5172.636507418305</v>
      </c>
      <c r="R237" s="22">
        <f t="shared" si="15"/>
        <v>0.40316769657166895</v>
      </c>
    </row>
    <row r="238" spans="1:18">
      <c r="A238" s="18">
        <v>1237</v>
      </c>
      <c r="B238" s="19" t="s">
        <v>180</v>
      </c>
      <c r="C238" s="18">
        <v>2024</v>
      </c>
      <c r="D238" s="18" t="s">
        <v>45</v>
      </c>
      <c r="E238" s="18" t="s">
        <v>98</v>
      </c>
      <c r="F238" s="18" t="s">
        <v>117</v>
      </c>
      <c r="G238" s="18" t="s">
        <v>47</v>
      </c>
      <c r="H238" s="18" t="s">
        <v>81</v>
      </c>
      <c r="I238" s="18" t="s">
        <v>60</v>
      </c>
      <c r="J238" s="18" t="s">
        <v>82</v>
      </c>
      <c r="K238" s="18">
        <v>7</v>
      </c>
      <c r="L238" s="20">
        <v>784.04</v>
      </c>
      <c r="M238" s="21">
        <v>0</v>
      </c>
      <c r="N238" s="21">
        <v>0.66134362362104704</v>
      </c>
      <c r="O238" s="20">
        <f t="shared" si="12"/>
        <v>5488.28</v>
      </c>
      <c r="P238" s="20">
        <f t="shared" si="13"/>
        <v>3629.6389826469199</v>
      </c>
      <c r="Q238" s="20">
        <f t="shared" si="14"/>
        <v>1858.6410173530799</v>
      </c>
      <c r="R238" s="22">
        <f t="shared" si="15"/>
        <v>0.33865637637895296</v>
      </c>
    </row>
    <row r="239" spans="1:18">
      <c r="A239" s="18">
        <v>1238</v>
      </c>
      <c r="B239" s="19" t="s">
        <v>180</v>
      </c>
      <c r="C239" s="18">
        <v>2024</v>
      </c>
      <c r="D239" s="18" t="s">
        <v>45</v>
      </c>
      <c r="E239" s="18" t="s">
        <v>88</v>
      </c>
      <c r="F239" s="18" t="s">
        <v>93</v>
      </c>
      <c r="G239" s="18" t="s">
        <v>50</v>
      </c>
      <c r="H239" s="18" t="s">
        <v>87</v>
      </c>
      <c r="I239" s="18" t="s">
        <v>58</v>
      </c>
      <c r="J239" s="18" t="s">
        <v>82</v>
      </c>
      <c r="K239" s="18">
        <v>6</v>
      </c>
      <c r="L239" s="20">
        <v>9919.51</v>
      </c>
      <c r="M239" s="21">
        <v>0.2</v>
      </c>
      <c r="N239" s="21">
        <v>0.62623092649251899</v>
      </c>
      <c r="O239" s="20">
        <f t="shared" si="12"/>
        <v>47613.648000000001</v>
      </c>
      <c r="P239" s="20">
        <f t="shared" si="13"/>
        <v>29817.138900728674</v>
      </c>
      <c r="Q239" s="20">
        <f t="shared" si="14"/>
        <v>17796.509099271327</v>
      </c>
      <c r="R239" s="22">
        <f t="shared" si="15"/>
        <v>0.37376907350748101</v>
      </c>
    </row>
    <row r="240" spans="1:18">
      <c r="A240" s="18">
        <v>1239</v>
      </c>
      <c r="B240" s="19" t="s">
        <v>180</v>
      </c>
      <c r="C240" s="18">
        <v>2024</v>
      </c>
      <c r="D240" s="18" t="s">
        <v>45</v>
      </c>
      <c r="E240" s="18" t="s">
        <v>98</v>
      </c>
      <c r="F240" s="18" t="s">
        <v>99</v>
      </c>
      <c r="G240" s="18" t="s">
        <v>50</v>
      </c>
      <c r="H240" s="18" t="s">
        <v>97</v>
      </c>
      <c r="I240" s="18" t="s">
        <v>46</v>
      </c>
      <c r="J240" s="18" t="s">
        <v>91</v>
      </c>
      <c r="K240" s="18">
        <v>7</v>
      </c>
      <c r="L240" s="20">
        <v>11620.65</v>
      </c>
      <c r="M240" s="21">
        <v>0.15</v>
      </c>
      <c r="N240" s="21">
        <v>0.64470376408244401</v>
      </c>
      <c r="O240" s="20">
        <f t="shared" si="12"/>
        <v>69142.867500000008</v>
      </c>
      <c r="P240" s="20">
        <f t="shared" si="13"/>
        <v>44576.666936703688</v>
      </c>
      <c r="Q240" s="20">
        <f t="shared" si="14"/>
        <v>24566.200563296319</v>
      </c>
      <c r="R240" s="22">
        <f t="shared" si="15"/>
        <v>0.35529623591755599</v>
      </c>
    </row>
    <row r="241" spans="1:18">
      <c r="A241" s="18">
        <v>1240</v>
      </c>
      <c r="B241" s="19" t="s">
        <v>180</v>
      </c>
      <c r="C241" s="18">
        <v>2024</v>
      </c>
      <c r="D241" s="18" t="s">
        <v>45</v>
      </c>
      <c r="E241" s="18" t="s">
        <v>88</v>
      </c>
      <c r="F241" s="18" t="s">
        <v>89</v>
      </c>
      <c r="G241" s="18" t="s">
        <v>44</v>
      </c>
      <c r="H241" s="18" t="s">
        <v>114</v>
      </c>
      <c r="I241" s="18" t="s">
        <v>40</v>
      </c>
      <c r="J241" s="18" t="s">
        <v>102</v>
      </c>
      <c r="K241" s="18">
        <v>7</v>
      </c>
      <c r="L241" s="20">
        <v>9421.01</v>
      </c>
      <c r="M241" s="21">
        <v>0.15</v>
      </c>
      <c r="N241" s="21">
        <v>0.65599836280061696</v>
      </c>
      <c r="O241" s="20">
        <f t="shared" si="12"/>
        <v>56055.009500000007</v>
      </c>
      <c r="P241" s="20">
        <f t="shared" si="13"/>
        <v>36771.994458773035</v>
      </c>
      <c r="Q241" s="20">
        <f t="shared" si="14"/>
        <v>19283.015041226972</v>
      </c>
      <c r="R241" s="22">
        <f t="shared" si="15"/>
        <v>0.34400163719938304</v>
      </c>
    </row>
    <row r="242" spans="1:18">
      <c r="A242" s="18">
        <v>1241</v>
      </c>
      <c r="B242" s="19" t="s">
        <v>181</v>
      </c>
      <c r="C242" s="18">
        <v>2024</v>
      </c>
      <c r="D242" s="18" t="s">
        <v>45</v>
      </c>
      <c r="E242" s="18" t="s">
        <v>88</v>
      </c>
      <c r="F242" s="18" t="s">
        <v>89</v>
      </c>
      <c r="G242" s="18" t="s">
        <v>44</v>
      </c>
      <c r="H242" s="18" t="s">
        <v>114</v>
      </c>
      <c r="I242" s="18" t="s">
        <v>43</v>
      </c>
      <c r="J242" s="18" t="s">
        <v>91</v>
      </c>
      <c r="K242" s="18">
        <v>6</v>
      </c>
      <c r="L242" s="20">
        <v>8633.2199999999993</v>
      </c>
      <c r="M242" s="21">
        <v>0.2</v>
      </c>
      <c r="N242" s="21">
        <v>0.71588125704300598</v>
      </c>
      <c r="O242" s="20">
        <f t="shared" si="12"/>
        <v>41439.455999999998</v>
      </c>
      <c r="P242" s="20">
        <f t="shared" si="13"/>
        <v>29665.729852458335</v>
      </c>
      <c r="Q242" s="20">
        <f t="shared" si="14"/>
        <v>11773.726147541664</v>
      </c>
      <c r="R242" s="22">
        <f t="shared" si="15"/>
        <v>0.28411874295699402</v>
      </c>
    </row>
    <row r="243" spans="1:18">
      <c r="A243" s="18">
        <v>1242</v>
      </c>
      <c r="B243" s="19" t="s">
        <v>181</v>
      </c>
      <c r="C243" s="18">
        <v>2024</v>
      </c>
      <c r="D243" s="18" t="s">
        <v>45</v>
      </c>
      <c r="E243" s="18" t="s">
        <v>79</v>
      </c>
      <c r="F243" s="18" t="s">
        <v>105</v>
      </c>
      <c r="G243" s="18" t="s">
        <v>50</v>
      </c>
      <c r="H243" s="18" t="s">
        <v>87</v>
      </c>
      <c r="I243" s="18" t="s">
        <v>62</v>
      </c>
      <c r="J243" s="18" t="s">
        <v>102</v>
      </c>
      <c r="K243" s="18">
        <v>1</v>
      </c>
      <c r="L243" s="20">
        <v>9854.94</v>
      </c>
      <c r="M243" s="21">
        <v>0</v>
      </c>
      <c r="N243" s="21">
        <v>0.71093012357010898</v>
      </c>
      <c r="O243" s="20">
        <f t="shared" si="12"/>
        <v>9854.94</v>
      </c>
      <c r="P243" s="20">
        <f t="shared" si="13"/>
        <v>7006.1737119760101</v>
      </c>
      <c r="Q243" s="20">
        <f t="shared" si="14"/>
        <v>2848.7662880239905</v>
      </c>
      <c r="R243" s="22">
        <f t="shared" si="15"/>
        <v>0.28906987642989102</v>
      </c>
    </row>
    <row r="244" spans="1:18">
      <c r="A244" s="18">
        <v>1243</v>
      </c>
      <c r="B244" s="19" t="s">
        <v>181</v>
      </c>
      <c r="C244" s="18">
        <v>2024</v>
      </c>
      <c r="D244" s="18" t="s">
        <v>45</v>
      </c>
      <c r="E244" s="18" t="s">
        <v>88</v>
      </c>
      <c r="F244" s="18" t="s">
        <v>89</v>
      </c>
      <c r="G244" s="18" t="s">
        <v>44</v>
      </c>
      <c r="H244" s="18" t="s">
        <v>114</v>
      </c>
      <c r="I244" s="18" t="s">
        <v>52</v>
      </c>
      <c r="J244" s="18" t="s">
        <v>82</v>
      </c>
      <c r="K244" s="18">
        <v>4</v>
      </c>
      <c r="L244" s="20">
        <v>9393.44</v>
      </c>
      <c r="M244" s="21">
        <v>0.2</v>
      </c>
      <c r="N244" s="21">
        <v>0.57346323988866699</v>
      </c>
      <c r="O244" s="20">
        <f t="shared" si="12"/>
        <v>30059.008000000002</v>
      </c>
      <c r="P244" s="20">
        <f t="shared" si="13"/>
        <v>17237.736115519361</v>
      </c>
      <c r="Q244" s="20">
        <f t="shared" si="14"/>
        <v>12821.27188448064</v>
      </c>
      <c r="R244" s="22">
        <f t="shared" si="15"/>
        <v>0.42653676011133301</v>
      </c>
    </row>
    <row r="245" spans="1:18">
      <c r="A245" s="18">
        <v>1244</v>
      </c>
      <c r="B245" s="19" t="s">
        <v>181</v>
      </c>
      <c r="C245" s="18">
        <v>2024</v>
      </c>
      <c r="D245" s="18" t="s">
        <v>45</v>
      </c>
      <c r="E245" s="18" t="s">
        <v>85</v>
      </c>
      <c r="F245" s="18" t="s">
        <v>86</v>
      </c>
      <c r="G245" s="18" t="s">
        <v>44</v>
      </c>
      <c r="H245" s="18" t="s">
        <v>114</v>
      </c>
      <c r="I245" s="18" t="s">
        <v>49</v>
      </c>
      <c r="J245" s="18" t="s">
        <v>102</v>
      </c>
      <c r="K245" s="18">
        <v>6</v>
      </c>
      <c r="L245" s="20">
        <v>9247.9599999999991</v>
      </c>
      <c r="M245" s="21">
        <v>0.1</v>
      </c>
      <c r="N245" s="21">
        <v>0.64325009216912099</v>
      </c>
      <c r="O245" s="20">
        <f t="shared" si="12"/>
        <v>49938.983999999997</v>
      </c>
      <c r="P245" s="20">
        <f t="shared" si="13"/>
        <v>32123.256060832256</v>
      </c>
      <c r="Q245" s="20">
        <f t="shared" si="14"/>
        <v>17815.72793916774</v>
      </c>
      <c r="R245" s="22">
        <f t="shared" si="15"/>
        <v>0.35674990783087901</v>
      </c>
    </row>
    <row r="246" spans="1:18">
      <c r="A246" s="18">
        <v>1245</v>
      </c>
      <c r="B246" s="19" t="s">
        <v>181</v>
      </c>
      <c r="C246" s="18">
        <v>2024</v>
      </c>
      <c r="D246" s="18" t="s">
        <v>45</v>
      </c>
      <c r="E246" s="18" t="s">
        <v>98</v>
      </c>
      <c r="F246" s="18" t="s">
        <v>109</v>
      </c>
      <c r="G246" s="18" t="s">
        <v>47</v>
      </c>
      <c r="H246" s="18" t="s">
        <v>107</v>
      </c>
      <c r="I246" s="18" t="s">
        <v>60</v>
      </c>
      <c r="J246" s="18" t="s">
        <v>91</v>
      </c>
      <c r="K246" s="18">
        <v>8</v>
      </c>
      <c r="L246" s="20">
        <v>2111.69</v>
      </c>
      <c r="M246" s="21">
        <v>0.2</v>
      </c>
      <c r="N246" s="21">
        <v>0.64389808440451202</v>
      </c>
      <c r="O246" s="20">
        <f t="shared" si="12"/>
        <v>13514.816000000001</v>
      </c>
      <c r="P246" s="20">
        <f t="shared" si="13"/>
        <v>8702.1641334794494</v>
      </c>
      <c r="Q246" s="20">
        <f t="shared" si="14"/>
        <v>4812.6518665205513</v>
      </c>
      <c r="R246" s="22">
        <f t="shared" si="15"/>
        <v>0.35610191559548804</v>
      </c>
    </row>
    <row r="247" spans="1:18">
      <c r="A247" s="18">
        <v>1246</v>
      </c>
      <c r="B247" s="19" t="s">
        <v>182</v>
      </c>
      <c r="C247" s="18">
        <v>2024</v>
      </c>
      <c r="D247" s="18" t="s">
        <v>45</v>
      </c>
      <c r="E247" s="18" t="s">
        <v>88</v>
      </c>
      <c r="F247" s="18" t="s">
        <v>89</v>
      </c>
      <c r="G247" s="18" t="s">
        <v>47</v>
      </c>
      <c r="H247" s="18" t="s">
        <v>107</v>
      </c>
      <c r="I247" s="18" t="s">
        <v>40</v>
      </c>
      <c r="J247" s="18" t="s">
        <v>102</v>
      </c>
      <c r="K247" s="18">
        <v>4</v>
      </c>
      <c r="L247" s="20">
        <v>2253.08</v>
      </c>
      <c r="M247" s="21">
        <v>0</v>
      </c>
      <c r="N247" s="21">
        <v>0.60215482198195402</v>
      </c>
      <c r="O247" s="20">
        <f t="shared" si="12"/>
        <v>9012.32</v>
      </c>
      <c r="P247" s="20">
        <f t="shared" si="13"/>
        <v>5426.8119452444034</v>
      </c>
      <c r="Q247" s="20">
        <f t="shared" si="14"/>
        <v>3585.5080547555963</v>
      </c>
      <c r="R247" s="22">
        <f t="shared" si="15"/>
        <v>0.39784517801804603</v>
      </c>
    </row>
    <row r="248" spans="1:18">
      <c r="A248" s="18">
        <v>1247</v>
      </c>
      <c r="B248" s="19" t="s">
        <v>182</v>
      </c>
      <c r="C248" s="18">
        <v>2024</v>
      </c>
      <c r="D248" s="18" t="s">
        <v>45</v>
      </c>
      <c r="E248" s="18" t="s">
        <v>85</v>
      </c>
      <c r="F248" s="18" t="s">
        <v>121</v>
      </c>
      <c r="G248" s="18" t="s">
        <v>44</v>
      </c>
      <c r="H248" s="18" t="s">
        <v>119</v>
      </c>
      <c r="I248" s="18" t="s">
        <v>54</v>
      </c>
      <c r="J248" s="18" t="s">
        <v>82</v>
      </c>
      <c r="K248" s="18">
        <v>7</v>
      </c>
      <c r="L248" s="20">
        <v>7048.85</v>
      </c>
      <c r="M248" s="21">
        <v>0</v>
      </c>
      <c r="N248" s="21">
        <v>0.64986029647386501</v>
      </c>
      <c r="O248" s="20">
        <f t="shared" si="12"/>
        <v>49341.950000000004</v>
      </c>
      <c r="P248" s="20">
        <f t="shared" si="13"/>
        <v>32065.374255598625</v>
      </c>
      <c r="Q248" s="20">
        <f t="shared" si="14"/>
        <v>17276.57574440138</v>
      </c>
      <c r="R248" s="22">
        <f t="shared" si="15"/>
        <v>0.35013970352613505</v>
      </c>
    </row>
    <row r="249" spans="1:18">
      <c r="A249" s="18">
        <v>1248</v>
      </c>
      <c r="B249" s="19" t="s">
        <v>182</v>
      </c>
      <c r="C249" s="18">
        <v>2024</v>
      </c>
      <c r="D249" s="18" t="s">
        <v>45</v>
      </c>
      <c r="E249" s="18" t="s">
        <v>98</v>
      </c>
      <c r="F249" s="18" t="s">
        <v>109</v>
      </c>
      <c r="G249" s="18" t="s">
        <v>50</v>
      </c>
      <c r="H249" s="18" t="s">
        <v>87</v>
      </c>
      <c r="I249" s="18" t="s">
        <v>58</v>
      </c>
      <c r="J249" s="18" t="s">
        <v>91</v>
      </c>
      <c r="K249" s="18">
        <v>3</v>
      </c>
      <c r="L249" s="20">
        <v>9721.1299999999992</v>
      </c>
      <c r="M249" s="21">
        <v>0.05</v>
      </c>
      <c r="N249" s="21">
        <v>0.58385314217203599</v>
      </c>
      <c r="O249" s="20">
        <f t="shared" si="12"/>
        <v>27705.220499999999</v>
      </c>
      <c r="P249" s="20">
        <f t="shared" si="13"/>
        <v>16175.780043494105</v>
      </c>
      <c r="Q249" s="20">
        <f t="shared" si="14"/>
        <v>11529.440456505894</v>
      </c>
      <c r="R249" s="22">
        <f t="shared" si="15"/>
        <v>0.41614685782796401</v>
      </c>
    </row>
    <row r="250" spans="1:18">
      <c r="A250" s="18">
        <v>1249</v>
      </c>
      <c r="B250" s="19" t="s">
        <v>182</v>
      </c>
      <c r="C250" s="18">
        <v>2024</v>
      </c>
      <c r="D250" s="18" t="s">
        <v>45</v>
      </c>
      <c r="E250" s="18" t="s">
        <v>85</v>
      </c>
      <c r="F250" s="18" t="s">
        <v>86</v>
      </c>
      <c r="G250" s="18" t="s">
        <v>41</v>
      </c>
      <c r="H250" s="18" t="s">
        <v>90</v>
      </c>
      <c r="I250" s="18" t="s">
        <v>43</v>
      </c>
      <c r="J250" s="18" t="s">
        <v>102</v>
      </c>
      <c r="K250" s="18">
        <v>1</v>
      </c>
      <c r="L250" s="20">
        <v>18475.810000000001</v>
      </c>
      <c r="M250" s="21">
        <v>0.1</v>
      </c>
      <c r="N250" s="21">
        <v>0.57749830609939201</v>
      </c>
      <c r="O250" s="20">
        <f t="shared" si="12"/>
        <v>16628.229000000003</v>
      </c>
      <c r="P250" s="20">
        <f t="shared" si="13"/>
        <v>9602.7740809327897</v>
      </c>
      <c r="Q250" s="20">
        <f t="shared" si="14"/>
        <v>7025.4549190672133</v>
      </c>
      <c r="R250" s="22">
        <f t="shared" si="15"/>
        <v>0.42250169390060793</v>
      </c>
    </row>
    <row r="251" spans="1:18">
      <c r="A251" s="18">
        <v>1250</v>
      </c>
      <c r="B251" s="19" t="s">
        <v>183</v>
      </c>
      <c r="C251" s="18">
        <v>2024</v>
      </c>
      <c r="D251" s="18" t="s">
        <v>45</v>
      </c>
      <c r="E251" s="18" t="s">
        <v>79</v>
      </c>
      <c r="F251" s="18" t="s">
        <v>80</v>
      </c>
      <c r="G251" s="18" t="s">
        <v>44</v>
      </c>
      <c r="H251" s="18" t="s">
        <v>119</v>
      </c>
      <c r="I251" s="18" t="s">
        <v>49</v>
      </c>
      <c r="J251" s="18" t="s">
        <v>102</v>
      </c>
      <c r="K251" s="18">
        <v>8</v>
      </c>
      <c r="L251" s="20">
        <v>6911.24</v>
      </c>
      <c r="M251" s="21">
        <v>0.15</v>
      </c>
      <c r="N251" s="21">
        <v>0.67754571835213095</v>
      </c>
      <c r="O251" s="20">
        <f t="shared" si="12"/>
        <v>46996.432000000001</v>
      </c>
      <c r="P251" s="20">
        <f t="shared" si="13"/>
        <v>31842.231279427077</v>
      </c>
      <c r="Q251" s="20">
        <f t="shared" si="14"/>
        <v>15154.200720572924</v>
      </c>
      <c r="R251" s="22">
        <f t="shared" si="15"/>
        <v>0.32245428164786899</v>
      </c>
    </row>
    <row r="252" spans="1:18">
      <c r="A252" s="18">
        <v>1251</v>
      </c>
      <c r="B252" s="19" t="s">
        <v>183</v>
      </c>
      <c r="C252" s="18">
        <v>2024</v>
      </c>
      <c r="D252" s="18" t="s">
        <v>45</v>
      </c>
      <c r="E252" s="18" t="s">
        <v>85</v>
      </c>
      <c r="F252" s="18" t="s">
        <v>94</v>
      </c>
      <c r="G252" s="18" t="s">
        <v>50</v>
      </c>
      <c r="H252" s="18" t="s">
        <v>83</v>
      </c>
      <c r="I252" s="18" t="s">
        <v>40</v>
      </c>
      <c r="J252" s="18" t="s">
        <v>102</v>
      </c>
      <c r="K252" s="18">
        <v>9</v>
      </c>
      <c r="L252" s="20">
        <v>3468.97</v>
      </c>
      <c r="M252" s="21">
        <v>0</v>
      </c>
      <c r="N252" s="21">
        <v>0.65588352936833005</v>
      </c>
      <c r="O252" s="20">
        <f t="shared" si="12"/>
        <v>31220.73</v>
      </c>
      <c r="P252" s="20">
        <f t="shared" si="13"/>
        <v>20477.162581855704</v>
      </c>
      <c r="Q252" s="20">
        <f t="shared" si="14"/>
        <v>10743.567418144296</v>
      </c>
      <c r="R252" s="22">
        <f t="shared" si="15"/>
        <v>0.34411647063166989</v>
      </c>
    </row>
    <row r="253" spans="1:18">
      <c r="A253" s="18">
        <v>1252</v>
      </c>
      <c r="B253" s="19" t="s">
        <v>183</v>
      </c>
      <c r="C253" s="18">
        <v>2024</v>
      </c>
      <c r="D253" s="18" t="s">
        <v>45</v>
      </c>
      <c r="E253" s="18" t="s">
        <v>98</v>
      </c>
      <c r="F253" s="18" t="s">
        <v>99</v>
      </c>
      <c r="G253" s="18" t="s">
        <v>47</v>
      </c>
      <c r="H253" s="18" t="s">
        <v>81</v>
      </c>
      <c r="I253" s="18" t="s">
        <v>60</v>
      </c>
      <c r="J253" s="18" t="s">
        <v>102</v>
      </c>
      <c r="K253" s="18">
        <v>11</v>
      </c>
      <c r="L253" s="20">
        <v>794.45</v>
      </c>
      <c r="M253" s="21">
        <v>0</v>
      </c>
      <c r="N253" s="21">
        <v>0.57140328573889898</v>
      </c>
      <c r="O253" s="20">
        <f t="shared" si="12"/>
        <v>8738.9500000000007</v>
      </c>
      <c r="P253" s="20">
        <f t="shared" si="13"/>
        <v>4993.4647439079517</v>
      </c>
      <c r="Q253" s="20">
        <f t="shared" si="14"/>
        <v>3745.485256092049</v>
      </c>
      <c r="R253" s="22">
        <f t="shared" si="15"/>
        <v>0.42859671426110102</v>
      </c>
    </row>
    <row r="254" spans="1:18">
      <c r="A254" s="18">
        <v>1253</v>
      </c>
      <c r="B254" s="19" t="s">
        <v>184</v>
      </c>
      <c r="C254" s="18">
        <v>2024</v>
      </c>
      <c r="D254" s="18" t="s">
        <v>45</v>
      </c>
      <c r="E254" s="18" t="s">
        <v>88</v>
      </c>
      <c r="F254" s="18" t="s">
        <v>110</v>
      </c>
      <c r="G254" s="18" t="s">
        <v>44</v>
      </c>
      <c r="H254" s="18" t="s">
        <v>95</v>
      </c>
      <c r="I254" s="18" t="s">
        <v>60</v>
      </c>
      <c r="J254" s="18" t="s">
        <v>91</v>
      </c>
      <c r="K254" s="18">
        <v>6</v>
      </c>
      <c r="L254" s="20">
        <v>4395.3</v>
      </c>
      <c r="M254" s="21">
        <v>0.1</v>
      </c>
      <c r="N254" s="21">
        <v>0.56580384876288703</v>
      </c>
      <c r="O254" s="20">
        <f t="shared" si="12"/>
        <v>23734.620000000003</v>
      </c>
      <c r="P254" s="20">
        <f t="shared" si="13"/>
        <v>13429.139344924595</v>
      </c>
      <c r="Q254" s="20">
        <f t="shared" si="14"/>
        <v>10305.480655075407</v>
      </c>
      <c r="R254" s="22">
        <f t="shared" si="15"/>
        <v>0.43419615123711297</v>
      </c>
    </row>
    <row r="255" spans="1:18">
      <c r="A255" s="18">
        <v>1254</v>
      </c>
      <c r="B255" s="19" t="s">
        <v>184</v>
      </c>
      <c r="C255" s="18">
        <v>2024</v>
      </c>
      <c r="D255" s="18" t="s">
        <v>45</v>
      </c>
      <c r="E255" s="18" t="s">
        <v>85</v>
      </c>
      <c r="F255" s="18" t="s">
        <v>121</v>
      </c>
      <c r="G255" s="18" t="s">
        <v>44</v>
      </c>
      <c r="H255" s="18" t="s">
        <v>95</v>
      </c>
      <c r="I255" s="18" t="s">
        <v>49</v>
      </c>
      <c r="J255" s="18" t="s">
        <v>91</v>
      </c>
      <c r="K255" s="18">
        <v>11</v>
      </c>
      <c r="L255" s="20">
        <v>4647.63</v>
      </c>
      <c r="M255" s="21">
        <v>0</v>
      </c>
      <c r="N255" s="21">
        <v>0.680747143911831</v>
      </c>
      <c r="O255" s="20">
        <f t="shared" si="12"/>
        <v>51123.93</v>
      </c>
      <c r="P255" s="20">
        <f t="shared" si="13"/>
        <v>34802.469333048371</v>
      </c>
      <c r="Q255" s="20">
        <f t="shared" si="14"/>
        <v>16321.460666951629</v>
      </c>
      <c r="R255" s="22">
        <f t="shared" si="15"/>
        <v>0.31925285608816906</v>
      </c>
    </row>
    <row r="256" spans="1:18">
      <c r="A256" s="18">
        <v>1255</v>
      </c>
      <c r="B256" s="19" t="s">
        <v>185</v>
      </c>
      <c r="C256" s="18">
        <v>2024</v>
      </c>
      <c r="D256" s="18" t="s">
        <v>45</v>
      </c>
      <c r="E256" s="18" t="s">
        <v>79</v>
      </c>
      <c r="F256" s="18" t="s">
        <v>105</v>
      </c>
      <c r="G256" s="18" t="s">
        <v>50</v>
      </c>
      <c r="H256" s="18" t="s">
        <v>97</v>
      </c>
      <c r="I256" s="18" t="s">
        <v>60</v>
      </c>
      <c r="J256" s="18" t="s">
        <v>91</v>
      </c>
      <c r="K256" s="18">
        <v>1</v>
      </c>
      <c r="L256" s="20">
        <v>12164.1</v>
      </c>
      <c r="M256" s="21">
        <v>0.2</v>
      </c>
      <c r="N256" s="21">
        <v>0.58427671504420997</v>
      </c>
      <c r="O256" s="20">
        <f t="shared" si="12"/>
        <v>9731.2800000000007</v>
      </c>
      <c r="P256" s="20">
        <f t="shared" si="13"/>
        <v>5685.76031157542</v>
      </c>
      <c r="Q256" s="20">
        <f t="shared" si="14"/>
        <v>4045.5196884245806</v>
      </c>
      <c r="R256" s="22">
        <f t="shared" si="15"/>
        <v>0.41572328495579003</v>
      </c>
    </row>
    <row r="257" spans="1:18">
      <c r="A257" s="18">
        <v>1256</v>
      </c>
      <c r="B257" s="19" t="s">
        <v>185</v>
      </c>
      <c r="C257" s="18">
        <v>2024</v>
      </c>
      <c r="D257" s="18" t="s">
        <v>45</v>
      </c>
      <c r="E257" s="18" t="s">
        <v>85</v>
      </c>
      <c r="F257" s="18" t="s">
        <v>121</v>
      </c>
      <c r="G257" s="18" t="s">
        <v>47</v>
      </c>
      <c r="H257" s="18" t="s">
        <v>103</v>
      </c>
      <c r="I257" s="18" t="s">
        <v>43</v>
      </c>
      <c r="J257" s="18" t="s">
        <v>102</v>
      </c>
      <c r="K257" s="18">
        <v>1</v>
      </c>
      <c r="L257" s="20">
        <v>3113.53</v>
      </c>
      <c r="M257" s="21">
        <v>0.2</v>
      </c>
      <c r="N257" s="21">
        <v>0.72751086140689902</v>
      </c>
      <c r="O257" s="20">
        <f t="shared" si="12"/>
        <v>2490.8240000000005</v>
      </c>
      <c r="P257" s="20">
        <f t="shared" si="13"/>
        <v>1812.1015138529783</v>
      </c>
      <c r="Q257" s="20">
        <f t="shared" si="14"/>
        <v>678.72248614702221</v>
      </c>
      <c r="R257" s="22">
        <f t="shared" si="15"/>
        <v>0.27248913859310092</v>
      </c>
    </row>
    <row r="258" spans="1:18">
      <c r="A258" s="18">
        <v>1257</v>
      </c>
      <c r="B258" s="19" t="s">
        <v>186</v>
      </c>
      <c r="C258" s="18">
        <v>2024</v>
      </c>
      <c r="D258" s="18" t="s">
        <v>45</v>
      </c>
      <c r="E258" s="18" t="s">
        <v>98</v>
      </c>
      <c r="F258" s="18" t="s">
        <v>117</v>
      </c>
      <c r="G258" s="18" t="s">
        <v>41</v>
      </c>
      <c r="H258" s="18" t="s">
        <v>106</v>
      </c>
      <c r="I258" s="18" t="s">
        <v>60</v>
      </c>
      <c r="J258" s="18" t="s">
        <v>102</v>
      </c>
      <c r="K258" s="18">
        <v>11</v>
      </c>
      <c r="L258" s="20">
        <v>2383.23</v>
      </c>
      <c r="M258" s="21">
        <v>0.05</v>
      </c>
      <c r="N258" s="21">
        <v>0.55313161903838703</v>
      </c>
      <c r="O258" s="20">
        <f t="shared" ref="O258:O321" si="16">K258*L258*(1-M258)</f>
        <v>24904.753499999999</v>
      </c>
      <c r="P258" s="20">
        <f t="shared" ref="P258:P321" si="17">O258*N258</f>
        <v>13775.606625206936</v>
      </c>
      <c r="Q258" s="20">
        <f t="shared" ref="Q258:Q321" si="18">O258-P258</f>
        <v>11129.146874793063</v>
      </c>
      <c r="R258" s="22">
        <f t="shared" ref="R258:R321" si="19">IF(O258=0,0,Q258/O258)</f>
        <v>0.44686838096161297</v>
      </c>
    </row>
    <row r="259" spans="1:18">
      <c r="A259" s="18">
        <v>1258</v>
      </c>
      <c r="B259" s="19" t="s">
        <v>186</v>
      </c>
      <c r="C259" s="18">
        <v>2024</v>
      </c>
      <c r="D259" s="18" t="s">
        <v>45</v>
      </c>
      <c r="E259" s="18" t="s">
        <v>88</v>
      </c>
      <c r="F259" s="18" t="s">
        <v>93</v>
      </c>
      <c r="G259" s="18" t="s">
        <v>44</v>
      </c>
      <c r="H259" s="18" t="s">
        <v>95</v>
      </c>
      <c r="I259" s="18" t="s">
        <v>56</v>
      </c>
      <c r="J259" s="18" t="s">
        <v>82</v>
      </c>
      <c r="K259" s="18">
        <v>5</v>
      </c>
      <c r="L259" s="20">
        <v>4348.1000000000004</v>
      </c>
      <c r="M259" s="21">
        <v>0</v>
      </c>
      <c r="N259" s="21">
        <v>0.66333918397821601</v>
      </c>
      <c r="O259" s="20">
        <f t="shared" si="16"/>
        <v>21740.5</v>
      </c>
      <c r="P259" s="20">
        <f t="shared" si="17"/>
        <v>14421.325529278405</v>
      </c>
      <c r="Q259" s="20">
        <f t="shared" si="18"/>
        <v>7319.1744707215948</v>
      </c>
      <c r="R259" s="22">
        <f t="shared" si="19"/>
        <v>0.33666081602178399</v>
      </c>
    </row>
    <row r="260" spans="1:18">
      <c r="A260" s="18">
        <v>1259</v>
      </c>
      <c r="B260" s="19" t="s">
        <v>186</v>
      </c>
      <c r="C260" s="18">
        <v>2024</v>
      </c>
      <c r="D260" s="18" t="s">
        <v>45</v>
      </c>
      <c r="E260" s="18" t="s">
        <v>85</v>
      </c>
      <c r="F260" s="18" t="s">
        <v>94</v>
      </c>
      <c r="G260" s="18" t="s">
        <v>47</v>
      </c>
      <c r="H260" s="18" t="s">
        <v>107</v>
      </c>
      <c r="I260" s="18" t="s">
        <v>46</v>
      </c>
      <c r="J260" s="18" t="s">
        <v>102</v>
      </c>
      <c r="K260" s="18">
        <v>12</v>
      </c>
      <c r="L260" s="20">
        <v>2107.25</v>
      </c>
      <c r="M260" s="21">
        <v>0.2</v>
      </c>
      <c r="N260" s="21">
        <v>0.74486466548719898</v>
      </c>
      <c r="O260" s="20">
        <f t="shared" si="16"/>
        <v>20229.600000000002</v>
      </c>
      <c r="P260" s="20">
        <f t="shared" si="17"/>
        <v>15068.314236939843</v>
      </c>
      <c r="Q260" s="20">
        <f t="shared" si="18"/>
        <v>5161.2857630601593</v>
      </c>
      <c r="R260" s="22">
        <f t="shared" si="19"/>
        <v>0.25513533451280096</v>
      </c>
    </row>
    <row r="261" spans="1:18">
      <c r="A261" s="18">
        <v>1260</v>
      </c>
      <c r="B261" s="19" t="s">
        <v>186</v>
      </c>
      <c r="C261" s="18">
        <v>2024</v>
      </c>
      <c r="D261" s="18" t="s">
        <v>45</v>
      </c>
      <c r="E261" s="18" t="s">
        <v>79</v>
      </c>
      <c r="F261" s="18" t="s">
        <v>100</v>
      </c>
      <c r="G261" s="18" t="s">
        <v>50</v>
      </c>
      <c r="H261" s="18" t="s">
        <v>83</v>
      </c>
      <c r="I261" s="18" t="s">
        <v>43</v>
      </c>
      <c r="J261" s="18" t="s">
        <v>91</v>
      </c>
      <c r="K261" s="18">
        <v>10</v>
      </c>
      <c r="L261" s="20">
        <v>3594.15</v>
      </c>
      <c r="M261" s="21">
        <v>0.15</v>
      </c>
      <c r="N261" s="21">
        <v>0.62934060986179197</v>
      </c>
      <c r="O261" s="20">
        <f t="shared" si="16"/>
        <v>30550.274999999998</v>
      </c>
      <c r="P261" s="20">
        <f t="shared" si="17"/>
        <v>19226.528699945455</v>
      </c>
      <c r="Q261" s="20">
        <f t="shared" si="18"/>
        <v>11323.746300054543</v>
      </c>
      <c r="R261" s="22">
        <f t="shared" si="19"/>
        <v>0.37065939013820803</v>
      </c>
    </row>
    <row r="262" spans="1:18">
      <c r="A262" s="18">
        <v>1261</v>
      </c>
      <c r="B262" s="19" t="s">
        <v>186</v>
      </c>
      <c r="C262" s="18">
        <v>2024</v>
      </c>
      <c r="D262" s="18" t="s">
        <v>45</v>
      </c>
      <c r="E262" s="18" t="s">
        <v>98</v>
      </c>
      <c r="F262" s="18" t="s">
        <v>117</v>
      </c>
      <c r="G262" s="18" t="s">
        <v>47</v>
      </c>
      <c r="H262" s="18" t="s">
        <v>107</v>
      </c>
      <c r="I262" s="18" t="s">
        <v>58</v>
      </c>
      <c r="J262" s="18" t="s">
        <v>82</v>
      </c>
      <c r="K262" s="18">
        <v>6</v>
      </c>
      <c r="L262" s="20">
        <v>2211.67</v>
      </c>
      <c r="M262" s="21">
        <v>0.1</v>
      </c>
      <c r="N262" s="21">
        <v>0.63636958924790898</v>
      </c>
      <c r="O262" s="20">
        <f t="shared" si="16"/>
        <v>11943.018</v>
      </c>
      <c r="P262" s="20">
        <f t="shared" si="17"/>
        <v>7600.1734590403839</v>
      </c>
      <c r="Q262" s="20">
        <f t="shared" si="18"/>
        <v>4342.8445409596161</v>
      </c>
      <c r="R262" s="22">
        <f t="shared" si="19"/>
        <v>0.36363041075209096</v>
      </c>
    </row>
    <row r="263" spans="1:18">
      <c r="A263" s="18">
        <v>1262</v>
      </c>
      <c r="B263" s="19" t="s">
        <v>187</v>
      </c>
      <c r="C263" s="18">
        <v>2024</v>
      </c>
      <c r="D263" s="18" t="s">
        <v>45</v>
      </c>
      <c r="E263" s="18" t="s">
        <v>79</v>
      </c>
      <c r="F263" s="18" t="s">
        <v>80</v>
      </c>
      <c r="G263" s="18" t="s">
        <v>47</v>
      </c>
      <c r="H263" s="18" t="s">
        <v>81</v>
      </c>
      <c r="I263" s="18" t="s">
        <v>43</v>
      </c>
      <c r="J263" s="18" t="s">
        <v>82</v>
      </c>
      <c r="K263" s="18">
        <v>5</v>
      </c>
      <c r="L263" s="20">
        <v>772.34</v>
      </c>
      <c r="M263" s="21">
        <v>0.2</v>
      </c>
      <c r="N263" s="21">
        <v>0.70677805637404501</v>
      </c>
      <c r="O263" s="20">
        <f t="shared" si="16"/>
        <v>3089.3600000000006</v>
      </c>
      <c r="P263" s="20">
        <f t="shared" si="17"/>
        <v>2183.4918562397202</v>
      </c>
      <c r="Q263" s="20">
        <f t="shared" si="18"/>
        <v>905.86814376028042</v>
      </c>
      <c r="R263" s="22">
        <f t="shared" si="19"/>
        <v>0.29322194362595499</v>
      </c>
    </row>
    <row r="264" spans="1:18">
      <c r="A264" s="18">
        <v>1263</v>
      </c>
      <c r="B264" s="19" t="s">
        <v>187</v>
      </c>
      <c r="C264" s="18">
        <v>2024</v>
      </c>
      <c r="D264" s="18" t="s">
        <v>45</v>
      </c>
      <c r="E264" s="18" t="s">
        <v>88</v>
      </c>
      <c r="F264" s="18" t="s">
        <v>93</v>
      </c>
      <c r="G264" s="18" t="s">
        <v>50</v>
      </c>
      <c r="H264" s="18" t="s">
        <v>97</v>
      </c>
      <c r="I264" s="18" t="s">
        <v>54</v>
      </c>
      <c r="J264" s="18" t="s">
        <v>82</v>
      </c>
      <c r="K264" s="18">
        <v>2</v>
      </c>
      <c r="L264" s="20">
        <v>11406.23</v>
      </c>
      <c r="M264" s="21">
        <v>0.05</v>
      </c>
      <c r="N264" s="21">
        <v>0.63894717299925896</v>
      </c>
      <c r="O264" s="20">
        <f t="shared" si="16"/>
        <v>21671.837</v>
      </c>
      <c r="P264" s="20">
        <f t="shared" si="17"/>
        <v>13847.158984850741</v>
      </c>
      <c r="Q264" s="20">
        <f t="shared" si="18"/>
        <v>7824.6780151492585</v>
      </c>
      <c r="R264" s="22">
        <f t="shared" si="19"/>
        <v>0.36105282700074104</v>
      </c>
    </row>
    <row r="265" spans="1:18">
      <c r="A265" s="18">
        <v>1264</v>
      </c>
      <c r="B265" s="19" t="s">
        <v>187</v>
      </c>
      <c r="C265" s="18">
        <v>2024</v>
      </c>
      <c r="D265" s="18" t="s">
        <v>45</v>
      </c>
      <c r="E265" s="18" t="s">
        <v>98</v>
      </c>
      <c r="F265" s="18" t="s">
        <v>117</v>
      </c>
      <c r="G265" s="18" t="s">
        <v>44</v>
      </c>
      <c r="H265" s="18" t="s">
        <v>119</v>
      </c>
      <c r="I265" s="18" t="s">
        <v>46</v>
      </c>
      <c r="J265" s="18" t="s">
        <v>91</v>
      </c>
      <c r="K265" s="18">
        <v>8</v>
      </c>
      <c r="L265" s="20">
        <v>7039.89</v>
      </c>
      <c r="M265" s="21">
        <v>0.15</v>
      </c>
      <c r="N265" s="21">
        <v>0.63160883501662801</v>
      </c>
      <c r="O265" s="20">
        <f t="shared" si="16"/>
        <v>47871.252</v>
      </c>
      <c r="P265" s="20">
        <f t="shared" si="17"/>
        <v>30235.905706507423</v>
      </c>
      <c r="Q265" s="20">
        <f t="shared" si="18"/>
        <v>17635.346293492577</v>
      </c>
      <c r="R265" s="22">
        <f t="shared" si="19"/>
        <v>0.36839116498337199</v>
      </c>
    </row>
    <row r="266" spans="1:18">
      <c r="A266" s="18">
        <v>1265</v>
      </c>
      <c r="B266" s="19" t="s">
        <v>187</v>
      </c>
      <c r="C266" s="18">
        <v>2024</v>
      </c>
      <c r="D266" s="18" t="s">
        <v>45</v>
      </c>
      <c r="E266" s="18" t="s">
        <v>79</v>
      </c>
      <c r="F266" s="18" t="s">
        <v>100</v>
      </c>
      <c r="G266" s="18" t="s">
        <v>47</v>
      </c>
      <c r="H266" s="18" t="s">
        <v>103</v>
      </c>
      <c r="I266" s="18" t="s">
        <v>43</v>
      </c>
      <c r="J266" s="18" t="s">
        <v>102</v>
      </c>
      <c r="K266" s="18">
        <v>10</v>
      </c>
      <c r="L266" s="20">
        <v>3291.02</v>
      </c>
      <c r="M266" s="21">
        <v>0.1</v>
      </c>
      <c r="N266" s="21">
        <v>0.55246812297679104</v>
      </c>
      <c r="O266" s="20">
        <f t="shared" si="16"/>
        <v>29619.179999999997</v>
      </c>
      <c r="P266" s="20">
        <f t="shared" si="17"/>
        <v>16363.652778711708</v>
      </c>
      <c r="Q266" s="20">
        <f t="shared" si="18"/>
        <v>13255.527221288288</v>
      </c>
      <c r="R266" s="22">
        <f t="shared" si="19"/>
        <v>0.44753187702320896</v>
      </c>
    </row>
    <row r="267" spans="1:18">
      <c r="A267" s="18">
        <v>1266</v>
      </c>
      <c r="B267" s="19" t="s">
        <v>187</v>
      </c>
      <c r="C267" s="18">
        <v>2024</v>
      </c>
      <c r="D267" s="18" t="s">
        <v>45</v>
      </c>
      <c r="E267" s="18" t="s">
        <v>85</v>
      </c>
      <c r="F267" s="18" t="s">
        <v>121</v>
      </c>
      <c r="G267" s="18" t="s">
        <v>41</v>
      </c>
      <c r="H267" s="18" t="s">
        <v>101</v>
      </c>
      <c r="I267" s="18" t="s">
        <v>62</v>
      </c>
      <c r="J267" s="18" t="s">
        <v>102</v>
      </c>
      <c r="K267" s="18">
        <v>3</v>
      </c>
      <c r="L267" s="20">
        <v>56019.24</v>
      </c>
      <c r="M267" s="21">
        <v>0</v>
      </c>
      <c r="N267" s="21">
        <v>0.57776801179188297</v>
      </c>
      <c r="O267" s="20">
        <f t="shared" si="16"/>
        <v>168057.72</v>
      </c>
      <c r="P267" s="20">
        <f t="shared" si="17"/>
        <v>97098.374750676972</v>
      </c>
      <c r="Q267" s="20">
        <f t="shared" si="18"/>
        <v>70959.345249323029</v>
      </c>
      <c r="R267" s="22">
        <f t="shared" si="19"/>
        <v>0.42223198820811703</v>
      </c>
    </row>
    <row r="268" spans="1:18">
      <c r="A268" s="18">
        <v>1267</v>
      </c>
      <c r="B268" s="19" t="s">
        <v>188</v>
      </c>
      <c r="C268" s="18">
        <v>2024</v>
      </c>
      <c r="D268" s="18" t="s">
        <v>45</v>
      </c>
      <c r="E268" s="18" t="s">
        <v>98</v>
      </c>
      <c r="F268" s="18" t="s">
        <v>109</v>
      </c>
      <c r="G268" s="18" t="s">
        <v>44</v>
      </c>
      <c r="H268" s="18" t="s">
        <v>119</v>
      </c>
      <c r="I268" s="18" t="s">
        <v>46</v>
      </c>
      <c r="J268" s="18" t="s">
        <v>91</v>
      </c>
      <c r="K268" s="18">
        <v>5</v>
      </c>
      <c r="L268" s="20">
        <v>6944.77</v>
      </c>
      <c r="M268" s="21">
        <v>0.1</v>
      </c>
      <c r="N268" s="21">
        <v>0.70653332483309705</v>
      </c>
      <c r="O268" s="20">
        <f t="shared" si="16"/>
        <v>31251.465000000007</v>
      </c>
      <c r="P268" s="20">
        <f t="shared" si="17"/>
        <v>22080.201472355169</v>
      </c>
      <c r="Q268" s="20">
        <f t="shared" si="18"/>
        <v>9171.2635276448382</v>
      </c>
      <c r="R268" s="22">
        <f t="shared" si="19"/>
        <v>0.29346667516690295</v>
      </c>
    </row>
    <row r="269" spans="1:18">
      <c r="A269" s="18">
        <v>1268</v>
      </c>
      <c r="B269" s="19" t="s">
        <v>188</v>
      </c>
      <c r="C269" s="18">
        <v>2024</v>
      </c>
      <c r="D269" s="18" t="s">
        <v>45</v>
      </c>
      <c r="E269" s="18" t="s">
        <v>98</v>
      </c>
      <c r="F269" s="18" t="s">
        <v>109</v>
      </c>
      <c r="G269" s="18" t="s">
        <v>44</v>
      </c>
      <c r="H269" s="18" t="s">
        <v>95</v>
      </c>
      <c r="I269" s="18" t="s">
        <v>58</v>
      </c>
      <c r="J269" s="18" t="s">
        <v>102</v>
      </c>
      <c r="K269" s="18">
        <v>10</v>
      </c>
      <c r="L269" s="20">
        <v>4363</v>
      </c>
      <c r="M269" s="21">
        <v>0</v>
      </c>
      <c r="N269" s="21">
        <v>0.57709790513613501</v>
      </c>
      <c r="O269" s="20">
        <f t="shared" si="16"/>
        <v>43630</v>
      </c>
      <c r="P269" s="20">
        <f t="shared" si="17"/>
        <v>25178.781601089569</v>
      </c>
      <c r="Q269" s="20">
        <f t="shared" si="18"/>
        <v>18451.218398910431</v>
      </c>
      <c r="R269" s="22">
        <f t="shared" si="19"/>
        <v>0.42290209486386504</v>
      </c>
    </row>
    <row r="270" spans="1:18">
      <c r="A270" s="18">
        <v>1269</v>
      </c>
      <c r="B270" s="19" t="s">
        <v>188</v>
      </c>
      <c r="C270" s="18">
        <v>2024</v>
      </c>
      <c r="D270" s="18" t="s">
        <v>45</v>
      </c>
      <c r="E270" s="18" t="s">
        <v>79</v>
      </c>
      <c r="F270" s="18" t="s">
        <v>105</v>
      </c>
      <c r="G270" s="18" t="s">
        <v>47</v>
      </c>
      <c r="H270" s="18" t="s">
        <v>103</v>
      </c>
      <c r="I270" s="18" t="s">
        <v>56</v>
      </c>
      <c r="J270" s="18" t="s">
        <v>91</v>
      </c>
      <c r="K270" s="18">
        <v>8</v>
      </c>
      <c r="L270" s="20">
        <v>3147.12</v>
      </c>
      <c r="M270" s="21">
        <v>0.2</v>
      </c>
      <c r="N270" s="21">
        <v>0.74484507530092103</v>
      </c>
      <c r="O270" s="20">
        <f t="shared" si="16"/>
        <v>20141.567999999999</v>
      </c>
      <c r="P270" s="20">
        <f t="shared" si="17"/>
        <v>15002.34773363862</v>
      </c>
      <c r="Q270" s="20">
        <f t="shared" si="18"/>
        <v>5139.2202663613789</v>
      </c>
      <c r="R270" s="22">
        <f t="shared" si="19"/>
        <v>0.25515492469907897</v>
      </c>
    </row>
    <row r="271" spans="1:18">
      <c r="A271" s="18">
        <v>1270</v>
      </c>
      <c r="B271" s="19" t="s">
        <v>188</v>
      </c>
      <c r="C271" s="18">
        <v>2024</v>
      </c>
      <c r="D271" s="18" t="s">
        <v>45</v>
      </c>
      <c r="E271" s="18" t="s">
        <v>88</v>
      </c>
      <c r="F271" s="18" t="s">
        <v>89</v>
      </c>
      <c r="G271" s="18" t="s">
        <v>47</v>
      </c>
      <c r="H271" s="18" t="s">
        <v>103</v>
      </c>
      <c r="I271" s="18" t="s">
        <v>49</v>
      </c>
      <c r="J271" s="18" t="s">
        <v>91</v>
      </c>
      <c r="K271" s="18">
        <v>6</v>
      </c>
      <c r="L271" s="20">
        <v>3096.84</v>
      </c>
      <c r="M271" s="21">
        <v>0.1</v>
      </c>
      <c r="N271" s="21">
        <v>0.74374504434933897</v>
      </c>
      <c r="O271" s="20">
        <f t="shared" si="16"/>
        <v>16722.936000000002</v>
      </c>
      <c r="P271" s="20">
        <f t="shared" si="17"/>
        <v>12437.600776971158</v>
      </c>
      <c r="Q271" s="20">
        <f t="shared" si="18"/>
        <v>4285.3352230288438</v>
      </c>
      <c r="R271" s="22">
        <f t="shared" si="19"/>
        <v>0.25625495565066109</v>
      </c>
    </row>
    <row r="272" spans="1:18">
      <c r="A272" s="18">
        <v>1271</v>
      </c>
      <c r="B272" s="19" t="s">
        <v>189</v>
      </c>
      <c r="C272" s="18">
        <v>2024</v>
      </c>
      <c r="D272" s="18" t="s">
        <v>45</v>
      </c>
      <c r="E272" s="18" t="s">
        <v>85</v>
      </c>
      <c r="F272" s="18" t="s">
        <v>94</v>
      </c>
      <c r="G272" s="18" t="s">
        <v>44</v>
      </c>
      <c r="H272" s="18" t="s">
        <v>114</v>
      </c>
      <c r="I272" s="18" t="s">
        <v>56</v>
      </c>
      <c r="J272" s="18" t="s">
        <v>91</v>
      </c>
      <c r="K272" s="18">
        <v>7</v>
      </c>
      <c r="L272" s="20">
        <v>8878.51</v>
      </c>
      <c r="M272" s="21">
        <v>0.15</v>
      </c>
      <c r="N272" s="21">
        <v>0.58996000974212204</v>
      </c>
      <c r="O272" s="20">
        <f t="shared" si="16"/>
        <v>52827.1345</v>
      </c>
      <c r="P272" s="20">
        <f t="shared" si="17"/>
        <v>31165.896784268392</v>
      </c>
      <c r="Q272" s="20">
        <f t="shared" si="18"/>
        <v>21661.237715731608</v>
      </c>
      <c r="R272" s="22">
        <f t="shared" si="19"/>
        <v>0.41003999025787796</v>
      </c>
    </row>
    <row r="273" spans="1:18">
      <c r="A273" s="18">
        <v>1272</v>
      </c>
      <c r="B273" s="19" t="s">
        <v>189</v>
      </c>
      <c r="C273" s="18">
        <v>2024</v>
      </c>
      <c r="D273" s="18" t="s">
        <v>45</v>
      </c>
      <c r="E273" s="18" t="s">
        <v>88</v>
      </c>
      <c r="F273" s="18" t="s">
        <v>93</v>
      </c>
      <c r="G273" s="18" t="s">
        <v>41</v>
      </c>
      <c r="H273" s="18" t="s">
        <v>112</v>
      </c>
      <c r="I273" s="18" t="s">
        <v>49</v>
      </c>
      <c r="J273" s="18" t="s">
        <v>91</v>
      </c>
      <c r="K273" s="18">
        <v>5</v>
      </c>
      <c r="L273" s="20">
        <v>6198.77</v>
      </c>
      <c r="M273" s="21">
        <v>0</v>
      </c>
      <c r="N273" s="21">
        <v>0.71379311360089204</v>
      </c>
      <c r="O273" s="20">
        <f t="shared" si="16"/>
        <v>30993.850000000002</v>
      </c>
      <c r="P273" s="20">
        <f t="shared" si="17"/>
        <v>22123.196693979011</v>
      </c>
      <c r="Q273" s="20">
        <f t="shared" si="18"/>
        <v>8870.6533060209913</v>
      </c>
      <c r="R273" s="22">
        <f t="shared" si="19"/>
        <v>0.28620688639910791</v>
      </c>
    </row>
    <row r="274" spans="1:18">
      <c r="A274" s="18">
        <v>1273</v>
      </c>
      <c r="B274" s="19" t="s">
        <v>189</v>
      </c>
      <c r="C274" s="18">
        <v>2024</v>
      </c>
      <c r="D274" s="18" t="s">
        <v>45</v>
      </c>
      <c r="E274" s="18" t="s">
        <v>85</v>
      </c>
      <c r="F274" s="18" t="s">
        <v>94</v>
      </c>
      <c r="G274" s="18" t="s">
        <v>50</v>
      </c>
      <c r="H274" s="18" t="s">
        <v>83</v>
      </c>
      <c r="I274" s="18" t="s">
        <v>52</v>
      </c>
      <c r="J274" s="18" t="s">
        <v>82</v>
      </c>
      <c r="K274" s="18">
        <v>5</v>
      </c>
      <c r="L274" s="20">
        <v>3555.53</v>
      </c>
      <c r="M274" s="21">
        <v>0.2</v>
      </c>
      <c r="N274" s="21">
        <v>0.63462559102338101</v>
      </c>
      <c r="O274" s="20">
        <f t="shared" si="16"/>
        <v>14222.120000000003</v>
      </c>
      <c r="P274" s="20">
        <f t="shared" si="17"/>
        <v>9025.7213106054496</v>
      </c>
      <c r="Q274" s="20">
        <f t="shared" si="18"/>
        <v>5196.398689394553</v>
      </c>
      <c r="R274" s="22">
        <f t="shared" si="19"/>
        <v>0.36537440897661894</v>
      </c>
    </row>
    <row r="275" spans="1:18">
      <c r="A275" s="18">
        <v>1274</v>
      </c>
      <c r="B275" s="19" t="s">
        <v>189</v>
      </c>
      <c r="C275" s="18">
        <v>2024</v>
      </c>
      <c r="D275" s="18" t="s">
        <v>45</v>
      </c>
      <c r="E275" s="18" t="s">
        <v>85</v>
      </c>
      <c r="F275" s="18" t="s">
        <v>86</v>
      </c>
      <c r="G275" s="18" t="s">
        <v>50</v>
      </c>
      <c r="H275" s="18" t="s">
        <v>87</v>
      </c>
      <c r="I275" s="18" t="s">
        <v>58</v>
      </c>
      <c r="J275" s="18" t="s">
        <v>102</v>
      </c>
      <c r="K275" s="18">
        <v>7</v>
      </c>
      <c r="L275" s="20">
        <v>9532.65</v>
      </c>
      <c r="M275" s="21">
        <v>0.2</v>
      </c>
      <c r="N275" s="21">
        <v>0.63366013846344504</v>
      </c>
      <c r="O275" s="20">
        <f t="shared" si="16"/>
        <v>53382.840000000004</v>
      </c>
      <c r="P275" s="20">
        <f t="shared" si="17"/>
        <v>33826.577785971938</v>
      </c>
      <c r="Q275" s="20">
        <f t="shared" si="18"/>
        <v>19556.262214028066</v>
      </c>
      <c r="R275" s="22">
        <f t="shared" si="19"/>
        <v>0.3663398615365549</v>
      </c>
    </row>
    <row r="276" spans="1:18">
      <c r="A276" s="18">
        <v>1275</v>
      </c>
      <c r="B276" s="19" t="s">
        <v>190</v>
      </c>
      <c r="C276" s="18">
        <v>2024</v>
      </c>
      <c r="D276" s="18" t="s">
        <v>45</v>
      </c>
      <c r="E276" s="18" t="s">
        <v>98</v>
      </c>
      <c r="F276" s="18" t="s">
        <v>99</v>
      </c>
      <c r="G276" s="18" t="s">
        <v>41</v>
      </c>
      <c r="H276" s="18" t="s">
        <v>90</v>
      </c>
      <c r="I276" s="18" t="s">
        <v>49</v>
      </c>
      <c r="J276" s="18" t="s">
        <v>102</v>
      </c>
      <c r="K276" s="18">
        <v>11</v>
      </c>
      <c r="L276" s="20">
        <v>17739.02</v>
      </c>
      <c r="M276" s="21">
        <v>0.2</v>
      </c>
      <c r="N276" s="21">
        <v>0.67253558046265904</v>
      </c>
      <c r="O276" s="20">
        <f t="shared" si="16"/>
        <v>156103.37600000002</v>
      </c>
      <c r="P276" s="20">
        <f t="shared" si="17"/>
        <v>104985.07459034074</v>
      </c>
      <c r="Q276" s="20">
        <f t="shared" si="18"/>
        <v>51118.301409659281</v>
      </c>
      <c r="R276" s="22">
        <f t="shared" si="19"/>
        <v>0.3274644195373409</v>
      </c>
    </row>
    <row r="277" spans="1:18">
      <c r="A277" s="18">
        <v>1276</v>
      </c>
      <c r="B277" s="19" t="s">
        <v>190</v>
      </c>
      <c r="C277" s="18">
        <v>2024</v>
      </c>
      <c r="D277" s="18" t="s">
        <v>45</v>
      </c>
      <c r="E277" s="18" t="s">
        <v>85</v>
      </c>
      <c r="F277" s="18" t="s">
        <v>121</v>
      </c>
      <c r="G277" s="18" t="s">
        <v>50</v>
      </c>
      <c r="H277" s="18" t="s">
        <v>83</v>
      </c>
      <c r="I277" s="18" t="s">
        <v>40</v>
      </c>
      <c r="J277" s="18" t="s">
        <v>82</v>
      </c>
      <c r="K277" s="18">
        <v>5</v>
      </c>
      <c r="L277" s="20">
        <v>3402.7</v>
      </c>
      <c r="M277" s="21">
        <v>0.2</v>
      </c>
      <c r="N277" s="21">
        <v>0.65375955336987002</v>
      </c>
      <c r="O277" s="20">
        <f t="shared" si="16"/>
        <v>13610.800000000001</v>
      </c>
      <c r="P277" s="20">
        <f t="shared" si="17"/>
        <v>8898.1905290066279</v>
      </c>
      <c r="Q277" s="20">
        <f t="shared" si="18"/>
        <v>4712.6094709933732</v>
      </c>
      <c r="R277" s="22">
        <f t="shared" si="19"/>
        <v>0.34624044663012998</v>
      </c>
    </row>
    <row r="278" spans="1:18">
      <c r="A278" s="18">
        <v>1277</v>
      </c>
      <c r="B278" s="19" t="s">
        <v>191</v>
      </c>
      <c r="C278" s="18">
        <v>2024</v>
      </c>
      <c r="D278" s="18" t="s">
        <v>45</v>
      </c>
      <c r="E278" s="18" t="s">
        <v>85</v>
      </c>
      <c r="F278" s="18" t="s">
        <v>121</v>
      </c>
      <c r="G278" s="18" t="s">
        <v>50</v>
      </c>
      <c r="H278" s="18" t="s">
        <v>97</v>
      </c>
      <c r="I278" s="18" t="s">
        <v>62</v>
      </c>
      <c r="J278" s="18" t="s">
        <v>102</v>
      </c>
      <c r="K278" s="18">
        <v>9</v>
      </c>
      <c r="L278" s="20">
        <v>11580.89</v>
      </c>
      <c r="M278" s="21">
        <v>0</v>
      </c>
      <c r="N278" s="21">
        <v>0.64655421689830594</v>
      </c>
      <c r="O278" s="20">
        <f t="shared" si="16"/>
        <v>104228.01</v>
      </c>
      <c r="P278" s="20">
        <f t="shared" si="17"/>
        <v>67389.059384418797</v>
      </c>
      <c r="Q278" s="20">
        <f t="shared" si="18"/>
        <v>36838.950615581198</v>
      </c>
      <c r="R278" s="22">
        <f t="shared" si="19"/>
        <v>0.35344578310169406</v>
      </c>
    </row>
    <row r="279" spans="1:18">
      <c r="A279" s="18">
        <v>1278</v>
      </c>
      <c r="B279" s="19" t="s">
        <v>191</v>
      </c>
      <c r="C279" s="18">
        <v>2024</v>
      </c>
      <c r="D279" s="18" t="s">
        <v>45</v>
      </c>
      <c r="E279" s="18" t="s">
        <v>98</v>
      </c>
      <c r="F279" s="18" t="s">
        <v>109</v>
      </c>
      <c r="G279" s="18" t="s">
        <v>41</v>
      </c>
      <c r="H279" s="18" t="s">
        <v>90</v>
      </c>
      <c r="I279" s="18" t="s">
        <v>46</v>
      </c>
      <c r="J279" s="18" t="s">
        <v>91</v>
      </c>
      <c r="K279" s="18">
        <v>5</v>
      </c>
      <c r="L279" s="20">
        <v>17717.52</v>
      </c>
      <c r="M279" s="21">
        <v>0</v>
      </c>
      <c r="N279" s="21">
        <v>0.65422296596009399</v>
      </c>
      <c r="O279" s="20">
        <f t="shared" si="16"/>
        <v>88587.6</v>
      </c>
      <c r="P279" s="20">
        <f t="shared" si="17"/>
        <v>57956.042419286423</v>
      </c>
      <c r="Q279" s="20">
        <f t="shared" si="18"/>
        <v>30631.557580713583</v>
      </c>
      <c r="R279" s="22">
        <f t="shared" si="19"/>
        <v>0.34577703403990606</v>
      </c>
    </row>
    <row r="280" spans="1:18">
      <c r="A280" s="18">
        <v>1279</v>
      </c>
      <c r="B280" s="19" t="s">
        <v>191</v>
      </c>
      <c r="C280" s="18">
        <v>2024</v>
      </c>
      <c r="D280" s="18" t="s">
        <v>45</v>
      </c>
      <c r="E280" s="18" t="s">
        <v>98</v>
      </c>
      <c r="F280" s="18" t="s">
        <v>109</v>
      </c>
      <c r="G280" s="18" t="s">
        <v>41</v>
      </c>
      <c r="H280" s="18" t="s">
        <v>112</v>
      </c>
      <c r="I280" s="18" t="s">
        <v>58</v>
      </c>
      <c r="J280" s="18" t="s">
        <v>91</v>
      </c>
      <c r="K280" s="18">
        <v>2</v>
      </c>
      <c r="L280" s="20">
        <v>5880.16</v>
      </c>
      <c r="M280" s="21">
        <v>0.2</v>
      </c>
      <c r="N280" s="21">
        <v>0.57301705333975705</v>
      </c>
      <c r="O280" s="20">
        <f t="shared" si="16"/>
        <v>9408.2559999999994</v>
      </c>
      <c r="P280" s="20">
        <f t="shared" si="17"/>
        <v>5391.0911301860888</v>
      </c>
      <c r="Q280" s="20">
        <f t="shared" si="18"/>
        <v>4017.1648698139106</v>
      </c>
      <c r="R280" s="22">
        <f t="shared" si="19"/>
        <v>0.42698294666024295</v>
      </c>
    </row>
    <row r="281" spans="1:18">
      <c r="A281" s="18">
        <v>1280</v>
      </c>
      <c r="B281" s="19" t="s">
        <v>192</v>
      </c>
      <c r="C281" s="18">
        <v>2024</v>
      </c>
      <c r="D281" s="18" t="s">
        <v>45</v>
      </c>
      <c r="E281" s="18" t="s">
        <v>79</v>
      </c>
      <c r="F281" s="18" t="s">
        <v>80</v>
      </c>
      <c r="G281" s="18" t="s">
        <v>44</v>
      </c>
      <c r="H281" s="18" t="s">
        <v>95</v>
      </c>
      <c r="I281" s="18" t="s">
        <v>49</v>
      </c>
      <c r="J281" s="18" t="s">
        <v>102</v>
      </c>
      <c r="K281" s="18">
        <v>3</v>
      </c>
      <c r="L281" s="20">
        <v>4523.3599999999997</v>
      </c>
      <c r="M281" s="21">
        <v>0.05</v>
      </c>
      <c r="N281" s="21">
        <v>0.661969790497973</v>
      </c>
      <c r="O281" s="20">
        <f t="shared" si="16"/>
        <v>12891.575999999997</v>
      </c>
      <c r="P281" s="20">
        <f t="shared" si="17"/>
        <v>8533.8338639086942</v>
      </c>
      <c r="Q281" s="20">
        <f t="shared" si="18"/>
        <v>4357.7421360913031</v>
      </c>
      <c r="R281" s="22">
        <f t="shared" si="19"/>
        <v>0.33803020950202706</v>
      </c>
    </row>
    <row r="282" spans="1:18">
      <c r="A282" s="18">
        <v>1281</v>
      </c>
      <c r="B282" s="19" t="s">
        <v>192</v>
      </c>
      <c r="C282" s="18">
        <v>2024</v>
      </c>
      <c r="D282" s="18" t="s">
        <v>45</v>
      </c>
      <c r="E282" s="18" t="s">
        <v>85</v>
      </c>
      <c r="F282" s="18" t="s">
        <v>86</v>
      </c>
      <c r="G282" s="18" t="s">
        <v>50</v>
      </c>
      <c r="H282" s="18" t="s">
        <v>87</v>
      </c>
      <c r="I282" s="18" t="s">
        <v>46</v>
      </c>
      <c r="J282" s="18" t="s">
        <v>82</v>
      </c>
      <c r="K282" s="18">
        <v>11</v>
      </c>
      <c r="L282" s="20">
        <v>9649.44</v>
      </c>
      <c r="M282" s="21">
        <v>0.1</v>
      </c>
      <c r="N282" s="21">
        <v>0.55583845486847805</v>
      </c>
      <c r="O282" s="20">
        <f t="shared" si="16"/>
        <v>95529.456000000006</v>
      </c>
      <c r="P282" s="20">
        <f t="shared" si="17"/>
        <v>53098.945217466266</v>
      </c>
      <c r="Q282" s="20">
        <f t="shared" si="18"/>
        <v>42430.51078253374</v>
      </c>
      <c r="R282" s="22">
        <f t="shared" si="19"/>
        <v>0.4441615451315219</v>
      </c>
    </row>
    <row r="283" spans="1:18">
      <c r="A283" s="18">
        <v>1282</v>
      </c>
      <c r="B283" s="19" t="s">
        <v>192</v>
      </c>
      <c r="C283" s="18">
        <v>2024</v>
      </c>
      <c r="D283" s="18" t="s">
        <v>45</v>
      </c>
      <c r="E283" s="18" t="s">
        <v>88</v>
      </c>
      <c r="F283" s="18" t="s">
        <v>89</v>
      </c>
      <c r="G283" s="18" t="s">
        <v>50</v>
      </c>
      <c r="H283" s="18" t="s">
        <v>97</v>
      </c>
      <c r="I283" s="18" t="s">
        <v>40</v>
      </c>
      <c r="J283" s="18" t="s">
        <v>102</v>
      </c>
      <c r="K283" s="18">
        <v>4</v>
      </c>
      <c r="L283" s="20">
        <v>11646.94</v>
      </c>
      <c r="M283" s="21">
        <v>0.2</v>
      </c>
      <c r="N283" s="21">
        <v>0.71174595772625204</v>
      </c>
      <c r="O283" s="20">
        <f t="shared" si="16"/>
        <v>37270.208000000006</v>
      </c>
      <c r="P283" s="20">
        <f t="shared" si="17"/>
        <v>26526.919887616627</v>
      </c>
      <c r="Q283" s="20">
        <f t="shared" si="18"/>
        <v>10743.288112383379</v>
      </c>
      <c r="R283" s="22">
        <f t="shared" si="19"/>
        <v>0.2882540422737479</v>
      </c>
    </row>
    <row r="284" spans="1:18">
      <c r="A284" s="18">
        <v>1283</v>
      </c>
      <c r="B284" s="19" t="s">
        <v>192</v>
      </c>
      <c r="C284" s="18">
        <v>2024</v>
      </c>
      <c r="D284" s="18" t="s">
        <v>45</v>
      </c>
      <c r="E284" s="18" t="s">
        <v>79</v>
      </c>
      <c r="F284" s="18" t="s">
        <v>80</v>
      </c>
      <c r="G284" s="18" t="s">
        <v>41</v>
      </c>
      <c r="H284" s="18" t="s">
        <v>101</v>
      </c>
      <c r="I284" s="18" t="s">
        <v>54</v>
      </c>
      <c r="J284" s="18" t="s">
        <v>91</v>
      </c>
      <c r="K284" s="18">
        <v>4</v>
      </c>
      <c r="L284" s="20">
        <v>54766.53</v>
      </c>
      <c r="M284" s="21">
        <v>0.05</v>
      </c>
      <c r="N284" s="21">
        <v>0.68414028564488405</v>
      </c>
      <c r="O284" s="20">
        <f t="shared" si="16"/>
        <v>208112.81399999998</v>
      </c>
      <c r="P284" s="20">
        <f t="shared" si="17"/>
        <v>142378.3600163206</v>
      </c>
      <c r="Q284" s="20">
        <f t="shared" si="18"/>
        <v>65734.453983679385</v>
      </c>
      <c r="R284" s="22">
        <f t="shared" si="19"/>
        <v>0.31585971435511601</v>
      </c>
    </row>
    <row r="285" spans="1:18">
      <c r="A285" s="18">
        <v>1284</v>
      </c>
      <c r="B285" s="19" t="s">
        <v>193</v>
      </c>
      <c r="C285" s="18">
        <v>2024</v>
      </c>
      <c r="D285" s="18" t="s">
        <v>45</v>
      </c>
      <c r="E285" s="18" t="s">
        <v>98</v>
      </c>
      <c r="F285" s="18" t="s">
        <v>99</v>
      </c>
      <c r="G285" s="18" t="s">
        <v>50</v>
      </c>
      <c r="H285" s="18" t="s">
        <v>87</v>
      </c>
      <c r="I285" s="18" t="s">
        <v>56</v>
      </c>
      <c r="J285" s="18" t="s">
        <v>102</v>
      </c>
      <c r="K285" s="18">
        <v>2</v>
      </c>
      <c r="L285" s="20">
        <v>9355.5300000000007</v>
      </c>
      <c r="M285" s="21">
        <v>0.1</v>
      </c>
      <c r="N285" s="21">
        <v>0.67347253586728495</v>
      </c>
      <c r="O285" s="20">
        <f t="shared" si="16"/>
        <v>16839.954000000002</v>
      </c>
      <c r="P285" s="20">
        <f t="shared" si="17"/>
        <v>11341.24652426843</v>
      </c>
      <c r="Q285" s="20">
        <f t="shared" si="18"/>
        <v>5498.7074757315713</v>
      </c>
      <c r="R285" s="22">
        <f t="shared" si="19"/>
        <v>0.326527464132715</v>
      </c>
    </row>
    <row r="286" spans="1:18">
      <c r="A286" s="18">
        <v>1285</v>
      </c>
      <c r="B286" s="19" t="s">
        <v>193</v>
      </c>
      <c r="C286" s="18">
        <v>2024</v>
      </c>
      <c r="D286" s="18" t="s">
        <v>45</v>
      </c>
      <c r="E286" s="18" t="s">
        <v>98</v>
      </c>
      <c r="F286" s="18" t="s">
        <v>99</v>
      </c>
      <c r="G286" s="18" t="s">
        <v>41</v>
      </c>
      <c r="H286" s="18" t="s">
        <v>101</v>
      </c>
      <c r="I286" s="18" t="s">
        <v>54</v>
      </c>
      <c r="J286" s="18" t="s">
        <v>82</v>
      </c>
      <c r="K286" s="18">
        <v>4</v>
      </c>
      <c r="L286" s="20">
        <v>53929.59</v>
      </c>
      <c r="M286" s="21">
        <v>0</v>
      </c>
      <c r="N286" s="21">
        <v>0.62466121419286202</v>
      </c>
      <c r="O286" s="20">
        <f t="shared" si="16"/>
        <v>215718.36</v>
      </c>
      <c r="P286" s="20">
        <f t="shared" si="17"/>
        <v>134750.8926812929</v>
      </c>
      <c r="Q286" s="20">
        <f t="shared" si="18"/>
        <v>80967.467318707088</v>
      </c>
      <c r="R286" s="22">
        <f t="shared" si="19"/>
        <v>0.37533878580713803</v>
      </c>
    </row>
    <row r="287" spans="1:18">
      <c r="A287" s="18">
        <v>1286</v>
      </c>
      <c r="B287" s="19" t="s">
        <v>193</v>
      </c>
      <c r="C287" s="18">
        <v>2024</v>
      </c>
      <c r="D287" s="18" t="s">
        <v>45</v>
      </c>
      <c r="E287" s="18" t="s">
        <v>88</v>
      </c>
      <c r="F287" s="18" t="s">
        <v>93</v>
      </c>
      <c r="G287" s="18" t="s">
        <v>50</v>
      </c>
      <c r="H287" s="18" t="s">
        <v>97</v>
      </c>
      <c r="I287" s="18" t="s">
        <v>62</v>
      </c>
      <c r="J287" s="18" t="s">
        <v>82</v>
      </c>
      <c r="K287" s="18">
        <v>10</v>
      </c>
      <c r="L287" s="20">
        <v>11860.45</v>
      </c>
      <c r="M287" s="21">
        <v>0</v>
      </c>
      <c r="N287" s="21">
        <v>0.64733404313847698</v>
      </c>
      <c r="O287" s="20">
        <f t="shared" si="16"/>
        <v>118604.5</v>
      </c>
      <c r="P287" s="20">
        <f t="shared" si="17"/>
        <v>76776.730519417499</v>
      </c>
      <c r="Q287" s="20">
        <f t="shared" si="18"/>
        <v>41827.769480582501</v>
      </c>
      <c r="R287" s="22">
        <f t="shared" si="19"/>
        <v>0.35266595686152297</v>
      </c>
    </row>
    <row r="288" spans="1:18">
      <c r="A288" s="18">
        <v>1287</v>
      </c>
      <c r="B288" s="19" t="s">
        <v>193</v>
      </c>
      <c r="C288" s="18">
        <v>2024</v>
      </c>
      <c r="D288" s="18" t="s">
        <v>45</v>
      </c>
      <c r="E288" s="18" t="s">
        <v>88</v>
      </c>
      <c r="F288" s="18" t="s">
        <v>93</v>
      </c>
      <c r="G288" s="18" t="s">
        <v>44</v>
      </c>
      <c r="H288" s="18" t="s">
        <v>114</v>
      </c>
      <c r="I288" s="18" t="s">
        <v>52</v>
      </c>
      <c r="J288" s="18" t="s">
        <v>82</v>
      </c>
      <c r="K288" s="18">
        <v>3</v>
      </c>
      <c r="L288" s="20">
        <v>8833.1200000000008</v>
      </c>
      <c r="M288" s="21">
        <v>0.1</v>
      </c>
      <c r="N288" s="21">
        <v>0.67388199575783503</v>
      </c>
      <c r="O288" s="20">
        <f t="shared" si="16"/>
        <v>23849.424000000003</v>
      </c>
      <c r="P288" s="20">
        <f t="shared" si="17"/>
        <v>16071.69744279481</v>
      </c>
      <c r="Q288" s="20">
        <f t="shared" si="18"/>
        <v>7777.7265572051929</v>
      </c>
      <c r="R288" s="22">
        <f t="shared" si="19"/>
        <v>0.32611800424216503</v>
      </c>
    </row>
    <row r="289" spans="1:18">
      <c r="A289" s="18">
        <v>1288</v>
      </c>
      <c r="B289" s="19" t="s">
        <v>193</v>
      </c>
      <c r="C289" s="18">
        <v>2024</v>
      </c>
      <c r="D289" s="18" t="s">
        <v>45</v>
      </c>
      <c r="E289" s="18" t="s">
        <v>98</v>
      </c>
      <c r="F289" s="18" t="s">
        <v>117</v>
      </c>
      <c r="G289" s="18" t="s">
        <v>50</v>
      </c>
      <c r="H289" s="18" t="s">
        <v>83</v>
      </c>
      <c r="I289" s="18" t="s">
        <v>49</v>
      </c>
      <c r="J289" s="18" t="s">
        <v>91</v>
      </c>
      <c r="K289" s="18">
        <v>9</v>
      </c>
      <c r="L289" s="20">
        <v>3501.9</v>
      </c>
      <c r="M289" s="21">
        <v>0.1</v>
      </c>
      <c r="N289" s="21">
        <v>0.63182686967357504</v>
      </c>
      <c r="O289" s="20">
        <f t="shared" si="16"/>
        <v>28365.390000000003</v>
      </c>
      <c r="P289" s="20">
        <f t="shared" si="17"/>
        <v>17922.015570770131</v>
      </c>
      <c r="Q289" s="20">
        <f t="shared" si="18"/>
        <v>10443.374429229872</v>
      </c>
      <c r="R289" s="22">
        <f t="shared" si="19"/>
        <v>0.36817313032642496</v>
      </c>
    </row>
    <row r="290" spans="1:18">
      <c r="A290" s="18">
        <v>1289</v>
      </c>
      <c r="B290" s="19" t="s">
        <v>194</v>
      </c>
      <c r="C290" s="18">
        <v>2024</v>
      </c>
      <c r="D290" s="18" t="s">
        <v>45</v>
      </c>
      <c r="E290" s="18" t="s">
        <v>85</v>
      </c>
      <c r="F290" s="18" t="s">
        <v>94</v>
      </c>
      <c r="G290" s="18" t="s">
        <v>50</v>
      </c>
      <c r="H290" s="18" t="s">
        <v>97</v>
      </c>
      <c r="I290" s="18" t="s">
        <v>46</v>
      </c>
      <c r="J290" s="18" t="s">
        <v>82</v>
      </c>
      <c r="K290" s="18">
        <v>10</v>
      </c>
      <c r="L290" s="20">
        <v>11437.03</v>
      </c>
      <c r="M290" s="21">
        <v>0</v>
      </c>
      <c r="N290" s="21">
        <v>0.60841798191174101</v>
      </c>
      <c r="O290" s="20">
        <f t="shared" si="16"/>
        <v>114370.3</v>
      </c>
      <c r="P290" s="20">
        <f t="shared" si="17"/>
        <v>69584.947116640396</v>
      </c>
      <c r="Q290" s="20">
        <f t="shared" si="18"/>
        <v>44785.352883359606</v>
      </c>
      <c r="R290" s="22">
        <f t="shared" si="19"/>
        <v>0.39158201808825899</v>
      </c>
    </row>
    <row r="291" spans="1:18">
      <c r="A291" s="18">
        <v>1290</v>
      </c>
      <c r="B291" s="19" t="s">
        <v>194</v>
      </c>
      <c r="C291" s="18">
        <v>2024</v>
      </c>
      <c r="D291" s="18" t="s">
        <v>45</v>
      </c>
      <c r="E291" s="18" t="s">
        <v>98</v>
      </c>
      <c r="F291" s="18" t="s">
        <v>117</v>
      </c>
      <c r="G291" s="18" t="s">
        <v>47</v>
      </c>
      <c r="H291" s="18" t="s">
        <v>81</v>
      </c>
      <c r="I291" s="18" t="s">
        <v>58</v>
      </c>
      <c r="J291" s="18" t="s">
        <v>102</v>
      </c>
      <c r="K291" s="18">
        <v>12</v>
      </c>
      <c r="L291" s="20">
        <v>821.8</v>
      </c>
      <c r="M291" s="21">
        <v>0.1</v>
      </c>
      <c r="N291" s="21">
        <v>0.65994523690760998</v>
      </c>
      <c r="O291" s="20">
        <f t="shared" si="16"/>
        <v>8875.4399999999987</v>
      </c>
      <c r="P291" s="20">
        <f t="shared" si="17"/>
        <v>5857.3043534592771</v>
      </c>
      <c r="Q291" s="20">
        <f t="shared" si="18"/>
        <v>3018.1356465407216</v>
      </c>
      <c r="R291" s="22">
        <f t="shared" si="19"/>
        <v>0.34005476309239002</v>
      </c>
    </row>
    <row r="292" spans="1:18">
      <c r="A292" s="18">
        <v>1291</v>
      </c>
      <c r="B292" s="19" t="s">
        <v>194</v>
      </c>
      <c r="C292" s="18">
        <v>2024</v>
      </c>
      <c r="D292" s="18" t="s">
        <v>45</v>
      </c>
      <c r="E292" s="18" t="s">
        <v>79</v>
      </c>
      <c r="F292" s="18" t="s">
        <v>80</v>
      </c>
      <c r="G292" s="18" t="s">
        <v>41</v>
      </c>
      <c r="H292" s="18" t="s">
        <v>106</v>
      </c>
      <c r="I292" s="18" t="s">
        <v>60</v>
      </c>
      <c r="J292" s="18" t="s">
        <v>91</v>
      </c>
      <c r="K292" s="18">
        <v>9</v>
      </c>
      <c r="L292" s="20">
        <v>2580.65</v>
      </c>
      <c r="M292" s="21">
        <v>0</v>
      </c>
      <c r="N292" s="21">
        <v>0.70200082617846205</v>
      </c>
      <c r="O292" s="20">
        <f t="shared" si="16"/>
        <v>23225.850000000002</v>
      </c>
      <c r="P292" s="20">
        <f t="shared" si="17"/>
        <v>16304.565888697034</v>
      </c>
      <c r="Q292" s="20">
        <f t="shared" si="18"/>
        <v>6921.2841113029681</v>
      </c>
      <c r="R292" s="22">
        <f t="shared" si="19"/>
        <v>0.29799917382153795</v>
      </c>
    </row>
    <row r="293" spans="1:18">
      <c r="A293" s="18">
        <v>1292</v>
      </c>
      <c r="B293" s="19" t="s">
        <v>194</v>
      </c>
      <c r="C293" s="18">
        <v>2024</v>
      </c>
      <c r="D293" s="18" t="s">
        <v>45</v>
      </c>
      <c r="E293" s="18" t="s">
        <v>85</v>
      </c>
      <c r="F293" s="18" t="s">
        <v>94</v>
      </c>
      <c r="G293" s="18" t="s">
        <v>44</v>
      </c>
      <c r="H293" s="18" t="s">
        <v>114</v>
      </c>
      <c r="I293" s="18" t="s">
        <v>43</v>
      </c>
      <c r="J293" s="18" t="s">
        <v>102</v>
      </c>
      <c r="K293" s="18">
        <v>11</v>
      </c>
      <c r="L293" s="20">
        <v>9226.2099999999991</v>
      </c>
      <c r="M293" s="21">
        <v>0.05</v>
      </c>
      <c r="N293" s="21">
        <v>0.72496196925537704</v>
      </c>
      <c r="O293" s="20">
        <f t="shared" si="16"/>
        <v>96413.894499999995</v>
      </c>
      <c r="P293" s="20">
        <f t="shared" si="17"/>
        <v>69896.406820300166</v>
      </c>
      <c r="Q293" s="20">
        <f t="shared" si="18"/>
        <v>26517.487679699829</v>
      </c>
      <c r="R293" s="22">
        <f t="shared" si="19"/>
        <v>0.27503803074462291</v>
      </c>
    </row>
    <row r="294" spans="1:18">
      <c r="A294" s="18">
        <v>1293</v>
      </c>
      <c r="B294" s="19" t="s">
        <v>194</v>
      </c>
      <c r="C294" s="18">
        <v>2024</v>
      </c>
      <c r="D294" s="18" t="s">
        <v>45</v>
      </c>
      <c r="E294" s="18" t="s">
        <v>79</v>
      </c>
      <c r="F294" s="18" t="s">
        <v>105</v>
      </c>
      <c r="G294" s="18" t="s">
        <v>47</v>
      </c>
      <c r="H294" s="18" t="s">
        <v>107</v>
      </c>
      <c r="I294" s="18" t="s">
        <v>43</v>
      </c>
      <c r="J294" s="18" t="s">
        <v>91</v>
      </c>
      <c r="K294" s="18">
        <v>2</v>
      </c>
      <c r="L294" s="20">
        <v>2260.64</v>
      </c>
      <c r="M294" s="21">
        <v>0</v>
      </c>
      <c r="N294" s="21">
        <v>0.59197563351795501</v>
      </c>
      <c r="O294" s="20">
        <f t="shared" si="16"/>
        <v>4521.28</v>
      </c>
      <c r="P294" s="20">
        <f t="shared" si="17"/>
        <v>2676.4875923120594</v>
      </c>
      <c r="Q294" s="20">
        <f t="shared" si="18"/>
        <v>1844.7924076879403</v>
      </c>
      <c r="R294" s="22">
        <f t="shared" si="19"/>
        <v>0.40802436648204499</v>
      </c>
    </row>
    <row r="295" spans="1:18">
      <c r="A295" s="18">
        <v>1294</v>
      </c>
      <c r="B295" s="19" t="s">
        <v>195</v>
      </c>
      <c r="C295" s="18">
        <v>2024</v>
      </c>
      <c r="D295" s="18" t="s">
        <v>45</v>
      </c>
      <c r="E295" s="18" t="s">
        <v>85</v>
      </c>
      <c r="F295" s="18" t="s">
        <v>86</v>
      </c>
      <c r="G295" s="18" t="s">
        <v>44</v>
      </c>
      <c r="H295" s="18" t="s">
        <v>119</v>
      </c>
      <c r="I295" s="18" t="s">
        <v>49</v>
      </c>
      <c r="J295" s="18" t="s">
        <v>82</v>
      </c>
      <c r="K295" s="18">
        <v>10</v>
      </c>
      <c r="L295" s="20">
        <v>6895.57</v>
      </c>
      <c r="M295" s="21">
        <v>0.05</v>
      </c>
      <c r="N295" s="21">
        <v>0.66937153717692</v>
      </c>
      <c r="O295" s="20">
        <f t="shared" si="16"/>
        <v>65507.914999999994</v>
      </c>
      <c r="P295" s="20">
        <f t="shared" si="17"/>
        <v>43849.133760805009</v>
      </c>
      <c r="Q295" s="20">
        <f t="shared" si="18"/>
        <v>21658.781239194985</v>
      </c>
      <c r="R295" s="22">
        <f t="shared" si="19"/>
        <v>0.33062846282308</v>
      </c>
    </row>
    <row r="296" spans="1:18">
      <c r="A296" s="18">
        <v>1295</v>
      </c>
      <c r="B296" s="19" t="s">
        <v>195</v>
      </c>
      <c r="C296" s="18">
        <v>2024</v>
      </c>
      <c r="D296" s="18" t="s">
        <v>45</v>
      </c>
      <c r="E296" s="18" t="s">
        <v>88</v>
      </c>
      <c r="F296" s="18" t="s">
        <v>89</v>
      </c>
      <c r="G296" s="18" t="s">
        <v>47</v>
      </c>
      <c r="H296" s="18" t="s">
        <v>107</v>
      </c>
      <c r="I296" s="18" t="s">
        <v>62</v>
      </c>
      <c r="J296" s="18" t="s">
        <v>91</v>
      </c>
      <c r="K296" s="18">
        <v>9</v>
      </c>
      <c r="L296" s="20">
        <v>2306.81</v>
      </c>
      <c r="M296" s="21">
        <v>0.2</v>
      </c>
      <c r="N296" s="21">
        <v>0.71303618117455403</v>
      </c>
      <c r="O296" s="20">
        <f t="shared" si="16"/>
        <v>16609.032000000003</v>
      </c>
      <c r="P296" s="20">
        <f t="shared" si="17"/>
        <v>11842.840750285968</v>
      </c>
      <c r="Q296" s="20">
        <f t="shared" si="18"/>
        <v>4766.1912497140347</v>
      </c>
      <c r="R296" s="22">
        <f t="shared" si="19"/>
        <v>0.28696381882544592</v>
      </c>
    </row>
    <row r="297" spans="1:18">
      <c r="A297" s="18">
        <v>1296</v>
      </c>
      <c r="B297" s="19" t="s">
        <v>195</v>
      </c>
      <c r="C297" s="18">
        <v>2024</v>
      </c>
      <c r="D297" s="18" t="s">
        <v>45</v>
      </c>
      <c r="E297" s="18" t="s">
        <v>88</v>
      </c>
      <c r="F297" s="18" t="s">
        <v>89</v>
      </c>
      <c r="G297" s="18" t="s">
        <v>41</v>
      </c>
      <c r="H297" s="18" t="s">
        <v>106</v>
      </c>
      <c r="I297" s="18" t="s">
        <v>46</v>
      </c>
      <c r="J297" s="18" t="s">
        <v>102</v>
      </c>
      <c r="K297" s="18">
        <v>3</v>
      </c>
      <c r="L297" s="20">
        <v>2437.42</v>
      </c>
      <c r="M297" s="21">
        <v>0.2</v>
      </c>
      <c r="N297" s="21">
        <v>0.61441934232187601</v>
      </c>
      <c r="O297" s="20">
        <f t="shared" si="16"/>
        <v>5849.8080000000009</v>
      </c>
      <c r="P297" s="20">
        <f t="shared" si="17"/>
        <v>3594.2351840692495</v>
      </c>
      <c r="Q297" s="20">
        <f t="shared" si="18"/>
        <v>2255.5728159307514</v>
      </c>
      <c r="R297" s="22">
        <f t="shared" si="19"/>
        <v>0.38558065767812399</v>
      </c>
    </row>
    <row r="298" spans="1:18">
      <c r="A298" s="18">
        <v>1297</v>
      </c>
      <c r="B298" s="19" t="s">
        <v>195</v>
      </c>
      <c r="C298" s="18">
        <v>2024</v>
      </c>
      <c r="D298" s="18" t="s">
        <v>45</v>
      </c>
      <c r="E298" s="18" t="s">
        <v>88</v>
      </c>
      <c r="F298" s="18" t="s">
        <v>93</v>
      </c>
      <c r="G298" s="18" t="s">
        <v>50</v>
      </c>
      <c r="H298" s="18" t="s">
        <v>97</v>
      </c>
      <c r="I298" s="18" t="s">
        <v>46</v>
      </c>
      <c r="J298" s="18" t="s">
        <v>102</v>
      </c>
      <c r="K298" s="18">
        <v>11</v>
      </c>
      <c r="L298" s="20">
        <v>11722.46</v>
      </c>
      <c r="M298" s="21">
        <v>0.1</v>
      </c>
      <c r="N298" s="21">
        <v>0.62503446556924602</v>
      </c>
      <c r="O298" s="20">
        <f t="shared" si="16"/>
        <v>116052.35400000001</v>
      </c>
      <c r="P298" s="20">
        <f t="shared" si="17"/>
        <v>72536.721060442957</v>
      </c>
      <c r="Q298" s="20">
        <f t="shared" si="18"/>
        <v>43515.63293955705</v>
      </c>
      <c r="R298" s="22">
        <f t="shared" si="19"/>
        <v>0.37496553443075398</v>
      </c>
    </row>
    <row r="299" spans="1:18">
      <c r="A299" s="18">
        <v>1298</v>
      </c>
      <c r="B299" s="19" t="s">
        <v>196</v>
      </c>
      <c r="C299" s="18">
        <v>2024</v>
      </c>
      <c r="D299" s="18" t="s">
        <v>45</v>
      </c>
      <c r="E299" s="18" t="s">
        <v>79</v>
      </c>
      <c r="F299" s="18" t="s">
        <v>105</v>
      </c>
      <c r="G299" s="18" t="s">
        <v>47</v>
      </c>
      <c r="H299" s="18" t="s">
        <v>103</v>
      </c>
      <c r="I299" s="18" t="s">
        <v>54</v>
      </c>
      <c r="J299" s="18" t="s">
        <v>91</v>
      </c>
      <c r="K299" s="18">
        <v>8</v>
      </c>
      <c r="L299" s="20">
        <v>3144.73</v>
      </c>
      <c r="M299" s="21">
        <v>0</v>
      </c>
      <c r="N299" s="21">
        <v>0.72378155257424004</v>
      </c>
      <c r="O299" s="20">
        <f t="shared" si="16"/>
        <v>25157.84</v>
      </c>
      <c r="P299" s="20">
        <f t="shared" si="17"/>
        <v>18208.780494614319</v>
      </c>
      <c r="Q299" s="20">
        <f t="shared" si="18"/>
        <v>6949.0595053856814</v>
      </c>
      <c r="R299" s="22">
        <f t="shared" si="19"/>
        <v>0.27621844742575996</v>
      </c>
    </row>
    <row r="300" spans="1:18">
      <c r="A300" s="18">
        <v>1299</v>
      </c>
      <c r="B300" s="19" t="s">
        <v>196</v>
      </c>
      <c r="C300" s="18">
        <v>2024</v>
      </c>
      <c r="D300" s="18" t="s">
        <v>45</v>
      </c>
      <c r="E300" s="18" t="s">
        <v>79</v>
      </c>
      <c r="F300" s="18" t="s">
        <v>80</v>
      </c>
      <c r="G300" s="18" t="s">
        <v>50</v>
      </c>
      <c r="H300" s="18" t="s">
        <v>87</v>
      </c>
      <c r="I300" s="18" t="s">
        <v>54</v>
      </c>
      <c r="J300" s="18" t="s">
        <v>82</v>
      </c>
      <c r="K300" s="18">
        <v>9</v>
      </c>
      <c r="L300" s="20">
        <v>9402.83</v>
      </c>
      <c r="M300" s="21">
        <v>0.1</v>
      </c>
      <c r="N300" s="21">
        <v>0.71496952952720505</v>
      </c>
      <c r="O300" s="20">
        <f t="shared" si="16"/>
        <v>76162.92300000001</v>
      </c>
      <c r="P300" s="20">
        <f t="shared" si="17"/>
        <v>54454.169224726749</v>
      </c>
      <c r="Q300" s="20">
        <f t="shared" si="18"/>
        <v>21708.753775273261</v>
      </c>
      <c r="R300" s="22">
        <f t="shared" si="19"/>
        <v>0.28503047047279501</v>
      </c>
    </row>
    <row r="301" spans="1:18">
      <c r="A301" s="18">
        <v>1300</v>
      </c>
      <c r="B301" s="19" t="s">
        <v>197</v>
      </c>
      <c r="C301" s="18">
        <v>2024</v>
      </c>
      <c r="D301" s="18" t="s">
        <v>45</v>
      </c>
      <c r="E301" s="18" t="s">
        <v>98</v>
      </c>
      <c r="F301" s="18" t="s">
        <v>109</v>
      </c>
      <c r="G301" s="18" t="s">
        <v>47</v>
      </c>
      <c r="H301" s="18" t="s">
        <v>107</v>
      </c>
      <c r="I301" s="18" t="s">
        <v>60</v>
      </c>
      <c r="J301" s="18" t="s">
        <v>102</v>
      </c>
      <c r="K301" s="18">
        <v>3</v>
      </c>
      <c r="L301" s="20">
        <v>2214.5500000000002</v>
      </c>
      <c r="M301" s="21">
        <v>0.1</v>
      </c>
      <c r="N301" s="21">
        <v>0.70766073069533697</v>
      </c>
      <c r="O301" s="20">
        <f t="shared" si="16"/>
        <v>5979.2850000000008</v>
      </c>
      <c r="P301" s="20">
        <f t="shared" si="17"/>
        <v>4231.3051921356682</v>
      </c>
      <c r="Q301" s="20">
        <f t="shared" si="18"/>
        <v>1747.9798078643325</v>
      </c>
      <c r="R301" s="22">
        <f t="shared" si="19"/>
        <v>0.29233926930466309</v>
      </c>
    </row>
    <row r="302" spans="1:18">
      <c r="A302" s="18">
        <v>1301</v>
      </c>
      <c r="B302" s="19" t="s">
        <v>197</v>
      </c>
      <c r="C302" s="18">
        <v>2024</v>
      </c>
      <c r="D302" s="18" t="s">
        <v>45</v>
      </c>
      <c r="E302" s="18" t="s">
        <v>79</v>
      </c>
      <c r="F302" s="18" t="s">
        <v>100</v>
      </c>
      <c r="G302" s="18" t="s">
        <v>41</v>
      </c>
      <c r="H302" s="18" t="s">
        <v>112</v>
      </c>
      <c r="I302" s="18" t="s">
        <v>40</v>
      </c>
      <c r="J302" s="18" t="s">
        <v>82</v>
      </c>
      <c r="K302" s="18">
        <v>3</v>
      </c>
      <c r="L302" s="20">
        <v>5964.77</v>
      </c>
      <c r="M302" s="21">
        <v>0</v>
      </c>
      <c r="N302" s="21">
        <v>0.748367647764134</v>
      </c>
      <c r="O302" s="20">
        <f t="shared" si="16"/>
        <v>17894.310000000001</v>
      </c>
      <c r="P302" s="20">
        <f t="shared" si="17"/>
        <v>13391.522683062221</v>
      </c>
      <c r="Q302" s="20">
        <f t="shared" si="18"/>
        <v>4502.7873169377799</v>
      </c>
      <c r="R302" s="22">
        <f t="shared" si="19"/>
        <v>0.251632352235866</v>
      </c>
    </row>
    <row r="303" spans="1:18">
      <c r="A303" s="18">
        <v>1302</v>
      </c>
      <c r="B303" s="19" t="s">
        <v>197</v>
      </c>
      <c r="C303" s="18">
        <v>2024</v>
      </c>
      <c r="D303" s="18" t="s">
        <v>45</v>
      </c>
      <c r="E303" s="18" t="s">
        <v>85</v>
      </c>
      <c r="F303" s="18" t="s">
        <v>86</v>
      </c>
      <c r="G303" s="18" t="s">
        <v>44</v>
      </c>
      <c r="H303" s="18" t="s">
        <v>95</v>
      </c>
      <c r="I303" s="18" t="s">
        <v>52</v>
      </c>
      <c r="J303" s="18" t="s">
        <v>82</v>
      </c>
      <c r="K303" s="18">
        <v>5</v>
      </c>
      <c r="L303" s="20">
        <v>4317</v>
      </c>
      <c r="M303" s="21">
        <v>0.05</v>
      </c>
      <c r="N303" s="21">
        <v>0.60007785570982197</v>
      </c>
      <c r="O303" s="20">
        <f t="shared" si="16"/>
        <v>20505.75</v>
      </c>
      <c r="P303" s="20">
        <f t="shared" si="17"/>
        <v>12305.046489721683</v>
      </c>
      <c r="Q303" s="20">
        <f t="shared" si="18"/>
        <v>8200.7035102783175</v>
      </c>
      <c r="R303" s="22">
        <f t="shared" si="19"/>
        <v>0.39992214429017797</v>
      </c>
    </row>
    <row r="304" spans="1:18">
      <c r="A304" s="18">
        <v>1303</v>
      </c>
      <c r="B304" s="19" t="s">
        <v>197</v>
      </c>
      <c r="C304" s="18">
        <v>2024</v>
      </c>
      <c r="D304" s="18" t="s">
        <v>45</v>
      </c>
      <c r="E304" s="18" t="s">
        <v>98</v>
      </c>
      <c r="F304" s="18" t="s">
        <v>99</v>
      </c>
      <c r="G304" s="18" t="s">
        <v>44</v>
      </c>
      <c r="H304" s="18" t="s">
        <v>119</v>
      </c>
      <c r="I304" s="18" t="s">
        <v>56</v>
      </c>
      <c r="J304" s="18" t="s">
        <v>102</v>
      </c>
      <c r="K304" s="18">
        <v>5</v>
      </c>
      <c r="L304" s="20">
        <v>7158.19</v>
      </c>
      <c r="M304" s="21">
        <v>0</v>
      </c>
      <c r="N304" s="21">
        <v>0.63584618815106897</v>
      </c>
      <c r="O304" s="20">
        <f t="shared" si="16"/>
        <v>35790.949999999997</v>
      </c>
      <c r="P304" s="20">
        <f t="shared" si="17"/>
        <v>22757.539127805499</v>
      </c>
      <c r="Q304" s="20">
        <f t="shared" si="18"/>
        <v>13033.410872194498</v>
      </c>
      <c r="R304" s="22">
        <f t="shared" si="19"/>
        <v>0.36415381184893103</v>
      </c>
    </row>
    <row r="305" spans="1:18">
      <c r="A305" s="18">
        <v>1304</v>
      </c>
      <c r="B305" s="19" t="s">
        <v>197</v>
      </c>
      <c r="C305" s="18">
        <v>2024</v>
      </c>
      <c r="D305" s="18" t="s">
        <v>45</v>
      </c>
      <c r="E305" s="18" t="s">
        <v>79</v>
      </c>
      <c r="F305" s="18" t="s">
        <v>80</v>
      </c>
      <c r="G305" s="18" t="s">
        <v>41</v>
      </c>
      <c r="H305" s="18" t="s">
        <v>90</v>
      </c>
      <c r="I305" s="18" t="s">
        <v>49</v>
      </c>
      <c r="J305" s="18" t="s">
        <v>91</v>
      </c>
      <c r="K305" s="18">
        <v>2</v>
      </c>
      <c r="L305" s="20">
        <v>17338.86</v>
      </c>
      <c r="M305" s="21">
        <v>0</v>
      </c>
      <c r="N305" s="21">
        <v>0.65388885092732696</v>
      </c>
      <c r="O305" s="20">
        <f t="shared" si="16"/>
        <v>34677.72</v>
      </c>
      <c r="P305" s="20">
        <f t="shared" si="17"/>
        <v>22675.374483579584</v>
      </c>
      <c r="Q305" s="20">
        <f t="shared" si="18"/>
        <v>12002.345516420417</v>
      </c>
      <c r="R305" s="22">
        <f t="shared" si="19"/>
        <v>0.3461111490726731</v>
      </c>
    </row>
    <row r="306" spans="1:18">
      <c r="A306" s="18">
        <v>1305</v>
      </c>
      <c r="B306" s="19" t="s">
        <v>198</v>
      </c>
      <c r="C306" s="18">
        <v>2024</v>
      </c>
      <c r="D306" s="18" t="s">
        <v>45</v>
      </c>
      <c r="E306" s="18" t="s">
        <v>79</v>
      </c>
      <c r="F306" s="18" t="s">
        <v>100</v>
      </c>
      <c r="G306" s="18" t="s">
        <v>47</v>
      </c>
      <c r="H306" s="18" t="s">
        <v>81</v>
      </c>
      <c r="I306" s="18" t="s">
        <v>56</v>
      </c>
      <c r="J306" s="18" t="s">
        <v>102</v>
      </c>
      <c r="K306" s="18">
        <v>3</v>
      </c>
      <c r="L306" s="20">
        <v>798.22</v>
      </c>
      <c r="M306" s="21">
        <v>0</v>
      </c>
      <c r="N306" s="21">
        <v>0.62661398513515498</v>
      </c>
      <c r="O306" s="20">
        <f t="shared" si="16"/>
        <v>2394.66</v>
      </c>
      <c r="P306" s="20">
        <f t="shared" si="17"/>
        <v>1500.5274456437501</v>
      </c>
      <c r="Q306" s="20">
        <f t="shared" si="18"/>
        <v>894.13255435624978</v>
      </c>
      <c r="R306" s="22">
        <f t="shared" si="19"/>
        <v>0.37338601486484507</v>
      </c>
    </row>
    <row r="307" spans="1:18">
      <c r="A307" s="18">
        <v>1306</v>
      </c>
      <c r="B307" s="19" t="s">
        <v>198</v>
      </c>
      <c r="C307" s="18">
        <v>2024</v>
      </c>
      <c r="D307" s="18" t="s">
        <v>45</v>
      </c>
      <c r="E307" s="18" t="s">
        <v>79</v>
      </c>
      <c r="F307" s="18" t="s">
        <v>100</v>
      </c>
      <c r="G307" s="18" t="s">
        <v>47</v>
      </c>
      <c r="H307" s="18" t="s">
        <v>107</v>
      </c>
      <c r="I307" s="18" t="s">
        <v>52</v>
      </c>
      <c r="J307" s="18" t="s">
        <v>82</v>
      </c>
      <c r="K307" s="18">
        <v>7</v>
      </c>
      <c r="L307" s="20">
        <v>2260.16</v>
      </c>
      <c r="M307" s="21">
        <v>0</v>
      </c>
      <c r="N307" s="21">
        <v>0.67831522970339697</v>
      </c>
      <c r="O307" s="20">
        <f t="shared" si="16"/>
        <v>15821.119999999999</v>
      </c>
      <c r="P307" s="20">
        <f t="shared" si="17"/>
        <v>10731.706646965007</v>
      </c>
      <c r="Q307" s="20">
        <f t="shared" si="18"/>
        <v>5089.4133530349918</v>
      </c>
      <c r="R307" s="22">
        <f t="shared" si="19"/>
        <v>0.32168477029660303</v>
      </c>
    </row>
    <row r="308" spans="1:18">
      <c r="A308" s="18">
        <v>1307</v>
      </c>
      <c r="B308" s="19" t="s">
        <v>198</v>
      </c>
      <c r="C308" s="18">
        <v>2024</v>
      </c>
      <c r="D308" s="18" t="s">
        <v>45</v>
      </c>
      <c r="E308" s="18" t="s">
        <v>88</v>
      </c>
      <c r="F308" s="18" t="s">
        <v>110</v>
      </c>
      <c r="G308" s="18" t="s">
        <v>41</v>
      </c>
      <c r="H308" s="18" t="s">
        <v>101</v>
      </c>
      <c r="I308" s="18" t="s">
        <v>58</v>
      </c>
      <c r="J308" s="18" t="s">
        <v>91</v>
      </c>
      <c r="K308" s="18">
        <v>12</v>
      </c>
      <c r="L308" s="20">
        <v>53421.8</v>
      </c>
      <c r="M308" s="21">
        <v>0.2</v>
      </c>
      <c r="N308" s="21">
        <v>0.58027482616885595</v>
      </c>
      <c r="O308" s="20">
        <f t="shared" si="16"/>
        <v>512849.28000000009</v>
      </c>
      <c r="P308" s="20">
        <f t="shared" si="17"/>
        <v>297593.52680282301</v>
      </c>
      <c r="Q308" s="20">
        <f t="shared" si="18"/>
        <v>215255.75319717708</v>
      </c>
      <c r="R308" s="22">
        <f t="shared" si="19"/>
        <v>0.41972517383114399</v>
      </c>
    </row>
    <row r="309" spans="1:18">
      <c r="A309" s="18">
        <v>1308</v>
      </c>
      <c r="B309" s="19" t="s">
        <v>198</v>
      </c>
      <c r="C309" s="18">
        <v>2024</v>
      </c>
      <c r="D309" s="18" t="s">
        <v>45</v>
      </c>
      <c r="E309" s="18" t="s">
        <v>85</v>
      </c>
      <c r="F309" s="18" t="s">
        <v>94</v>
      </c>
      <c r="G309" s="18" t="s">
        <v>50</v>
      </c>
      <c r="H309" s="18" t="s">
        <v>83</v>
      </c>
      <c r="I309" s="18" t="s">
        <v>43</v>
      </c>
      <c r="J309" s="18" t="s">
        <v>82</v>
      </c>
      <c r="K309" s="18">
        <v>3</v>
      </c>
      <c r="L309" s="20">
        <v>3588.36</v>
      </c>
      <c r="M309" s="21">
        <v>0.15</v>
      </c>
      <c r="N309" s="21">
        <v>0.696001829779196</v>
      </c>
      <c r="O309" s="20">
        <f t="shared" si="16"/>
        <v>9150.3179999999993</v>
      </c>
      <c r="P309" s="20">
        <f t="shared" si="17"/>
        <v>6368.6380710615131</v>
      </c>
      <c r="Q309" s="20">
        <f t="shared" si="18"/>
        <v>2781.6799289384862</v>
      </c>
      <c r="R309" s="22">
        <f t="shared" si="19"/>
        <v>0.30399817022080394</v>
      </c>
    </row>
    <row r="310" spans="1:18">
      <c r="A310" s="18">
        <v>1309</v>
      </c>
      <c r="B310" s="19" t="s">
        <v>198</v>
      </c>
      <c r="C310" s="18">
        <v>2024</v>
      </c>
      <c r="D310" s="18" t="s">
        <v>45</v>
      </c>
      <c r="E310" s="18" t="s">
        <v>98</v>
      </c>
      <c r="F310" s="18" t="s">
        <v>109</v>
      </c>
      <c r="G310" s="18" t="s">
        <v>47</v>
      </c>
      <c r="H310" s="18" t="s">
        <v>81</v>
      </c>
      <c r="I310" s="18" t="s">
        <v>49</v>
      </c>
      <c r="J310" s="18" t="s">
        <v>91</v>
      </c>
      <c r="K310" s="18">
        <v>11</v>
      </c>
      <c r="L310" s="20">
        <v>766.74</v>
      </c>
      <c r="M310" s="21">
        <v>0.15</v>
      </c>
      <c r="N310" s="21">
        <v>0.67019981235266901</v>
      </c>
      <c r="O310" s="20">
        <f t="shared" si="16"/>
        <v>7169.0189999999993</v>
      </c>
      <c r="P310" s="20">
        <f t="shared" si="17"/>
        <v>4804.6751885527183</v>
      </c>
      <c r="Q310" s="20">
        <f t="shared" si="18"/>
        <v>2364.343811447281</v>
      </c>
      <c r="R310" s="22">
        <f t="shared" si="19"/>
        <v>0.32980018764733099</v>
      </c>
    </row>
    <row r="311" spans="1:18">
      <c r="A311" s="18">
        <v>1310</v>
      </c>
      <c r="B311" s="19" t="s">
        <v>199</v>
      </c>
      <c r="C311" s="18">
        <v>2024</v>
      </c>
      <c r="D311" s="18" t="s">
        <v>45</v>
      </c>
      <c r="E311" s="18" t="s">
        <v>79</v>
      </c>
      <c r="F311" s="18" t="s">
        <v>80</v>
      </c>
      <c r="G311" s="18" t="s">
        <v>47</v>
      </c>
      <c r="H311" s="18" t="s">
        <v>81</v>
      </c>
      <c r="I311" s="18" t="s">
        <v>60</v>
      </c>
      <c r="J311" s="18" t="s">
        <v>102</v>
      </c>
      <c r="K311" s="18">
        <v>9</v>
      </c>
      <c r="L311" s="20">
        <v>775.09</v>
      </c>
      <c r="M311" s="21">
        <v>0.1</v>
      </c>
      <c r="N311" s="21">
        <v>0.609108410248413</v>
      </c>
      <c r="O311" s="20">
        <f t="shared" si="16"/>
        <v>6278.2290000000003</v>
      </c>
      <c r="P311" s="20">
        <f t="shared" si="17"/>
        <v>3824.1220853654841</v>
      </c>
      <c r="Q311" s="20">
        <f t="shared" si="18"/>
        <v>2454.1069146345162</v>
      </c>
      <c r="R311" s="22">
        <f t="shared" si="19"/>
        <v>0.39089158975158694</v>
      </c>
    </row>
    <row r="312" spans="1:18">
      <c r="A312" s="18">
        <v>1311</v>
      </c>
      <c r="B312" s="19" t="s">
        <v>199</v>
      </c>
      <c r="C312" s="18">
        <v>2024</v>
      </c>
      <c r="D312" s="18" t="s">
        <v>45</v>
      </c>
      <c r="E312" s="18" t="s">
        <v>79</v>
      </c>
      <c r="F312" s="18" t="s">
        <v>100</v>
      </c>
      <c r="G312" s="18" t="s">
        <v>50</v>
      </c>
      <c r="H312" s="18" t="s">
        <v>97</v>
      </c>
      <c r="I312" s="18" t="s">
        <v>43</v>
      </c>
      <c r="J312" s="18" t="s">
        <v>82</v>
      </c>
      <c r="K312" s="18">
        <v>8</v>
      </c>
      <c r="L312" s="20">
        <v>12165.7</v>
      </c>
      <c r="M312" s="21">
        <v>0</v>
      </c>
      <c r="N312" s="21">
        <v>0.655657300187237</v>
      </c>
      <c r="O312" s="20">
        <f t="shared" si="16"/>
        <v>97325.6</v>
      </c>
      <c r="P312" s="20">
        <f t="shared" si="17"/>
        <v>63812.240135102955</v>
      </c>
      <c r="Q312" s="20">
        <f t="shared" si="18"/>
        <v>33513.359864897051</v>
      </c>
      <c r="R312" s="22">
        <f t="shared" si="19"/>
        <v>0.344342699812763</v>
      </c>
    </row>
    <row r="313" spans="1:18">
      <c r="A313" s="18">
        <v>1312</v>
      </c>
      <c r="B313" s="19" t="s">
        <v>199</v>
      </c>
      <c r="C313" s="18">
        <v>2024</v>
      </c>
      <c r="D313" s="18" t="s">
        <v>45</v>
      </c>
      <c r="E313" s="18" t="s">
        <v>79</v>
      </c>
      <c r="F313" s="18" t="s">
        <v>105</v>
      </c>
      <c r="G313" s="18" t="s">
        <v>47</v>
      </c>
      <c r="H313" s="18" t="s">
        <v>81</v>
      </c>
      <c r="I313" s="18" t="s">
        <v>56</v>
      </c>
      <c r="J313" s="18" t="s">
        <v>102</v>
      </c>
      <c r="K313" s="18">
        <v>7</v>
      </c>
      <c r="L313" s="20">
        <v>789.23</v>
      </c>
      <c r="M313" s="21">
        <v>0.2</v>
      </c>
      <c r="N313" s="21">
        <v>0.58455406243015195</v>
      </c>
      <c r="O313" s="20">
        <f t="shared" si="16"/>
        <v>4419.688000000001</v>
      </c>
      <c r="P313" s="20">
        <f t="shared" si="17"/>
        <v>2583.546575073794</v>
      </c>
      <c r="Q313" s="20">
        <f t="shared" si="18"/>
        <v>1836.141424926207</v>
      </c>
      <c r="R313" s="22">
        <f t="shared" si="19"/>
        <v>0.41544593756984805</v>
      </c>
    </row>
    <row r="314" spans="1:18">
      <c r="A314" s="18">
        <v>1313</v>
      </c>
      <c r="B314" s="19" t="s">
        <v>199</v>
      </c>
      <c r="C314" s="18">
        <v>2024</v>
      </c>
      <c r="D314" s="18" t="s">
        <v>45</v>
      </c>
      <c r="E314" s="18" t="s">
        <v>85</v>
      </c>
      <c r="F314" s="18" t="s">
        <v>86</v>
      </c>
      <c r="G314" s="18" t="s">
        <v>41</v>
      </c>
      <c r="H314" s="18" t="s">
        <v>90</v>
      </c>
      <c r="I314" s="18" t="s">
        <v>40</v>
      </c>
      <c r="J314" s="18" t="s">
        <v>91</v>
      </c>
      <c r="K314" s="18">
        <v>4</v>
      </c>
      <c r="L314" s="20">
        <v>17171.689999999999</v>
      </c>
      <c r="M314" s="21">
        <v>0</v>
      </c>
      <c r="N314" s="21">
        <v>0.73973599938942503</v>
      </c>
      <c r="O314" s="20">
        <f t="shared" si="16"/>
        <v>68686.759999999995</v>
      </c>
      <c r="P314" s="20">
        <f t="shared" si="17"/>
        <v>50810.069053421583</v>
      </c>
      <c r="Q314" s="20">
        <f t="shared" si="18"/>
        <v>17876.690946578412</v>
      </c>
      <c r="R314" s="22">
        <f t="shared" si="19"/>
        <v>0.26026400061057492</v>
      </c>
    </row>
    <row r="315" spans="1:18">
      <c r="A315" s="18">
        <v>1314</v>
      </c>
      <c r="B315" s="19" t="s">
        <v>200</v>
      </c>
      <c r="C315" s="18">
        <v>2024</v>
      </c>
      <c r="D315" s="18" t="s">
        <v>45</v>
      </c>
      <c r="E315" s="18" t="s">
        <v>98</v>
      </c>
      <c r="F315" s="18" t="s">
        <v>99</v>
      </c>
      <c r="G315" s="18" t="s">
        <v>50</v>
      </c>
      <c r="H315" s="18" t="s">
        <v>97</v>
      </c>
      <c r="I315" s="18" t="s">
        <v>56</v>
      </c>
      <c r="J315" s="18" t="s">
        <v>82</v>
      </c>
      <c r="K315" s="18">
        <v>11</v>
      </c>
      <c r="L315" s="20">
        <v>12043.88</v>
      </c>
      <c r="M315" s="21">
        <v>0.15</v>
      </c>
      <c r="N315" s="21">
        <v>0.58053608876089402</v>
      </c>
      <c r="O315" s="20">
        <f t="shared" si="16"/>
        <v>112610.27799999999</v>
      </c>
      <c r="P315" s="20">
        <f t="shared" si="17"/>
        <v>65374.330344396949</v>
      </c>
      <c r="Q315" s="20">
        <f t="shared" si="18"/>
        <v>47235.947655603042</v>
      </c>
      <c r="R315" s="22">
        <f t="shared" si="19"/>
        <v>0.41946391123910598</v>
      </c>
    </row>
    <row r="316" spans="1:18">
      <c r="A316" s="18">
        <v>1315</v>
      </c>
      <c r="B316" s="19" t="s">
        <v>200</v>
      </c>
      <c r="C316" s="18">
        <v>2024</v>
      </c>
      <c r="D316" s="18" t="s">
        <v>45</v>
      </c>
      <c r="E316" s="18" t="s">
        <v>79</v>
      </c>
      <c r="F316" s="18" t="s">
        <v>105</v>
      </c>
      <c r="G316" s="18" t="s">
        <v>41</v>
      </c>
      <c r="H316" s="18" t="s">
        <v>101</v>
      </c>
      <c r="I316" s="18" t="s">
        <v>46</v>
      </c>
      <c r="J316" s="18" t="s">
        <v>102</v>
      </c>
      <c r="K316" s="18">
        <v>6</v>
      </c>
      <c r="L316" s="20">
        <v>54399.02</v>
      </c>
      <c r="M316" s="21">
        <v>0.2</v>
      </c>
      <c r="N316" s="21">
        <v>0.70264482622523095</v>
      </c>
      <c r="O316" s="20">
        <f t="shared" si="16"/>
        <v>261115.296</v>
      </c>
      <c r="P316" s="20">
        <f t="shared" si="17"/>
        <v>183471.31178266974</v>
      </c>
      <c r="Q316" s="20">
        <f t="shared" si="18"/>
        <v>77643.98421733026</v>
      </c>
      <c r="R316" s="22">
        <f t="shared" si="19"/>
        <v>0.29735517377476905</v>
      </c>
    </row>
    <row r="317" spans="1:18">
      <c r="A317" s="18">
        <v>1316</v>
      </c>
      <c r="B317" s="19" t="s">
        <v>200</v>
      </c>
      <c r="C317" s="18">
        <v>2024</v>
      </c>
      <c r="D317" s="18" t="s">
        <v>45</v>
      </c>
      <c r="E317" s="18" t="s">
        <v>79</v>
      </c>
      <c r="F317" s="18" t="s">
        <v>105</v>
      </c>
      <c r="G317" s="18" t="s">
        <v>50</v>
      </c>
      <c r="H317" s="18" t="s">
        <v>87</v>
      </c>
      <c r="I317" s="18" t="s">
        <v>49</v>
      </c>
      <c r="J317" s="18" t="s">
        <v>82</v>
      </c>
      <c r="K317" s="18">
        <v>4</v>
      </c>
      <c r="L317" s="20">
        <v>9106.9</v>
      </c>
      <c r="M317" s="21">
        <v>0.1</v>
      </c>
      <c r="N317" s="21">
        <v>0.57319731630887405</v>
      </c>
      <c r="O317" s="20">
        <f t="shared" si="16"/>
        <v>32784.839999999997</v>
      </c>
      <c r="P317" s="20">
        <f t="shared" si="17"/>
        <v>18792.182303615824</v>
      </c>
      <c r="Q317" s="20">
        <f t="shared" si="18"/>
        <v>13992.657696384173</v>
      </c>
      <c r="R317" s="22">
        <f t="shared" si="19"/>
        <v>0.42680268369112595</v>
      </c>
    </row>
    <row r="318" spans="1:18">
      <c r="A318" s="18">
        <v>1317</v>
      </c>
      <c r="B318" s="19" t="s">
        <v>200</v>
      </c>
      <c r="C318" s="18">
        <v>2024</v>
      </c>
      <c r="D318" s="18" t="s">
        <v>45</v>
      </c>
      <c r="E318" s="18" t="s">
        <v>79</v>
      </c>
      <c r="F318" s="18" t="s">
        <v>105</v>
      </c>
      <c r="G318" s="18" t="s">
        <v>44</v>
      </c>
      <c r="H318" s="18" t="s">
        <v>119</v>
      </c>
      <c r="I318" s="18" t="s">
        <v>40</v>
      </c>
      <c r="J318" s="18" t="s">
        <v>102</v>
      </c>
      <c r="K318" s="18">
        <v>3</v>
      </c>
      <c r="L318" s="20">
        <v>7141.05</v>
      </c>
      <c r="M318" s="21">
        <v>0</v>
      </c>
      <c r="N318" s="21">
        <v>0.64928258650454296</v>
      </c>
      <c r="O318" s="20">
        <f t="shared" si="16"/>
        <v>21423.15</v>
      </c>
      <c r="P318" s="20">
        <f t="shared" si="17"/>
        <v>13909.678243074801</v>
      </c>
      <c r="Q318" s="20">
        <f t="shared" si="18"/>
        <v>7513.4717569252007</v>
      </c>
      <c r="R318" s="22">
        <f t="shared" si="19"/>
        <v>0.35071741349545704</v>
      </c>
    </row>
    <row r="319" spans="1:18">
      <c r="A319" s="18">
        <v>1318</v>
      </c>
      <c r="B319" s="19" t="s">
        <v>200</v>
      </c>
      <c r="C319" s="18">
        <v>2024</v>
      </c>
      <c r="D319" s="18" t="s">
        <v>45</v>
      </c>
      <c r="E319" s="18" t="s">
        <v>98</v>
      </c>
      <c r="F319" s="18" t="s">
        <v>99</v>
      </c>
      <c r="G319" s="18" t="s">
        <v>47</v>
      </c>
      <c r="H319" s="18" t="s">
        <v>81</v>
      </c>
      <c r="I319" s="18" t="s">
        <v>54</v>
      </c>
      <c r="J319" s="18" t="s">
        <v>82</v>
      </c>
      <c r="K319" s="18">
        <v>12</v>
      </c>
      <c r="L319" s="20">
        <v>822.49</v>
      </c>
      <c r="M319" s="21">
        <v>0.05</v>
      </c>
      <c r="N319" s="21">
        <v>0.69658716751100802</v>
      </c>
      <c r="O319" s="20">
        <f t="shared" si="16"/>
        <v>9376.3860000000004</v>
      </c>
      <c r="P319" s="20">
        <f t="shared" si="17"/>
        <v>6531.4701652298709</v>
      </c>
      <c r="Q319" s="20">
        <f t="shared" si="18"/>
        <v>2844.9158347701295</v>
      </c>
      <c r="R319" s="22">
        <f t="shared" si="19"/>
        <v>0.30341283248899198</v>
      </c>
    </row>
    <row r="320" spans="1:18">
      <c r="A320" s="18">
        <v>1319</v>
      </c>
      <c r="B320" s="19" t="s">
        <v>201</v>
      </c>
      <c r="C320" s="18">
        <v>2024</v>
      </c>
      <c r="D320" s="18" t="s">
        <v>48</v>
      </c>
      <c r="E320" s="18" t="s">
        <v>79</v>
      </c>
      <c r="F320" s="18" t="s">
        <v>105</v>
      </c>
      <c r="G320" s="18" t="s">
        <v>50</v>
      </c>
      <c r="H320" s="18" t="s">
        <v>97</v>
      </c>
      <c r="I320" s="18" t="s">
        <v>60</v>
      </c>
      <c r="J320" s="18" t="s">
        <v>82</v>
      </c>
      <c r="K320" s="18">
        <v>5</v>
      </c>
      <c r="L320" s="20">
        <v>12254.79</v>
      </c>
      <c r="M320" s="21">
        <v>0.15</v>
      </c>
      <c r="N320" s="21">
        <v>0.67550656657974395</v>
      </c>
      <c r="O320" s="20">
        <f t="shared" si="16"/>
        <v>52082.857500000006</v>
      </c>
      <c r="P320" s="20">
        <f t="shared" si="17"/>
        <v>35182.312247487069</v>
      </c>
      <c r="Q320" s="20">
        <f t="shared" si="18"/>
        <v>16900.545252512937</v>
      </c>
      <c r="R320" s="22">
        <f t="shared" si="19"/>
        <v>0.32449343342025611</v>
      </c>
    </row>
    <row r="321" spans="1:18">
      <c r="A321" s="18">
        <v>1320</v>
      </c>
      <c r="B321" s="19" t="s">
        <v>201</v>
      </c>
      <c r="C321" s="18">
        <v>2024</v>
      </c>
      <c r="D321" s="18" t="s">
        <v>48</v>
      </c>
      <c r="E321" s="18" t="s">
        <v>85</v>
      </c>
      <c r="F321" s="18" t="s">
        <v>121</v>
      </c>
      <c r="G321" s="18" t="s">
        <v>47</v>
      </c>
      <c r="H321" s="18" t="s">
        <v>81</v>
      </c>
      <c r="I321" s="18" t="s">
        <v>58</v>
      </c>
      <c r="J321" s="18" t="s">
        <v>102</v>
      </c>
      <c r="K321" s="18">
        <v>3</v>
      </c>
      <c r="L321" s="20">
        <v>789.42</v>
      </c>
      <c r="M321" s="21">
        <v>0.05</v>
      </c>
      <c r="N321" s="21">
        <v>0.70466579065159696</v>
      </c>
      <c r="O321" s="20">
        <f t="shared" si="16"/>
        <v>2249.8469999999998</v>
      </c>
      <c r="P321" s="20">
        <f t="shared" si="17"/>
        <v>1585.3902151001232</v>
      </c>
      <c r="Q321" s="20">
        <f t="shared" si="18"/>
        <v>664.45678489987654</v>
      </c>
      <c r="R321" s="22">
        <f t="shared" si="19"/>
        <v>0.2953342093484031</v>
      </c>
    </row>
    <row r="322" spans="1:18">
      <c r="A322" s="18">
        <v>1321</v>
      </c>
      <c r="B322" s="19" t="s">
        <v>202</v>
      </c>
      <c r="C322" s="18">
        <v>2024</v>
      </c>
      <c r="D322" s="18" t="s">
        <v>48</v>
      </c>
      <c r="E322" s="18" t="s">
        <v>88</v>
      </c>
      <c r="F322" s="18" t="s">
        <v>93</v>
      </c>
      <c r="G322" s="18" t="s">
        <v>41</v>
      </c>
      <c r="H322" s="18" t="s">
        <v>90</v>
      </c>
      <c r="I322" s="18" t="s">
        <v>40</v>
      </c>
      <c r="J322" s="18" t="s">
        <v>82</v>
      </c>
      <c r="K322" s="18">
        <v>1</v>
      </c>
      <c r="L322" s="20">
        <v>17949.18</v>
      </c>
      <c r="M322" s="21">
        <v>0.1</v>
      </c>
      <c r="N322" s="21">
        <v>0.73404530905199805</v>
      </c>
      <c r="O322" s="20">
        <f t="shared" ref="O322:O385" si="20">K322*L322*(1-M322)</f>
        <v>16154.262000000001</v>
      </c>
      <c r="P322" s="20">
        <f t="shared" ref="P322:P385" si="21">O322*N322</f>
        <v>11857.960242296949</v>
      </c>
      <c r="Q322" s="20">
        <f t="shared" ref="Q322:Q385" si="22">O322-P322</f>
        <v>4296.3017577030514</v>
      </c>
      <c r="R322" s="22">
        <f t="shared" ref="R322:R385" si="23">IF(O322=0,0,Q322/O322)</f>
        <v>0.26595469094800189</v>
      </c>
    </row>
    <row r="323" spans="1:18">
      <c r="A323" s="18">
        <v>1322</v>
      </c>
      <c r="B323" s="19" t="s">
        <v>202</v>
      </c>
      <c r="C323" s="18">
        <v>2024</v>
      </c>
      <c r="D323" s="18" t="s">
        <v>48</v>
      </c>
      <c r="E323" s="18" t="s">
        <v>88</v>
      </c>
      <c r="F323" s="18" t="s">
        <v>110</v>
      </c>
      <c r="G323" s="18" t="s">
        <v>50</v>
      </c>
      <c r="H323" s="18" t="s">
        <v>83</v>
      </c>
      <c r="I323" s="18" t="s">
        <v>54</v>
      </c>
      <c r="J323" s="18" t="s">
        <v>82</v>
      </c>
      <c r="K323" s="18">
        <v>7</v>
      </c>
      <c r="L323" s="20">
        <v>3645.55</v>
      </c>
      <c r="M323" s="21">
        <v>0.05</v>
      </c>
      <c r="N323" s="21">
        <v>0.60425159160196296</v>
      </c>
      <c r="O323" s="20">
        <f t="shared" si="20"/>
        <v>24242.907500000001</v>
      </c>
      <c r="P323" s="20">
        <f t="shared" si="21"/>
        <v>14648.815441934166</v>
      </c>
      <c r="Q323" s="20">
        <f t="shared" si="22"/>
        <v>9594.0920580658349</v>
      </c>
      <c r="R323" s="22">
        <f t="shared" si="23"/>
        <v>0.39574840839803699</v>
      </c>
    </row>
    <row r="324" spans="1:18">
      <c r="A324" s="18">
        <v>1323</v>
      </c>
      <c r="B324" s="19" t="s">
        <v>203</v>
      </c>
      <c r="C324" s="18">
        <v>2024</v>
      </c>
      <c r="D324" s="18" t="s">
        <v>48</v>
      </c>
      <c r="E324" s="18" t="s">
        <v>98</v>
      </c>
      <c r="F324" s="18" t="s">
        <v>117</v>
      </c>
      <c r="G324" s="18" t="s">
        <v>41</v>
      </c>
      <c r="H324" s="18" t="s">
        <v>101</v>
      </c>
      <c r="I324" s="18" t="s">
        <v>49</v>
      </c>
      <c r="J324" s="18" t="s">
        <v>102</v>
      </c>
      <c r="K324" s="18">
        <v>1</v>
      </c>
      <c r="L324" s="20">
        <v>57497.440000000002</v>
      </c>
      <c r="M324" s="21">
        <v>0</v>
      </c>
      <c r="N324" s="21">
        <v>0.72539824763699501</v>
      </c>
      <c r="O324" s="20">
        <f t="shared" si="20"/>
        <v>57497.440000000002</v>
      </c>
      <c r="P324" s="20">
        <f t="shared" si="21"/>
        <v>41708.542219613264</v>
      </c>
      <c r="Q324" s="20">
        <f t="shared" si="22"/>
        <v>15788.897780386738</v>
      </c>
      <c r="R324" s="22">
        <f t="shared" si="23"/>
        <v>0.27460175236300499</v>
      </c>
    </row>
    <row r="325" spans="1:18">
      <c r="A325" s="18">
        <v>1324</v>
      </c>
      <c r="B325" s="19" t="s">
        <v>203</v>
      </c>
      <c r="C325" s="18">
        <v>2024</v>
      </c>
      <c r="D325" s="18" t="s">
        <v>48</v>
      </c>
      <c r="E325" s="18" t="s">
        <v>98</v>
      </c>
      <c r="F325" s="18" t="s">
        <v>109</v>
      </c>
      <c r="G325" s="18" t="s">
        <v>47</v>
      </c>
      <c r="H325" s="18" t="s">
        <v>81</v>
      </c>
      <c r="I325" s="18" t="s">
        <v>60</v>
      </c>
      <c r="J325" s="18" t="s">
        <v>91</v>
      </c>
      <c r="K325" s="18">
        <v>1</v>
      </c>
      <c r="L325" s="20">
        <v>789.51</v>
      </c>
      <c r="M325" s="21">
        <v>0.05</v>
      </c>
      <c r="N325" s="21">
        <v>0.66276134816483701</v>
      </c>
      <c r="O325" s="20">
        <f t="shared" si="20"/>
        <v>750.03449999999998</v>
      </c>
      <c r="P325" s="20">
        <f t="shared" si="21"/>
        <v>497.09387639013943</v>
      </c>
      <c r="Q325" s="20">
        <f t="shared" si="22"/>
        <v>252.94062360986055</v>
      </c>
      <c r="R325" s="22">
        <f t="shared" si="23"/>
        <v>0.33723865183516299</v>
      </c>
    </row>
    <row r="326" spans="1:18">
      <c r="A326" s="18">
        <v>1325</v>
      </c>
      <c r="B326" s="19" t="s">
        <v>204</v>
      </c>
      <c r="C326" s="18">
        <v>2024</v>
      </c>
      <c r="D326" s="18" t="s">
        <v>48</v>
      </c>
      <c r="E326" s="18" t="s">
        <v>88</v>
      </c>
      <c r="F326" s="18" t="s">
        <v>89</v>
      </c>
      <c r="G326" s="18" t="s">
        <v>47</v>
      </c>
      <c r="H326" s="18" t="s">
        <v>103</v>
      </c>
      <c r="I326" s="18" t="s">
        <v>58</v>
      </c>
      <c r="J326" s="18" t="s">
        <v>82</v>
      </c>
      <c r="K326" s="18">
        <v>12</v>
      </c>
      <c r="L326" s="20">
        <v>3328.14</v>
      </c>
      <c r="M326" s="21">
        <v>0</v>
      </c>
      <c r="N326" s="21">
        <v>0.58011327535864399</v>
      </c>
      <c r="O326" s="20">
        <f t="shared" si="20"/>
        <v>39937.68</v>
      </c>
      <c r="P326" s="20">
        <f t="shared" si="21"/>
        <v>23168.378355025408</v>
      </c>
      <c r="Q326" s="20">
        <f t="shared" si="22"/>
        <v>16769.301644974592</v>
      </c>
      <c r="R326" s="22">
        <f t="shared" si="23"/>
        <v>0.41988672464135601</v>
      </c>
    </row>
    <row r="327" spans="1:18">
      <c r="A327" s="18">
        <v>1326</v>
      </c>
      <c r="B327" s="19" t="s">
        <v>204</v>
      </c>
      <c r="C327" s="18">
        <v>2024</v>
      </c>
      <c r="D327" s="18" t="s">
        <v>48</v>
      </c>
      <c r="E327" s="18" t="s">
        <v>85</v>
      </c>
      <c r="F327" s="18" t="s">
        <v>86</v>
      </c>
      <c r="G327" s="18" t="s">
        <v>44</v>
      </c>
      <c r="H327" s="18" t="s">
        <v>95</v>
      </c>
      <c r="I327" s="18" t="s">
        <v>54</v>
      </c>
      <c r="J327" s="18" t="s">
        <v>102</v>
      </c>
      <c r="K327" s="18">
        <v>12</v>
      </c>
      <c r="L327" s="20">
        <v>4669.74</v>
      </c>
      <c r="M327" s="21">
        <v>0.05</v>
      </c>
      <c r="N327" s="21">
        <v>0.55029240810711599</v>
      </c>
      <c r="O327" s="20">
        <f t="shared" si="20"/>
        <v>53235.035999999993</v>
      </c>
      <c r="P327" s="20">
        <f t="shared" si="21"/>
        <v>29294.83615610901</v>
      </c>
      <c r="Q327" s="20">
        <f t="shared" si="22"/>
        <v>23940.199843890983</v>
      </c>
      <c r="R327" s="22">
        <f t="shared" si="23"/>
        <v>0.44970759189288395</v>
      </c>
    </row>
    <row r="328" spans="1:18">
      <c r="A328" s="18">
        <v>1327</v>
      </c>
      <c r="B328" s="19" t="s">
        <v>204</v>
      </c>
      <c r="C328" s="18">
        <v>2024</v>
      </c>
      <c r="D328" s="18" t="s">
        <v>48</v>
      </c>
      <c r="E328" s="18" t="s">
        <v>85</v>
      </c>
      <c r="F328" s="18" t="s">
        <v>94</v>
      </c>
      <c r="G328" s="18" t="s">
        <v>47</v>
      </c>
      <c r="H328" s="18" t="s">
        <v>81</v>
      </c>
      <c r="I328" s="18" t="s">
        <v>49</v>
      </c>
      <c r="J328" s="18" t="s">
        <v>102</v>
      </c>
      <c r="K328" s="18">
        <v>4</v>
      </c>
      <c r="L328" s="20">
        <v>793.59</v>
      </c>
      <c r="M328" s="21">
        <v>0</v>
      </c>
      <c r="N328" s="21">
        <v>0.74451184719347796</v>
      </c>
      <c r="O328" s="20">
        <f t="shared" si="20"/>
        <v>3174.36</v>
      </c>
      <c r="P328" s="20">
        <f t="shared" si="21"/>
        <v>2363.348627257089</v>
      </c>
      <c r="Q328" s="20">
        <f t="shared" si="22"/>
        <v>811.01137274291113</v>
      </c>
      <c r="R328" s="22">
        <f t="shared" si="23"/>
        <v>0.25548815280652198</v>
      </c>
    </row>
    <row r="329" spans="1:18">
      <c r="A329" s="18">
        <v>1328</v>
      </c>
      <c r="B329" s="19" t="s">
        <v>204</v>
      </c>
      <c r="C329" s="18">
        <v>2024</v>
      </c>
      <c r="D329" s="18" t="s">
        <v>48</v>
      </c>
      <c r="E329" s="18" t="s">
        <v>88</v>
      </c>
      <c r="F329" s="18" t="s">
        <v>93</v>
      </c>
      <c r="G329" s="18" t="s">
        <v>47</v>
      </c>
      <c r="H329" s="18" t="s">
        <v>81</v>
      </c>
      <c r="I329" s="18" t="s">
        <v>40</v>
      </c>
      <c r="J329" s="18" t="s">
        <v>82</v>
      </c>
      <c r="K329" s="18">
        <v>9</v>
      </c>
      <c r="L329" s="20">
        <v>793.04</v>
      </c>
      <c r="M329" s="21">
        <v>0.05</v>
      </c>
      <c r="N329" s="21">
        <v>0.64169160570882999</v>
      </c>
      <c r="O329" s="20">
        <f t="shared" si="20"/>
        <v>6780.4919999999993</v>
      </c>
      <c r="P329" s="20">
        <f t="shared" si="21"/>
        <v>4350.9847989758755</v>
      </c>
      <c r="Q329" s="20">
        <f t="shared" si="22"/>
        <v>2429.5072010241238</v>
      </c>
      <c r="R329" s="22">
        <f t="shared" si="23"/>
        <v>0.35830839429117001</v>
      </c>
    </row>
    <row r="330" spans="1:18">
      <c r="A330" s="18">
        <v>1329</v>
      </c>
      <c r="B330" s="19" t="s">
        <v>205</v>
      </c>
      <c r="C330" s="18">
        <v>2024</v>
      </c>
      <c r="D330" s="18" t="s">
        <v>48</v>
      </c>
      <c r="E330" s="18" t="s">
        <v>79</v>
      </c>
      <c r="F330" s="18" t="s">
        <v>80</v>
      </c>
      <c r="G330" s="18" t="s">
        <v>44</v>
      </c>
      <c r="H330" s="18" t="s">
        <v>95</v>
      </c>
      <c r="I330" s="18" t="s">
        <v>56</v>
      </c>
      <c r="J330" s="18" t="s">
        <v>82</v>
      </c>
      <c r="K330" s="18">
        <v>10</v>
      </c>
      <c r="L330" s="20">
        <v>4530.5200000000004</v>
      </c>
      <c r="M330" s="21">
        <v>0.1</v>
      </c>
      <c r="N330" s="21">
        <v>0.68248878563078996</v>
      </c>
      <c r="O330" s="20">
        <f t="shared" si="20"/>
        <v>40774.680000000008</v>
      </c>
      <c r="P330" s="20">
        <f t="shared" si="21"/>
        <v>27828.261837684066</v>
      </c>
      <c r="Q330" s="20">
        <f t="shared" si="22"/>
        <v>12946.418162315942</v>
      </c>
      <c r="R330" s="22">
        <f t="shared" si="23"/>
        <v>0.31751121436920998</v>
      </c>
    </row>
    <row r="331" spans="1:18">
      <c r="A331" s="18">
        <v>1330</v>
      </c>
      <c r="B331" s="19" t="s">
        <v>205</v>
      </c>
      <c r="C331" s="18">
        <v>2024</v>
      </c>
      <c r="D331" s="18" t="s">
        <v>48</v>
      </c>
      <c r="E331" s="18" t="s">
        <v>88</v>
      </c>
      <c r="F331" s="18" t="s">
        <v>110</v>
      </c>
      <c r="G331" s="18" t="s">
        <v>47</v>
      </c>
      <c r="H331" s="18" t="s">
        <v>107</v>
      </c>
      <c r="I331" s="18" t="s">
        <v>54</v>
      </c>
      <c r="J331" s="18" t="s">
        <v>91</v>
      </c>
      <c r="K331" s="18">
        <v>12</v>
      </c>
      <c r="L331" s="20">
        <v>2273.02</v>
      </c>
      <c r="M331" s="21">
        <v>0.05</v>
      </c>
      <c r="N331" s="21">
        <v>0.61361154385322003</v>
      </c>
      <c r="O331" s="20">
        <f t="shared" si="20"/>
        <v>25912.427999999996</v>
      </c>
      <c r="P331" s="20">
        <f t="shared" si="21"/>
        <v>15900.164950065404</v>
      </c>
      <c r="Q331" s="20">
        <f t="shared" si="22"/>
        <v>10012.263049934592</v>
      </c>
      <c r="R331" s="22">
        <f t="shared" si="23"/>
        <v>0.38638845614677997</v>
      </c>
    </row>
    <row r="332" spans="1:18">
      <c r="A332" s="18">
        <v>1331</v>
      </c>
      <c r="B332" s="19" t="s">
        <v>206</v>
      </c>
      <c r="C332" s="18">
        <v>2024</v>
      </c>
      <c r="D332" s="18" t="s">
        <v>48</v>
      </c>
      <c r="E332" s="18" t="s">
        <v>88</v>
      </c>
      <c r="F332" s="18" t="s">
        <v>110</v>
      </c>
      <c r="G332" s="18" t="s">
        <v>44</v>
      </c>
      <c r="H332" s="18" t="s">
        <v>119</v>
      </c>
      <c r="I332" s="18" t="s">
        <v>62</v>
      </c>
      <c r="J332" s="18" t="s">
        <v>82</v>
      </c>
      <c r="K332" s="18">
        <v>3</v>
      </c>
      <c r="L332" s="20">
        <v>6723.96</v>
      </c>
      <c r="M332" s="21">
        <v>0.1</v>
      </c>
      <c r="N332" s="21">
        <v>0.64321102248733197</v>
      </c>
      <c r="O332" s="20">
        <f t="shared" si="20"/>
        <v>18154.692000000003</v>
      </c>
      <c r="P332" s="20">
        <f t="shared" si="21"/>
        <v>11677.298004262588</v>
      </c>
      <c r="Q332" s="20">
        <f t="shared" si="22"/>
        <v>6477.393995737415</v>
      </c>
      <c r="R332" s="22">
        <f t="shared" si="23"/>
        <v>0.35678897751266803</v>
      </c>
    </row>
    <row r="333" spans="1:18">
      <c r="A333" s="18">
        <v>1332</v>
      </c>
      <c r="B333" s="19" t="s">
        <v>206</v>
      </c>
      <c r="C333" s="18">
        <v>2024</v>
      </c>
      <c r="D333" s="18" t="s">
        <v>48</v>
      </c>
      <c r="E333" s="18" t="s">
        <v>85</v>
      </c>
      <c r="F333" s="18" t="s">
        <v>86</v>
      </c>
      <c r="G333" s="18" t="s">
        <v>47</v>
      </c>
      <c r="H333" s="18" t="s">
        <v>81</v>
      </c>
      <c r="I333" s="18" t="s">
        <v>58</v>
      </c>
      <c r="J333" s="18" t="s">
        <v>91</v>
      </c>
      <c r="K333" s="18">
        <v>8</v>
      </c>
      <c r="L333" s="20">
        <v>781.2</v>
      </c>
      <c r="M333" s="21">
        <v>0</v>
      </c>
      <c r="N333" s="21">
        <v>0.56808417760970498</v>
      </c>
      <c r="O333" s="20">
        <f t="shared" si="20"/>
        <v>6249.6</v>
      </c>
      <c r="P333" s="20">
        <f t="shared" si="21"/>
        <v>3550.2988763896124</v>
      </c>
      <c r="Q333" s="20">
        <f t="shared" si="22"/>
        <v>2699.301123610388</v>
      </c>
      <c r="R333" s="22">
        <f t="shared" si="23"/>
        <v>0.43191582239029502</v>
      </c>
    </row>
    <row r="334" spans="1:18">
      <c r="A334" s="18">
        <v>1333</v>
      </c>
      <c r="B334" s="19" t="s">
        <v>206</v>
      </c>
      <c r="C334" s="18">
        <v>2024</v>
      </c>
      <c r="D334" s="18" t="s">
        <v>48</v>
      </c>
      <c r="E334" s="18" t="s">
        <v>98</v>
      </c>
      <c r="F334" s="18" t="s">
        <v>99</v>
      </c>
      <c r="G334" s="18" t="s">
        <v>41</v>
      </c>
      <c r="H334" s="18" t="s">
        <v>101</v>
      </c>
      <c r="I334" s="18" t="s">
        <v>54</v>
      </c>
      <c r="J334" s="18" t="s">
        <v>82</v>
      </c>
      <c r="K334" s="18">
        <v>2</v>
      </c>
      <c r="L334" s="20">
        <v>56161.37</v>
      </c>
      <c r="M334" s="21">
        <v>0.05</v>
      </c>
      <c r="N334" s="21">
        <v>0.62924889253595395</v>
      </c>
      <c r="O334" s="20">
        <f t="shared" si="20"/>
        <v>106706.603</v>
      </c>
      <c r="P334" s="20">
        <f t="shared" si="21"/>
        <v>67145.0117640237</v>
      </c>
      <c r="Q334" s="20">
        <f t="shared" si="22"/>
        <v>39561.591235976302</v>
      </c>
      <c r="R334" s="22">
        <f t="shared" si="23"/>
        <v>0.37075110746404605</v>
      </c>
    </row>
    <row r="335" spans="1:18">
      <c r="A335" s="18">
        <v>1334</v>
      </c>
      <c r="B335" s="19" t="s">
        <v>206</v>
      </c>
      <c r="C335" s="18">
        <v>2024</v>
      </c>
      <c r="D335" s="18" t="s">
        <v>48</v>
      </c>
      <c r="E335" s="18" t="s">
        <v>79</v>
      </c>
      <c r="F335" s="18" t="s">
        <v>80</v>
      </c>
      <c r="G335" s="18" t="s">
        <v>47</v>
      </c>
      <c r="H335" s="18" t="s">
        <v>107</v>
      </c>
      <c r="I335" s="18" t="s">
        <v>46</v>
      </c>
      <c r="J335" s="18" t="s">
        <v>82</v>
      </c>
      <c r="K335" s="18">
        <v>7</v>
      </c>
      <c r="L335" s="20">
        <v>2278.0100000000002</v>
      </c>
      <c r="M335" s="21">
        <v>0.15</v>
      </c>
      <c r="N335" s="21">
        <v>0.69961568944174202</v>
      </c>
      <c r="O335" s="20">
        <f t="shared" si="20"/>
        <v>13554.159500000002</v>
      </c>
      <c r="P335" s="20">
        <f t="shared" si="21"/>
        <v>9482.7026433958381</v>
      </c>
      <c r="Q335" s="20">
        <f t="shared" si="22"/>
        <v>4071.4568566041635</v>
      </c>
      <c r="R335" s="22">
        <f t="shared" si="23"/>
        <v>0.30038431055825798</v>
      </c>
    </row>
    <row r="336" spans="1:18">
      <c r="A336" s="18">
        <v>1335</v>
      </c>
      <c r="B336" s="19" t="s">
        <v>207</v>
      </c>
      <c r="C336" s="18">
        <v>2024</v>
      </c>
      <c r="D336" s="18" t="s">
        <v>48</v>
      </c>
      <c r="E336" s="18" t="s">
        <v>79</v>
      </c>
      <c r="F336" s="18" t="s">
        <v>105</v>
      </c>
      <c r="G336" s="18" t="s">
        <v>41</v>
      </c>
      <c r="H336" s="18" t="s">
        <v>101</v>
      </c>
      <c r="I336" s="18" t="s">
        <v>43</v>
      </c>
      <c r="J336" s="18" t="s">
        <v>82</v>
      </c>
      <c r="K336" s="18">
        <v>1</v>
      </c>
      <c r="L336" s="20">
        <v>56817.05</v>
      </c>
      <c r="M336" s="21">
        <v>0</v>
      </c>
      <c r="N336" s="21">
        <v>0.57614304750879597</v>
      </c>
      <c r="O336" s="20">
        <f t="shared" si="20"/>
        <v>56817.05</v>
      </c>
      <c r="P336" s="20">
        <f t="shared" si="21"/>
        <v>32734.748337459638</v>
      </c>
      <c r="Q336" s="20">
        <f t="shared" si="22"/>
        <v>24082.301662540365</v>
      </c>
      <c r="R336" s="22">
        <f t="shared" si="23"/>
        <v>0.42385695249120403</v>
      </c>
    </row>
    <row r="337" spans="1:18">
      <c r="A337" s="18">
        <v>1336</v>
      </c>
      <c r="B337" s="19" t="s">
        <v>207</v>
      </c>
      <c r="C337" s="18">
        <v>2024</v>
      </c>
      <c r="D337" s="18" t="s">
        <v>48</v>
      </c>
      <c r="E337" s="18" t="s">
        <v>85</v>
      </c>
      <c r="F337" s="18" t="s">
        <v>121</v>
      </c>
      <c r="G337" s="18" t="s">
        <v>41</v>
      </c>
      <c r="H337" s="18" t="s">
        <v>106</v>
      </c>
      <c r="I337" s="18" t="s">
        <v>43</v>
      </c>
      <c r="J337" s="18" t="s">
        <v>82</v>
      </c>
      <c r="K337" s="18">
        <v>2</v>
      </c>
      <c r="L337" s="20">
        <v>2424.44</v>
      </c>
      <c r="M337" s="21">
        <v>0.2</v>
      </c>
      <c r="N337" s="21">
        <v>0.63868626476719803</v>
      </c>
      <c r="O337" s="20">
        <f t="shared" si="20"/>
        <v>3879.1040000000003</v>
      </c>
      <c r="P337" s="20">
        <f t="shared" si="21"/>
        <v>2477.5304444034973</v>
      </c>
      <c r="Q337" s="20">
        <f t="shared" si="22"/>
        <v>1401.573555596503</v>
      </c>
      <c r="R337" s="22">
        <f t="shared" si="23"/>
        <v>0.36131373523280191</v>
      </c>
    </row>
    <row r="338" spans="1:18">
      <c r="A338" s="18">
        <v>1337</v>
      </c>
      <c r="B338" s="19" t="s">
        <v>207</v>
      </c>
      <c r="C338" s="18">
        <v>2024</v>
      </c>
      <c r="D338" s="18" t="s">
        <v>48</v>
      </c>
      <c r="E338" s="18" t="s">
        <v>88</v>
      </c>
      <c r="F338" s="18" t="s">
        <v>110</v>
      </c>
      <c r="G338" s="18" t="s">
        <v>47</v>
      </c>
      <c r="H338" s="18" t="s">
        <v>81</v>
      </c>
      <c r="I338" s="18" t="s">
        <v>40</v>
      </c>
      <c r="J338" s="18" t="s">
        <v>91</v>
      </c>
      <c r="K338" s="18">
        <v>1</v>
      </c>
      <c r="L338" s="20">
        <v>773.44</v>
      </c>
      <c r="M338" s="21">
        <v>0.15</v>
      </c>
      <c r="N338" s="21">
        <v>0.63663127544773401</v>
      </c>
      <c r="O338" s="20">
        <f t="shared" si="20"/>
        <v>657.42399999999998</v>
      </c>
      <c r="P338" s="20">
        <f t="shared" si="21"/>
        <v>418.5366796299511</v>
      </c>
      <c r="Q338" s="20">
        <f t="shared" si="22"/>
        <v>238.88732037004888</v>
      </c>
      <c r="R338" s="22">
        <f t="shared" si="23"/>
        <v>0.36336872455226593</v>
      </c>
    </row>
    <row r="339" spans="1:18">
      <c r="A339" s="18">
        <v>1338</v>
      </c>
      <c r="B339" s="19" t="s">
        <v>208</v>
      </c>
      <c r="C339" s="18">
        <v>2024</v>
      </c>
      <c r="D339" s="18" t="s">
        <v>48</v>
      </c>
      <c r="E339" s="18" t="s">
        <v>85</v>
      </c>
      <c r="F339" s="18" t="s">
        <v>86</v>
      </c>
      <c r="G339" s="18" t="s">
        <v>50</v>
      </c>
      <c r="H339" s="18" t="s">
        <v>87</v>
      </c>
      <c r="I339" s="18" t="s">
        <v>56</v>
      </c>
      <c r="J339" s="18" t="s">
        <v>82</v>
      </c>
      <c r="K339" s="18">
        <v>6</v>
      </c>
      <c r="L339" s="20">
        <v>9228.98</v>
      </c>
      <c r="M339" s="21">
        <v>0</v>
      </c>
      <c r="N339" s="21">
        <v>0.60499635380484795</v>
      </c>
      <c r="O339" s="20">
        <f t="shared" si="20"/>
        <v>55373.88</v>
      </c>
      <c r="P339" s="20">
        <f t="shared" si="21"/>
        <v>33500.995496027193</v>
      </c>
      <c r="Q339" s="20">
        <f t="shared" si="22"/>
        <v>21872.884503972804</v>
      </c>
      <c r="R339" s="22">
        <f t="shared" si="23"/>
        <v>0.39500364619515205</v>
      </c>
    </row>
    <row r="340" spans="1:18">
      <c r="A340" s="18">
        <v>1339</v>
      </c>
      <c r="B340" s="19" t="s">
        <v>208</v>
      </c>
      <c r="C340" s="18">
        <v>2024</v>
      </c>
      <c r="D340" s="18" t="s">
        <v>48</v>
      </c>
      <c r="E340" s="18" t="s">
        <v>85</v>
      </c>
      <c r="F340" s="18" t="s">
        <v>86</v>
      </c>
      <c r="G340" s="18" t="s">
        <v>41</v>
      </c>
      <c r="H340" s="18" t="s">
        <v>101</v>
      </c>
      <c r="I340" s="18" t="s">
        <v>52</v>
      </c>
      <c r="J340" s="18" t="s">
        <v>91</v>
      </c>
      <c r="K340" s="18">
        <v>7</v>
      </c>
      <c r="L340" s="20">
        <v>57105.279999999999</v>
      </c>
      <c r="M340" s="21">
        <v>0.1</v>
      </c>
      <c r="N340" s="21">
        <v>0.56219581378656902</v>
      </c>
      <c r="O340" s="20">
        <f t="shared" si="20"/>
        <v>359763.26399999997</v>
      </c>
      <c r="P340" s="20">
        <f t="shared" si="21"/>
        <v>202257.40097499226</v>
      </c>
      <c r="Q340" s="20">
        <f t="shared" si="22"/>
        <v>157505.86302500771</v>
      </c>
      <c r="R340" s="22">
        <f t="shared" si="23"/>
        <v>0.43780418621343098</v>
      </c>
    </row>
    <row r="341" spans="1:18">
      <c r="A341" s="18">
        <v>1340</v>
      </c>
      <c r="B341" s="19" t="s">
        <v>208</v>
      </c>
      <c r="C341" s="18">
        <v>2024</v>
      </c>
      <c r="D341" s="18" t="s">
        <v>48</v>
      </c>
      <c r="E341" s="18" t="s">
        <v>98</v>
      </c>
      <c r="F341" s="18" t="s">
        <v>109</v>
      </c>
      <c r="G341" s="18" t="s">
        <v>44</v>
      </c>
      <c r="H341" s="18" t="s">
        <v>114</v>
      </c>
      <c r="I341" s="18" t="s">
        <v>49</v>
      </c>
      <c r="J341" s="18" t="s">
        <v>102</v>
      </c>
      <c r="K341" s="18">
        <v>9</v>
      </c>
      <c r="L341" s="20">
        <v>8774.23</v>
      </c>
      <c r="M341" s="21">
        <v>0.15</v>
      </c>
      <c r="N341" s="21">
        <v>0.70896924886037405</v>
      </c>
      <c r="O341" s="20">
        <f t="shared" si="20"/>
        <v>67122.859499999991</v>
      </c>
      <c r="P341" s="20">
        <f t="shared" si="21"/>
        <v>47588.043281075414</v>
      </c>
      <c r="Q341" s="20">
        <f t="shared" si="22"/>
        <v>19534.816218924578</v>
      </c>
      <c r="R341" s="22">
        <f t="shared" si="23"/>
        <v>0.29103075113962601</v>
      </c>
    </row>
    <row r="342" spans="1:18">
      <c r="A342" s="18">
        <v>1341</v>
      </c>
      <c r="B342" s="19" t="s">
        <v>208</v>
      </c>
      <c r="C342" s="18">
        <v>2024</v>
      </c>
      <c r="D342" s="18" t="s">
        <v>48</v>
      </c>
      <c r="E342" s="18" t="s">
        <v>85</v>
      </c>
      <c r="F342" s="18" t="s">
        <v>94</v>
      </c>
      <c r="G342" s="18" t="s">
        <v>47</v>
      </c>
      <c r="H342" s="18" t="s">
        <v>107</v>
      </c>
      <c r="I342" s="18" t="s">
        <v>60</v>
      </c>
      <c r="J342" s="18" t="s">
        <v>91</v>
      </c>
      <c r="K342" s="18">
        <v>6</v>
      </c>
      <c r="L342" s="20">
        <v>2290.79</v>
      </c>
      <c r="M342" s="21">
        <v>0.15</v>
      </c>
      <c r="N342" s="21">
        <v>0.61432088373360205</v>
      </c>
      <c r="O342" s="20">
        <f t="shared" si="20"/>
        <v>11683.028999999999</v>
      </c>
      <c r="P342" s="20">
        <f t="shared" si="21"/>
        <v>7177.1286999653003</v>
      </c>
      <c r="Q342" s="20">
        <f t="shared" si="22"/>
        <v>4505.9003000346984</v>
      </c>
      <c r="R342" s="22">
        <f t="shared" si="23"/>
        <v>0.38567911626639795</v>
      </c>
    </row>
    <row r="343" spans="1:18">
      <c r="A343" s="18">
        <v>1342</v>
      </c>
      <c r="B343" s="19" t="s">
        <v>208</v>
      </c>
      <c r="C343" s="18">
        <v>2024</v>
      </c>
      <c r="D343" s="18" t="s">
        <v>48</v>
      </c>
      <c r="E343" s="18" t="s">
        <v>98</v>
      </c>
      <c r="F343" s="18" t="s">
        <v>117</v>
      </c>
      <c r="G343" s="18" t="s">
        <v>41</v>
      </c>
      <c r="H343" s="18" t="s">
        <v>106</v>
      </c>
      <c r="I343" s="18" t="s">
        <v>62</v>
      </c>
      <c r="J343" s="18" t="s">
        <v>82</v>
      </c>
      <c r="K343" s="18">
        <v>1</v>
      </c>
      <c r="L343" s="20">
        <v>2598.94</v>
      </c>
      <c r="M343" s="21">
        <v>0.05</v>
      </c>
      <c r="N343" s="21">
        <v>0.56171824605562404</v>
      </c>
      <c r="O343" s="20">
        <f t="shared" si="20"/>
        <v>2468.9929999999999</v>
      </c>
      <c r="P343" s="20">
        <f t="shared" si="21"/>
        <v>1386.8784174836132</v>
      </c>
      <c r="Q343" s="20">
        <f t="shared" si="22"/>
        <v>1082.1145825163867</v>
      </c>
      <c r="R343" s="22">
        <f t="shared" si="23"/>
        <v>0.43828175394437602</v>
      </c>
    </row>
    <row r="344" spans="1:18">
      <c r="A344" s="18">
        <v>1343</v>
      </c>
      <c r="B344" s="19" t="s">
        <v>209</v>
      </c>
      <c r="C344" s="18">
        <v>2024</v>
      </c>
      <c r="D344" s="18" t="s">
        <v>48</v>
      </c>
      <c r="E344" s="18" t="s">
        <v>98</v>
      </c>
      <c r="F344" s="18" t="s">
        <v>99</v>
      </c>
      <c r="G344" s="18" t="s">
        <v>44</v>
      </c>
      <c r="H344" s="18" t="s">
        <v>119</v>
      </c>
      <c r="I344" s="18" t="s">
        <v>43</v>
      </c>
      <c r="J344" s="18" t="s">
        <v>82</v>
      </c>
      <c r="K344" s="18">
        <v>11</v>
      </c>
      <c r="L344" s="20">
        <v>6818.81</v>
      </c>
      <c r="M344" s="21">
        <v>0.15</v>
      </c>
      <c r="N344" s="21">
        <v>0.71325703232174698</v>
      </c>
      <c r="O344" s="20">
        <f t="shared" si="20"/>
        <v>63755.873500000002</v>
      </c>
      <c r="P344" s="20">
        <f t="shared" si="21"/>
        <v>45474.32512569071</v>
      </c>
      <c r="Q344" s="20">
        <f t="shared" si="22"/>
        <v>18281.548374309292</v>
      </c>
      <c r="R344" s="22">
        <f t="shared" si="23"/>
        <v>0.28674296767825308</v>
      </c>
    </row>
    <row r="345" spans="1:18">
      <c r="A345" s="18">
        <v>1344</v>
      </c>
      <c r="B345" s="19" t="s">
        <v>209</v>
      </c>
      <c r="C345" s="18">
        <v>2024</v>
      </c>
      <c r="D345" s="18" t="s">
        <v>48</v>
      </c>
      <c r="E345" s="18" t="s">
        <v>79</v>
      </c>
      <c r="F345" s="18" t="s">
        <v>100</v>
      </c>
      <c r="G345" s="18" t="s">
        <v>50</v>
      </c>
      <c r="H345" s="18" t="s">
        <v>97</v>
      </c>
      <c r="I345" s="18" t="s">
        <v>46</v>
      </c>
      <c r="J345" s="18" t="s">
        <v>82</v>
      </c>
      <c r="K345" s="18">
        <v>4</v>
      </c>
      <c r="L345" s="20">
        <v>12111.02</v>
      </c>
      <c r="M345" s="21">
        <v>0.2</v>
      </c>
      <c r="N345" s="21">
        <v>0.68952531271991602</v>
      </c>
      <c r="O345" s="20">
        <f t="shared" si="20"/>
        <v>38755.264000000003</v>
      </c>
      <c r="P345" s="20">
        <f t="shared" si="21"/>
        <v>26722.735529142905</v>
      </c>
      <c r="Q345" s="20">
        <f t="shared" si="22"/>
        <v>12032.528470857098</v>
      </c>
      <c r="R345" s="22">
        <f t="shared" si="23"/>
        <v>0.31047468728008398</v>
      </c>
    </row>
    <row r="346" spans="1:18">
      <c r="A346" s="18">
        <v>1345</v>
      </c>
      <c r="B346" s="19" t="s">
        <v>209</v>
      </c>
      <c r="C346" s="18">
        <v>2024</v>
      </c>
      <c r="D346" s="18" t="s">
        <v>48</v>
      </c>
      <c r="E346" s="18" t="s">
        <v>79</v>
      </c>
      <c r="F346" s="18" t="s">
        <v>80</v>
      </c>
      <c r="G346" s="18" t="s">
        <v>47</v>
      </c>
      <c r="H346" s="18" t="s">
        <v>103</v>
      </c>
      <c r="I346" s="18" t="s">
        <v>62</v>
      </c>
      <c r="J346" s="18" t="s">
        <v>82</v>
      </c>
      <c r="K346" s="18">
        <v>10</v>
      </c>
      <c r="L346" s="20">
        <v>3343.48</v>
      </c>
      <c r="M346" s="21">
        <v>0.1</v>
      </c>
      <c r="N346" s="21">
        <v>0.65842492030419897</v>
      </c>
      <c r="O346" s="20">
        <f t="shared" si="20"/>
        <v>30091.320000000003</v>
      </c>
      <c r="P346" s="20">
        <f t="shared" si="21"/>
        <v>19812.874972848149</v>
      </c>
      <c r="Q346" s="20">
        <f t="shared" si="22"/>
        <v>10278.445027151854</v>
      </c>
      <c r="R346" s="22">
        <f t="shared" si="23"/>
        <v>0.34157507969580109</v>
      </c>
    </row>
    <row r="347" spans="1:18">
      <c r="A347" s="18">
        <v>1346</v>
      </c>
      <c r="B347" s="19" t="s">
        <v>209</v>
      </c>
      <c r="C347" s="18">
        <v>2024</v>
      </c>
      <c r="D347" s="18" t="s">
        <v>48</v>
      </c>
      <c r="E347" s="18" t="s">
        <v>88</v>
      </c>
      <c r="F347" s="18" t="s">
        <v>89</v>
      </c>
      <c r="G347" s="18" t="s">
        <v>41</v>
      </c>
      <c r="H347" s="18" t="s">
        <v>90</v>
      </c>
      <c r="I347" s="18" t="s">
        <v>40</v>
      </c>
      <c r="J347" s="18" t="s">
        <v>82</v>
      </c>
      <c r="K347" s="18">
        <v>10</v>
      </c>
      <c r="L347" s="20">
        <v>17493.86</v>
      </c>
      <c r="M347" s="21">
        <v>0.15</v>
      </c>
      <c r="N347" s="21">
        <v>0.64559779763323599</v>
      </c>
      <c r="O347" s="20">
        <f t="shared" si="20"/>
        <v>148697.81</v>
      </c>
      <c r="P347" s="20">
        <f t="shared" si="21"/>
        <v>95998.978648885372</v>
      </c>
      <c r="Q347" s="20">
        <f t="shared" si="22"/>
        <v>52698.831351114626</v>
      </c>
      <c r="R347" s="22">
        <f t="shared" si="23"/>
        <v>0.35440220236676401</v>
      </c>
    </row>
    <row r="348" spans="1:18">
      <c r="A348" s="18">
        <v>1347</v>
      </c>
      <c r="B348" s="19" t="s">
        <v>209</v>
      </c>
      <c r="C348" s="18">
        <v>2024</v>
      </c>
      <c r="D348" s="18" t="s">
        <v>48</v>
      </c>
      <c r="E348" s="18" t="s">
        <v>98</v>
      </c>
      <c r="F348" s="18" t="s">
        <v>99</v>
      </c>
      <c r="G348" s="18" t="s">
        <v>44</v>
      </c>
      <c r="H348" s="18" t="s">
        <v>119</v>
      </c>
      <c r="I348" s="18" t="s">
        <v>54</v>
      </c>
      <c r="J348" s="18" t="s">
        <v>102</v>
      </c>
      <c r="K348" s="18">
        <v>3</v>
      </c>
      <c r="L348" s="20">
        <v>7293.15</v>
      </c>
      <c r="M348" s="21">
        <v>0.05</v>
      </c>
      <c r="N348" s="21">
        <v>0.56191119256900701</v>
      </c>
      <c r="O348" s="20">
        <f t="shared" si="20"/>
        <v>20785.477499999997</v>
      </c>
      <c r="P348" s="20">
        <f t="shared" si="21"/>
        <v>11679.592450141261</v>
      </c>
      <c r="Q348" s="20">
        <f t="shared" si="22"/>
        <v>9105.8850498587362</v>
      </c>
      <c r="R348" s="22">
        <f t="shared" si="23"/>
        <v>0.43808880743099299</v>
      </c>
    </row>
    <row r="349" spans="1:18">
      <c r="A349" s="18">
        <v>1348</v>
      </c>
      <c r="B349" s="19" t="s">
        <v>210</v>
      </c>
      <c r="C349" s="18">
        <v>2024</v>
      </c>
      <c r="D349" s="18" t="s">
        <v>48</v>
      </c>
      <c r="E349" s="18" t="s">
        <v>88</v>
      </c>
      <c r="F349" s="18" t="s">
        <v>110</v>
      </c>
      <c r="G349" s="18" t="s">
        <v>47</v>
      </c>
      <c r="H349" s="18" t="s">
        <v>81</v>
      </c>
      <c r="I349" s="18" t="s">
        <v>54</v>
      </c>
      <c r="J349" s="18" t="s">
        <v>102</v>
      </c>
      <c r="K349" s="18">
        <v>11</v>
      </c>
      <c r="L349" s="20">
        <v>791.65</v>
      </c>
      <c r="M349" s="21">
        <v>0</v>
      </c>
      <c r="N349" s="21">
        <v>0.61731221422816096</v>
      </c>
      <c r="O349" s="20">
        <f t="shared" si="20"/>
        <v>8708.15</v>
      </c>
      <c r="P349" s="20">
        <f t="shared" si="21"/>
        <v>5375.6473583309598</v>
      </c>
      <c r="Q349" s="20">
        <f t="shared" si="22"/>
        <v>3332.5026416690398</v>
      </c>
      <c r="R349" s="22">
        <f t="shared" si="23"/>
        <v>0.38268778577183904</v>
      </c>
    </row>
    <row r="350" spans="1:18">
      <c r="A350" s="18">
        <v>1349</v>
      </c>
      <c r="B350" s="19" t="s">
        <v>210</v>
      </c>
      <c r="C350" s="18">
        <v>2024</v>
      </c>
      <c r="D350" s="18" t="s">
        <v>48</v>
      </c>
      <c r="E350" s="18" t="s">
        <v>98</v>
      </c>
      <c r="F350" s="18" t="s">
        <v>117</v>
      </c>
      <c r="G350" s="18" t="s">
        <v>44</v>
      </c>
      <c r="H350" s="18" t="s">
        <v>95</v>
      </c>
      <c r="I350" s="18" t="s">
        <v>56</v>
      </c>
      <c r="J350" s="18" t="s">
        <v>102</v>
      </c>
      <c r="K350" s="18">
        <v>8</v>
      </c>
      <c r="L350" s="20">
        <v>4567.13</v>
      </c>
      <c r="M350" s="21">
        <v>0</v>
      </c>
      <c r="N350" s="21">
        <v>0.69143658424726595</v>
      </c>
      <c r="O350" s="20">
        <f t="shared" si="20"/>
        <v>36537.040000000001</v>
      </c>
      <c r="P350" s="20">
        <f t="shared" si="21"/>
        <v>25263.046136105728</v>
      </c>
      <c r="Q350" s="20">
        <f t="shared" si="22"/>
        <v>11273.993863894273</v>
      </c>
      <c r="R350" s="22">
        <f t="shared" si="23"/>
        <v>0.30856341575273399</v>
      </c>
    </row>
    <row r="351" spans="1:18">
      <c r="A351" s="18">
        <v>1350</v>
      </c>
      <c r="B351" s="19" t="s">
        <v>210</v>
      </c>
      <c r="C351" s="18">
        <v>2024</v>
      </c>
      <c r="D351" s="18" t="s">
        <v>48</v>
      </c>
      <c r="E351" s="18" t="s">
        <v>98</v>
      </c>
      <c r="F351" s="18" t="s">
        <v>117</v>
      </c>
      <c r="G351" s="18" t="s">
        <v>44</v>
      </c>
      <c r="H351" s="18" t="s">
        <v>114</v>
      </c>
      <c r="I351" s="18" t="s">
        <v>52</v>
      </c>
      <c r="J351" s="18" t="s">
        <v>102</v>
      </c>
      <c r="K351" s="18">
        <v>12</v>
      </c>
      <c r="L351" s="20">
        <v>8815.07</v>
      </c>
      <c r="M351" s="21">
        <v>0</v>
      </c>
      <c r="N351" s="21">
        <v>0.69576619118719996</v>
      </c>
      <c r="O351" s="20">
        <f t="shared" si="20"/>
        <v>105780.84</v>
      </c>
      <c r="P351" s="20">
        <f t="shared" si="21"/>
        <v>73598.732147382601</v>
      </c>
      <c r="Q351" s="20">
        <f t="shared" si="22"/>
        <v>32182.107852617395</v>
      </c>
      <c r="R351" s="22">
        <f t="shared" si="23"/>
        <v>0.3042338088128001</v>
      </c>
    </row>
    <row r="352" spans="1:18">
      <c r="A352" s="18">
        <v>1351</v>
      </c>
      <c r="B352" s="19" t="s">
        <v>211</v>
      </c>
      <c r="C352" s="18">
        <v>2024</v>
      </c>
      <c r="D352" s="18" t="s">
        <v>48</v>
      </c>
      <c r="E352" s="18" t="s">
        <v>79</v>
      </c>
      <c r="F352" s="18" t="s">
        <v>100</v>
      </c>
      <c r="G352" s="18" t="s">
        <v>47</v>
      </c>
      <c r="H352" s="18" t="s">
        <v>103</v>
      </c>
      <c r="I352" s="18" t="s">
        <v>49</v>
      </c>
      <c r="J352" s="18" t="s">
        <v>102</v>
      </c>
      <c r="K352" s="18">
        <v>10</v>
      </c>
      <c r="L352" s="20">
        <v>3073.32</v>
      </c>
      <c r="M352" s="21">
        <v>0.1</v>
      </c>
      <c r="N352" s="21">
        <v>0.57812867362971398</v>
      </c>
      <c r="O352" s="20">
        <f t="shared" si="20"/>
        <v>27659.88</v>
      </c>
      <c r="P352" s="20">
        <f t="shared" si="21"/>
        <v>15990.969737157055</v>
      </c>
      <c r="Q352" s="20">
        <f t="shared" si="22"/>
        <v>11668.910262842946</v>
      </c>
      <c r="R352" s="22">
        <f t="shared" si="23"/>
        <v>0.42187132637028596</v>
      </c>
    </row>
    <row r="353" spans="1:18">
      <c r="A353" s="18">
        <v>1352</v>
      </c>
      <c r="B353" s="19" t="s">
        <v>211</v>
      </c>
      <c r="C353" s="18">
        <v>2024</v>
      </c>
      <c r="D353" s="18" t="s">
        <v>48</v>
      </c>
      <c r="E353" s="18" t="s">
        <v>79</v>
      </c>
      <c r="F353" s="18" t="s">
        <v>100</v>
      </c>
      <c r="G353" s="18" t="s">
        <v>47</v>
      </c>
      <c r="H353" s="18" t="s">
        <v>107</v>
      </c>
      <c r="I353" s="18" t="s">
        <v>46</v>
      </c>
      <c r="J353" s="18" t="s">
        <v>102</v>
      </c>
      <c r="K353" s="18">
        <v>2</v>
      </c>
      <c r="L353" s="20">
        <v>2270.77</v>
      </c>
      <c r="M353" s="21">
        <v>0.2</v>
      </c>
      <c r="N353" s="21">
        <v>0.67782053758097605</v>
      </c>
      <c r="O353" s="20">
        <f t="shared" si="20"/>
        <v>3633.232</v>
      </c>
      <c r="P353" s="20">
        <f t="shared" si="21"/>
        <v>2462.6792673964046</v>
      </c>
      <c r="Q353" s="20">
        <f t="shared" si="22"/>
        <v>1170.5527326035954</v>
      </c>
      <c r="R353" s="22">
        <f t="shared" si="23"/>
        <v>0.32217946241902401</v>
      </c>
    </row>
    <row r="354" spans="1:18">
      <c r="A354" s="18">
        <v>1353</v>
      </c>
      <c r="B354" s="19" t="s">
        <v>211</v>
      </c>
      <c r="C354" s="18">
        <v>2024</v>
      </c>
      <c r="D354" s="18" t="s">
        <v>48</v>
      </c>
      <c r="E354" s="18" t="s">
        <v>98</v>
      </c>
      <c r="F354" s="18" t="s">
        <v>109</v>
      </c>
      <c r="G354" s="18" t="s">
        <v>41</v>
      </c>
      <c r="H354" s="18" t="s">
        <v>106</v>
      </c>
      <c r="I354" s="18" t="s">
        <v>49</v>
      </c>
      <c r="J354" s="18" t="s">
        <v>82</v>
      </c>
      <c r="K354" s="18">
        <v>12</v>
      </c>
      <c r="L354" s="20">
        <v>2391.9499999999998</v>
      </c>
      <c r="M354" s="21">
        <v>0.05</v>
      </c>
      <c r="N354" s="21">
        <v>0.70740400121813196</v>
      </c>
      <c r="O354" s="20">
        <f t="shared" si="20"/>
        <v>27268.229999999996</v>
      </c>
      <c r="P354" s="20">
        <f t="shared" si="21"/>
        <v>19289.655008136298</v>
      </c>
      <c r="Q354" s="20">
        <f t="shared" si="22"/>
        <v>7978.5749918636975</v>
      </c>
      <c r="R354" s="22">
        <f t="shared" si="23"/>
        <v>0.29259599878186809</v>
      </c>
    </row>
    <row r="355" spans="1:18">
      <c r="A355" s="18">
        <v>1354</v>
      </c>
      <c r="B355" s="19" t="s">
        <v>211</v>
      </c>
      <c r="C355" s="18">
        <v>2024</v>
      </c>
      <c r="D355" s="18" t="s">
        <v>48</v>
      </c>
      <c r="E355" s="18" t="s">
        <v>79</v>
      </c>
      <c r="F355" s="18" t="s">
        <v>100</v>
      </c>
      <c r="G355" s="18" t="s">
        <v>50</v>
      </c>
      <c r="H355" s="18" t="s">
        <v>97</v>
      </c>
      <c r="I355" s="18" t="s">
        <v>56</v>
      </c>
      <c r="J355" s="18" t="s">
        <v>82</v>
      </c>
      <c r="K355" s="18">
        <v>7</v>
      </c>
      <c r="L355" s="20">
        <v>11991.7</v>
      </c>
      <c r="M355" s="21">
        <v>0.1</v>
      </c>
      <c r="N355" s="21">
        <v>0.62024623385969402</v>
      </c>
      <c r="O355" s="20">
        <f t="shared" si="20"/>
        <v>75547.710000000006</v>
      </c>
      <c r="P355" s="20">
        <f t="shared" si="21"/>
        <v>46858.182604224348</v>
      </c>
      <c r="Q355" s="20">
        <f t="shared" si="22"/>
        <v>28689.527395775658</v>
      </c>
      <c r="R355" s="22">
        <f t="shared" si="23"/>
        <v>0.37975376614030598</v>
      </c>
    </row>
    <row r="356" spans="1:18">
      <c r="A356" s="18">
        <v>1355</v>
      </c>
      <c r="B356" s="19" t="s">
        <v>211</v>
      </c>
      <c r="C356" s="18">
        <v>2024</v>
      </c>
      <c r="D356" s="18" t="s">
        <v>48</v>
      </c>
      <c r="E356" s="18" t="s">
        <v>85</v>
      </c>
      <c r="F356" s="18" t="s">
        <v>86</v>
      </c>
      <c r="G356" s="18" t="s">
        <v>50</v>
      </c>
      <c r="H356" s="18" t="s">
        <v>87</v>
      </c>
      <c r="I356" s="18" t="s">
        <v>49</v>
      </c>
      <c r="J356" s="18" t="s">
        <v>82</v>
      </c>
      <c r="K356" s="18">
        <v>8</v>
      </c>
      <c r="L356" s="20">
        <v>9095.02</v>
      </c>
      <c r="M356" s="21">
        <v>0</v>
      </c>
      <c r="N356" s="21">
        <v>0.60898172262322603</v>
      </c>
      <c r="O356" s="20">
        <f t="shared" si="20"/>
        <v>72760.160000000003</v>
      </c>
      <c r="P356" s="20">
        <f t="shared" si="21"/>
        <v>44309.607575141548</v>
      </c>
      <c r="Q356" s="20">
        <f t="shared" si="22"/>
        <v>28450.552424858455</v>
      </c>
      <c r="R356" s="22">
        <f t="shared" si="23"/>
        <v>0.39101827737677397</v>
      </c>
    </row>
    <row r="357" spans="1:18">
      <c r="A357" s="18">
        <v>1356</v>
      </c>
      <c r="B357" s="19" t="s">
        <v>212</v>
      </c>
      <c r="C357" s="18">
        <v>2024</v>
      </c>
      <c r="D357" s="18" t="s">
        <v>48</v>
      </c>
      <c r="E357" s="18" t="s">
        <v>98</v>
      </c>
      <c r="F357" s="18" t="s">
        <v>117</v>
      </c>
      <c r="G357" s="18" t="s">
        <v>41</v>
      </c>
      <c r="H357" s="18" t="s">
        <v>106</v>
      </c>
      <c r="I357" s="18" t="s">
        <v>46</v>
      </c>
      <c r="J357" s="18" t="s">
        <v>91</v>
      </c>
      <c r="K357" s="18">
        <v>3</v>
      </c>
      <c r="L357" s="20">
        <v>2558</v>
      </c>
      <c r="M357" s="21">
        <v>0.15</v>
      </c>
      <c r="N357" s="21">
        <v>0.73836682870704595</v>
      </c>
      <c r="O357" s="20">
        <f t="shared" si="20"/>
        <v>6522.9</v>
      </c>
      <c r="P357" s="20">
        <f t="shared" si="21"/>
        <v>4816.2929869731897</v>
      </c>
      <c r="Q357" s="20">
        <f t="shared" si="22"/>
        <v>1706.6070130268099</v>
      </c>
      <c r="R357" s="22">
        <f t="shared" si="23"/>
        <v>0.26163317129295405</v>
      </c>
    </row>
    <row r="358" spans="1:18">
      <c r="A358" s="18">
        <v>1357</v>
      </c>
      <c r="B358" s="19" t="s">
        <v>212</v>
      </c>
      <c r="C358" s="18">
        <v>2024</v>
      </c>
      <c r="D358" s="18" t="s">
        <v>48</v>
      </c>
      <c r="E358" s="18" t="s">
        <v>79</v>
      </c>
      <c r="F358" s="18" t="s">
        <v>105</v>
      </c>
      <c r="G358" s="18" t="s">
        <v>50</v>
      </c>
      <c r="H358" s="18" t="s">
        <v>87</v>
      </c>
      <c r="I358" s="18" t="s">
        <v>40</v>
      </c>
      <c r="J358" s="18" t="s">
        <v>91</v>
      </c>
      <c r="K358" s="18">
        <v>11</v>
      </c>
      <c r="L358" s="20">
        <v>9181.75</v>
      </c>
      <c r="M358" s="21">
        <v>0.1</v>
      </c>
      <c r="N358" s="21">
        <v>0.58142075546615701</v>
      </c>
      <c r="O358" s="20">
        <f t="shared" si="20"/>
        <v>90899.324999999997</v>
      </c>
      <c r="P358" s="20">
        <f t="shared" si="21"/>
        <v>52850.754212863729</v>
      </c>
      <c r="Q358" s="20">
        <f t="shared" si="22"/>
        <v>38048.570787136268</v>
      </c>
      <c r="R358" s="22">
        <f t="shared" si="23"/>
        <v>0.41857924453384299</v>
      </c>
    </row>
    <row r="359" spans="1:18">
      <c r="A359" s="18">
        <v>1358</v>
      </c>
      <c r="B359" s="19" t="s">
        <v>212</v>
      </c>
      <c r="C359" s="18">
        <v>2024</v>
      </c>
      <c r="D359" s="18" t="s">
        <v>48</v>
      </c>
      <c r="E359" s="18" t="s">
        <v>79</v>
      </c>
      <c r="F359" s="18" t="s">
        <v>105</v>
      </c>
      <c r="G359" s="18" t="s">
        <v>44</v>
      </c>
      <c r="H359" s="18" t="s">
        <v>119</v>
      </c>
      <c r="I359" s="18" t="s">
        <v>56</v>
      </c>
      <c r="J359" s="18" t="s">
        <v>102</v>
      </c>
      <c r="K359" s="18">
        <v>9</v>
      </c>
      <c r="L359" s="20">
        <v>7155.43</v>
      </c>
      <c r="M359" s="21">
        <v>0.2</v>
      </c>
      <c r="N359" s="21">
        <v>0.65802508632133105</v>
      </c>
      <c r="O359" s="20">
        <f t="shared" si="20"/>
        <v>51519.096000000005</v>
      </c>
      <c r="P359" s="20">
        <f t="shared" si="21"/>
        <v>33900.857592596942</v>
      </c>
      <c r="Q359" s="20">
        <f t="shared" si="22"/>
        <v>17618.238407403063</v>
      </c>
      <c r="R359" s="22">
        <f t="shared" si="23"/>
        <v>0.341974913678669</v>
      </c>
    </row>
    <row r="360" spans="1:18">
      <c r="A360" s="18">
        <v>1359</v>
      </c>
      <c r="B360" s="19" t="s">
        <v>212</v>
      </c>
      <c r="C360" s="18">
        <v>2024</v>
      </c>
      <c r="D360" s="18" t="s">
        <v>48</v>
      </c>
      <c r="E360" s="18" t="s">
        <v>98</v>
      </c>
      <c r="F360" s="18" t="s">
        <v>109</v>
      </c>
      <c r="G360" s="18" t="s">
        <v>44</v>
      </c>
      <c r="H360" s="18" t="s">
        <v>119</v>
      </c>
      <c r="I360" s="18" t="s">
        <v>40</v>
      </c>
      <c r="J360" s="18" t="s">
        <v>91</v>
      </c>
      <c r="K360" s="18">
        <v>10</v>
      </c>
      <c r="L360" s="20">
        <v>7034.76</v>
      </c>
      <c r="M360" s="21">
        <v>0.1</v>
      </c>
      <c r="N360" s="21">
        <v>0.58071798690334697</v>
      </c>
      <c r="O360" s="20">
        <f t="shared" si="20"/>
        <v>63312.840000000004</v>
      </c>
      <c r="P360" s="20">
        <f t="shared" si="21"/>
        <v>36766.904989933704</v>
      </c>
      <c r="Q360" s="20">
        <f t="shared" si="22"/>
        <v>26545.9350100663</v>
      </c>
      <c r="R360" s="22">
        <f t="shared" si="23"/>
        <v>0.41928201309665303</v>
      </c>
    </row>
    <row r="361" spans="1:18">
      <c r="A361" s="18">
        <v>1360</v>
      </c>
      <c r="B361" s="19" t="s">
        <v>213</v>
      </c>
      <c r="C361" s="18">
        <v>2024</v>
      </c>
      <c r="D361" s="18" t="s">
        <v>48</v>
      </c>
      <c r="E361" s="18" t="s">
        <v>79</v>
      </c>
      <c r="F361" s="18" t="s">
        <v>105</v>
      </c>
      <c r="G361" s="18" t="s">
        <v>41</v>
      </c>
      <c r="H361" s="18" t="s">
        <v>106</v>
      </c>
      <c r="I361" s="18" t="s">
        <v>62</v>
      </c>
      <c r="J361" s="18" t="s">
        <v>91</v>
      </c>
      <c r="K361" s="18">
        <v>4</v>
      </c>
      <c r="L361" s="20">
        <v>2399.25</v>
      </c>
      <c r="M361" s="21">
        <v>0</v>
      </c>
      <c r="N361" s="21">
        <v>0.58416643833844495</v>
      </c>
      <c r="O361" s="20">
        <f t="shared" si="20"/>
        <v>9597</v>
      </c>
      <c r="P361" s="20">
        <f t="shared" si="21"/>
        <v>5606.2453087340564</v>
      </c>
      <c r="Q361" s="20">
        <f t="shared" si="22"/>
        <v>3990.7546912659436</v>
      </c>
      <c r="R361" s="22">
        <f t="shared" si="23"/>
        <v>0.41583356166155505</v>
      </c>
    </row>
    <row r="362" spans="1:18">
      <c r="A362" s="18">
        <v>1361</v>
      </c>
      <c r="B362" s="19" t="s">
        <v>213</v>
      </c>
      <c r="C362" s="18">
        <v>2024</v>
      </c>
      <c r="D362" s="18" t="s">
        <v>48</v>
      </c>
      <c r="E362" s="18" t="s">
        <v>98</v>
      </c>
      <c r="F362" s="18" t="s">
        <v>117</v>
      </c>
      <c r="G362" s="18" t="s">
        <v>50</v>
      </c>
      <c r="H362" s="18" t="s">
        <v>83</v>
      </c>
      <c r="I362" s="18" t="s">
        <v>52</v>
      </c>
      <c r="J362" s="18" t="s">
        <v>91</v>
      </c>
      <c r="K362" s="18">
        <v>8</v>
      </c>
      <c r="L362" s="20">
        <v>3496.18</v>
      </c>
      <c r="M362" s="21">
        <v>0.2</v>
      </c>
      <c r="N362" s="21">
        <v>0.60300087942352398</v>
      </c>
      <c r="O362" s="20">
        <f t="shared" si="20"/>
        <v>22375.552</v>
      </c>
      <c r="P362" s="20">
        <f t="shared" si="21"/>
        <v>13492.477533586791</v>
      </c>
      <c r="Q362" s="20">
        <f t="shared" si="22"/>
        <v>8883.0744664132089</v>
      </c>
      <c r="R362" s="22">
        <f t="shared" si="23"/>
        <v>0.39699912057647602</v>
      </c>
    </row>
    <row r="363" spans="1:18">
      <c r="A363" s="18">
        <v>1362</v>
      </c>
      <c r="B363" s="19" t="s">
        <v>213</v>
      </c>
      <c r="C363" s="18">
        <v>2024</v>
      </c>
      <c r="D363" s="18" t="s">
        <v>48</v>
      </c>
      <c r="E363" s="18" t="s">
        <v>85</v>
      </c>
      <c r="F363" s="18" t="s">
        <v>86</v>
      </c>
      <c r="G363" s="18" t="s">
        <v>47</v>
      </c>
      <c r="H363" s="18" t="s">
        <v>107</v>
      </c>
      <c r="I363" s="18" t="s">
        <v>54</v>
      </c>
      <c r="J363" s="18" t="s">
        <v>82</v>
      </c>
      <c r="K363" s="18">
        <v>8</v>
      </c>
      <c r="L363" s="20">
        <v>2099.8200000000002</v>
      </c>
      <c r="M363" s="21">
        <v>0.1</v>
      </c>
      <c r="N363" s="21">
        <v>0.64301159123092999</v>
      </c>
      <c r="O363" s="20">
        <f t="shared" si="20"/>
        <v>15118.704000000002</v>
      </c>
      <c r="P363" s="20">
        <f t="shared" si="21"/>
        <v>9721.5019163894267</v>
      </c>
      <c r="Q363" s="20">
        <f t="shared" si="22"/>
        <v>5397.2020836105748</v>
      </c>
      <c r="R363" s="22">
        <f t="shared" si="23"/>
        <v>0.35698840876907006</v>
      </c>
    </row>
    <row r="364" spans="1:18">
      <c r="A364" s="18">
        <v>1363</v>
      </c>
      <c r="B364" s="19" t="s">
        <v>213</v>
      </c>
      <c r="C364" s="18">
        <v>2024</v>
      </c>
      <c r="D364" s="18" t="s">
        <v>48</v>
      </c>
      <c r="E364" s="18" t="s">
        <v>88</v>
      </c>
      <c r="F364" s="18" t="s">
        <v>89</v>
      </c>
      <c r="G364" s="18" t="s">
        <v>41</v>
      </c>
      <c r="H364" s="18" t="s">
        <v>101</v>
      </c>
      <c r="I364" s="18" t="s">
        <v>43</v>
      </c>
      <c r="J364" s="18" t="s">
        <v>82</v>
      </c>
      <c r="K364" s="18">
        <v>11</v>
      </c>
      <c r="L364" s="20">
        <v>54140.85</v>
      </c>
      <c r="M364" s="21">
        <v>0.15</v>
      </c>
      <c r="N364" s="21">
        <v>0.63279733057425303</v>
      </c>
      <c r="O364" s="20">
        <f t="shared" si="20"/>
        <v>506216.94749999995</v>
      </c>
      <c r="P364" s="20">
        <f t="shared" si="21"/>
        <v>320332.73306944675</v>
      </c>
      <c r="Q364" s="20">
        <f t="shared" si="22"/>
        <v>185884.2144305532</v>
      </c>
      <c r="R364" s="22">
        <f t="shared" si="23"/>
        <v>0.36720266942574697</v>
      </c>
    </row>
    <row r="365" spans="1:18">
      <c r="A365" s="18">
        <v>1364</v>
      </c>
      <c r="B365" s="19" t="s">
        <v>214</v>
      </c>
      <c r="C365" s="18">
        <v>2024</v>
      </c>
      <c r="D365" s="18" t="s">
        <v>48</v>
      </c>
      <c r="E365" s="18" t="s">
        <v>79</v>
      </c>
      <c r="F365" s="18" t="s">
        <v>105</v>
      </c>
      <c r="G365" s="18" t="s">
        <v>50</v>
      </c>
      <c r="H365" s="18" t="s">
        <v>87</v>
      </c>
      <c r="I365" s="18" t="s">
        <v>58</v>
      </c>
      <c r="J365" s="18" t="s">
        <v>102</v>
      </c>
      <c r="K365" s="18">
        <v>4</v>
      </c>
      <c r="L365" s="20">
        <v>9477.4500000000007</v>
      </c>
      <c r="M365" s="21">
        <v>0</v>
      </c>
      <c r="N365" s="21">
        <v>0.628960873041715</v>
      </c>
      <c r="O365" s="20">
        <f t="shared" si="20"/>
        <v>37909.800000000003</v>
      </c>
      <c r="P365" s="20">
        <f t="shared" si="21"/>
        <v>23843.780904836811</v>
      </c>
      <c r="Q365" s="20">
        <f t="shared" si="22"/>
        <v>14066.019095163192</v>
      </c>
      <c r="R365" s="22">
        <f t="shared" si="23"/>
        <v>0.37103912695828495</v>
      </c>
    </row>
    <row r="366" spans="1:18">
      <c r="A366" s="18">
        <v>1365</v>
      </c>
      <c r="B366" s="19" t="s">
        <v>214</v>
      </c>
      <c r="C366" s="18">
        <v>2024</v>
      </c>
      <c r="D366" s="18" t="s">
        <v>48</v>
      </c>
      <c r="E366" s="18" t="s">
        <v>79</v>
      </c>
      <c r="F366" s="18" t="s">
        <v>80</v>
      </c>
      <c r="G366" s="18" t="s">
        <v>44</v>
      </c>
      <c r="H366" s="18" t="s">
        <v>119</v>
      </c>
      <c r="I366" s="18" t="s">
        <v>58</v>
      </c>
      <c r="J366" s="18" t="s">
        <v>82</v>
      </c>
      <c r="K366" s="18">
        <v>3</v>
      </c>
      <c r="L366" s="20">
        <v>7330.52</v>
      </c>
      <c r="M366" s="21">
        <v>0</v>
      </c>
      <c r="N366" s="21">
        <v>0.57523719972770804</v>
      </c>
      <c r="O366" s="20">
        <f t="shared" si="20"/>
        <v>21991.56</v>
      </c>
      <c r="P366" s="20">
        <f t="shared" si="21"/>
        <v>12650.363392043875</v>
      </c>
      <c r="Q366" s="20">
        <f t="shared" si="22"/>
        <v>9341.1966079561262</v>
      </c>
      <c r="R366" s="22">
        <f t="shared" si="23"/>
        <v>0.42476280027229196</v>
      </c>
    </row>
    <row r="367" spans="1:18">
      <c r="A367" s="18">
        <v>1366</v>
      </c>
      <c r="B367" s="19" t="s">
        <v>214</v>
      </c>
      <c r="C367" s="18">
        <v>2024</v>
      </c>
      <c r="D367" s="18" t="s">
        <v>48</v>
      </c>
      <c r="E367" s="18" t="s">
        <v>85</v>
      </c>
      <c r="F367" s="18" t="s">
        <v>86</v>
      </c>
      <c r="G367" s="18" t="s">
        <v>50</v>
      </c>
      <c r="H367" s="18" t="s">
        <v>83</v>
      </c>
      <c r="I367" s="18" t="s">
        <v>46</v>
      </c>
      <c r="J367" s="18" t="s">
        <v>102</v>
      </c>
      <c r="K367" s="18">
        <v>5</v>
      </c>
      <c r="L367" s="20">
        <v>3436.91</v>
      </c>
      <c r="M367" s="21">
        <v>0.2</v>
      </c>
      <c r="N367" s="21">
        <v>0.73283478737971697</v>
      </c>
      <c r="O367" s="20">
        <f t="shared" si="20"/>
        <v>13747.64</v>
      </c>
      <c r="P367" s="20">
        <f t="shared" si="21"/>
        <v>10074.748836372892</v>
      </c>
      <c r="Q367" s="20">
        <f t="shared" si="22"/>
        <v>3672.8911636271077</v>
      </c>
      <c r="R367" s="22">
        <f t="shared" si="23"/>
        <v>0.26716521262028303</v>
      </c>
    </row>
    <row r="368" spans="1:18">
      <c r="A368" s="18">
        <v>1367</v>
      </c>
      <c r="B368" s="19" t="s">
        <v>215</v>
      </c>
      <c r="C368" s="18">
        <v>2024</v>
      </c>
      <c r="D368" s="18" t="s">
        <v>48</v>
      </c>
      <c r="E368" s="18" t="s">
        <v>79</v>
      </c>
      <c r="F368" s="18" t="s">
        <v>105</v>
      </c>
      <c r="G368" s="18" t="s">
        <v>50</v>
      </c>
      <c r="H368" s="18" t="s">
        <v>87</v>
      </c>
      <c r="I368" s="18" t="s">
        <v>54</v>
      </c>
      <c r="J368" s="18" t="s">
        <v>91</v>
      </c>
      <c r="K368" s="18">
        <v>9</v>
      </c>
      <c r="L368" s="20">
        <v>9460.25</v>
      </c>
      <c r="M368" s="21">
        <v>0</v>
      </c>
      <c r="N368" s="21">
        <v>0.70731012776555402</v>
      </c>
      <c r="O368" s="20">
        <f t="shared" si="20"/>
        <v>85142.25</v>
      </c>
      <c r="P368" s="20">
        <f t="shared" si="21"/>
        <v>60221.975725746743</v>
      </c>
      <c r="Q368" s="20">
        <f t="shared" si="22"/>
        <v>24920.274274253257</v>
      </c>
      <c r="R368" s="22">
        <f t="shared" si="23"/>
        <v>0.29268987223444598</v>
      </c>
    </row>
    <row r="369" spans="1:18">
      <c r="A369" s="18">
        <v>1368</v>
      </c>
      <c r="B369" s="19" t="s">
        <v>215</v>
      </c>
      <c r="C369" s="18">
        <v>2024</v>
      </c>
      <c r="D369" s="18" t="s">
        <v>48</v>
      </c>
      <c r="E369" s="18" t="s">
        <v>85</v>
      </c>
      <c r="F369" s="18" t="s">
        <v>86</v>
      </c>
      <c r="G369" s="18" t="s">
        <v>50</v>
      </c>
      <c r="H369" s="18" t="s">
        <v>83</v>
      </c>
      <c r="I369" s="18" t="s">
        <v>46</v>
      </c>
      <c r="J369" s="18" t="s">
        <v>102</v>
      </c>
      <c r="K369" s="18">
        <v>10</v>
      </c>
      <c r="L369" s="20">
        <v>3528.94</v>
      </c>
      <c r="M369" s="21">
        <v>0</v>
      </c>
      <c r="N369" s="21">
        <v>0.73498563335185496</v>
      </c>
      <c r="O369" s="20">
        <f t="shared" si="20"/>
        <v>35289.4</v>
      </c>
      <c r="P369" s="20">
        <f t="shared" si="21"/>
        <v>25937.20200960695</v>
      </c>
      <c r="Q369" s="20">
        <f t="shared" si="22"/>
        <v>9352.1979903930514</v>
      </c>
      <c r="R369" s="22">
        <f t="shared" si="23"/>
        <v>0.26501436664814509</v>
      </c>
    </row>
    <row r="370" spans="1:18">
      <c r="A370" s="18">
        <v>1369</v>
      </c>
      <c r="B370" s="19" t="s">
        <v>216</v>
      </c>
      <c r="C370" s="18">
        <v>2024</v>
      </c>
      <c r="D370" s="18" t="s">
        <v>48</v>
      </c>
      <c r="E370" s="18" t="s">
        <v>98</v>
      </c>
      <c r="F370" s="18" t="s">
        <v>99</v>
      </c>
      <c r="G370" s="18" t="s">
        <v>47</v>
      </c>
      <c r="H370" s="18" t="s">
        <v>107</v>
      </c>
      <c r="I370" s="18" t="s">
        <v>52</v>
      </c>
      <c r="J370" s="18" t="s">
        <v>91</v>
      </c>
      <c r="K370" s="18">
        <v>11</v>
      </c>
      <c r="L370" s="20">
        <v>2196.83</v>
      </c>
      <c r="M370" s="21">
        <v>0.15</v>
      </c>
      <c r="N370" s="21">
        <v>0.64460932319978703</v>
      </c>
      <c r="O370" s="20">
        <f t="shared" si="20"/>
        <v>20540.360499999999</v>
      </c>
      <c r="P370" s="20">
        <f t="shared" si="21"/>
        <v>13240.507880184638</v>
      </c>
      <c r="Q370" s="20">
        <f t="shared" si="22"/>
        <v>7299.8526198153613</v>
      </c>
      <c r="R370" s="22">
        <f t="shared" si="23"/>
        <v>0.35539067680021302</v>
      </c>
    </row>
    <row r="371" spans="1:18">
      <c r="A371" s="18">
        <v>1370</v>
      </c>
      <c r="B371" s="19" t="s">
        <v>216</v>
      </c>
      <c r="C371" s="18">
        <v>2024</v>
      </c>
      <c r="D371" s="18" t="s">
        <v>48</v>
      </c>
      <c r="E371" s="18" t="s">
        <v>88</v>
      </c>
      <c r="F371" s="18" t="s">
        <v>89</v>
      </c>
      <c r="G371" s="18" t="s">
        <v>50</v>
      </c>
      <c r="H371" s="18" t="s">
        <v>83</v>
      </c>
      <c r="I371" s="18" t="s">
        <v>62</v>
      </c>
      <c r="J371" s="18" t="s">
        <v>102</v>
      </c>
      <c r="K371" s="18">
        <v>11</v>
      </c>
      <c r="L371" s="20">
        <v>3567.78</v>
      </c>
      <c r="M371" s="21">
        <v>0</v>
      </c>
      <c r="N371" s="21">
        <v>0.62915854884620603</v>
      </c>
      <c r="O371" s="20">
        <f t="shared" si="20"/>
        <v>39245.58</v>
      </c>
      <c r="P371" s="20">
        <f t="shared" si="21"/>
        <v>24691.692161427687</v>
      </c>
      <c r="Q371" s="20">
        <f t="shared" si="22"/>
        <v>14553.887838572315</v>
      </c>
      <c r="R371" s="22">
        <f t="shared" si="23"/>
        <v>0.37084145115379397</v>
      </c>
    </row>
    <row r="372" spans="1:18">
      <c r="A372" s="18">
        <v>1371</v>
      </c>
      <c r="B372" s="19" t="s">
        <v>217</v>
      </c>
      <c r="C372" s="18">
        <v>2024</v>
      </c>
      <c r="D372" s="18" t="s">
        <v>48</v>
      </c>
      <c r="E372" s="18" t="s">
        <v>88</v>
      </c>
      <c r="F372" s="18" t="s">
        <v>110</v>
      </c>
      <c r="G372" s="18" t="s">
        <v>50</v>
      </c>
      <c r="H372" s="18" t="s">
        <v>97</v>
      </c>
      <c r="I372" s="18" t="s">
        <v>54</v>
      </c>
      <c r="J372" s="18" t="s">
        <v>82</v>
      </c>
      <c r="K372" s="18">
        <v>6</v>
      </c>
      <c r="L372" s="20">
        <v>12380.86</v>
      </c>
      <c r="M372" s="21">
        <v>0.05</v>
      </c>
      <c r="N372" s="21">
        <v>0.61218985956958905</v>
      </c>
      <c r="O372" s="20">
        <f t="shared" si="20"/>
        <v>70570.902000000002</v>
      </c>
      <c r="P372" s="20">
        <f t="shared" si="21"/>
        <v>43202.79058507923</v>
      </c>
      <c r="Q372" s="20">
        <f t="shared" si="22"/>
        <v>27368.111414920771</v>
      </c>
      <c r="R372" s="22">
        <f t="shared" si="23"/>
        <v>0.38781014043041095</v>
      </c>
    </row>
    <row r="373" spans="1:18">
      <c r="A373" s="18">
        <v>1372</v>
      </c>
      <c r="B373" s="19" t="s">
        <v>217</v>
      </c>
      <c r="C373" s="18">
        <v>2024</v>
      </c>
      <c r="D373" s="18" t="s">
        <v>48</v>
      </c>
      <c r="E373" s="18" t="s">
        <v>85</v>
      </c>
      <c r="F373" s="18" t="s">
        <v>94</v>
      </c>
      <c r="G373" s="18" t="s">
        <v>41</v>
      </c>
      <c r="H373" s="18" t="s">
        <v>101</v>
      </c>
      <c r="I373" s="18" t="s">
        <v>46</v>
      </c>
      <c r="J373" s="18" t="s">
        <v>91</v>
      </c>
      <c r="K373" s="18">
        <v>12</v>
      </c>
      <c r="L373" s="20">
        <v>54687.11</v>
      </c>
      <c r="M373" s="21">
        <v>0.05</v>
      </c>
      <c r="N373" s="21">
        <v>0.60388399620175304</v>
      </c>
      <c r="O373" s="20">
        <f t="shared" si="20"/>
        <v>623433.054</v>
      </c>
      <c r="P373" s="20">
        <f t="shared" si="21"/>
        <v>376481.24401378329</v>
      </c>
      <c r="Q373" s="20">
        <f t="shared" si="22"/>
        <v>246951.80998621671</v>
      </c>
      <c r="R373" s="22">
        <f t="shared" si="23"/>
        <v>0.39611600379824696</v>
      </c>
    </row>
    <row r="374" spans="1:18">
      <c r="A374" s="18">
        <v>1373</v>
      </c>
      <c r="B374" s="19" t="s">
        <v>217</v>
      </c>
      <c r="C374" s="18">
        <v>2024</v>
      </c>
      <c r="D374" s="18" t="s">
        <v>48</v>
      </c>
      <c r="E374" s="18" t="s">
        <v>85</v>
      </c>
      <c r="F374" s="18" t="s">
        <v>94</v>
      </c>
      <c r="G374" s="18" t="s">
        <v>41</v>
      </c>
      <c r="H374" s="18" t="s">
        <v>101</v>
      </c>
      <c r="I374" s="18" t="s">
        <v>58</v>
      </c>
      <c r="J374" s="18" t="s">
        <v>82</v>
      </c>
      <c r="K374" s="18">
        <v>7</v>
      </c>
      <c r="L374" s="20">
        <v>56325.2</v>
      </c>
      <c r="M374" s="21">
        <v>0.15</v>
      </c>
      <c r="N374" s="21">
        <v>0.72343779411004505</v>
      </c>
      <c r="O374" s="20">
        <f t="shared" si="20"/>
        <v>335134.93999999994</v>
      </c>
      <c r="P374" s="20">
        <f t="shared" si="21"/>
        <v>242449.28172280226</v>
      </c>
      <c r="Q374" s="20">
        <f t="shared" si="22"/>
        <v>92685.658277197683</v>
      </c>
      <c r="R374" s="22">
        <f t="shared" si="23"/>
        <v>0.27656220588995495</v>
      </c>
    </row>
    <row r="375" spans="1:18">
      <c r="A375" s="18">
        <v>1374</v>
      </c>
      <c r="B375" s="19" t="s">
        <v>217</v>
      </c>
      <c r="C375" s="18">
        <v>2024</v>
      </c>
      <c r="D375" s="18" t="s">
        <v>48</v>
      </c>
      <c r="E375" s="18" t="s">
        <v>79</v>
      </c>
      <c r="F375" s="18" t="s">
        <v>80</v>
      </c>
      <c r="G375" s="18" t="s">
        <v>44</v>
      </c>
      <c r="H375" s="18" t="s">
        <v>119</v>
      </c>
      <c r="I375" s="18" t="s">
        <v>52</v>
      </c>
      <c r="J375" s="18" t="s">
        <v>102</v>
      </c>
      <c r="K375" s="18">
        <v>9</v>
      </c>
      <c r="L375" s="20">
        <v>6932.37</v>
      </c>
      <c r="M375" s="21">
        <v>0.15</v>
      </c>
      <c r="N375" s="21">
        <v>0.72586651827197102</v>
      </c>
      <c r="O375" s="20">
        <f t="shared" si="20"/>
        <v>53032.630499999999</v>
      </c>
      <c r="P375" s="20">
        <f t="shared" si="21"/>
        <v>38494.610855838939</v>
      </c>
      <c r="Q375" s="20">
        <f t="shared" si="22"/>
        <v>14538.019644161061</v>
      </c>
      <c r="R375" s="22">
        <f t="shared" si="23"/>
        <v>0.27413348172802893</v>
      </c>
    </row>
    <row r="376" spans="1:18">
      <c r="A376" s="18">
        <v>1375</v>
      </c>
      <c r="B376" s="19" t="s">
        <v>218</v>
      </c>
      <c r="C376" s="18">
        <v>2024</v>
      </c>
      <c r="D376" s="18" t="s">
        <v>48</v>
      </c>
      <c r="E376" s="18" t="s">
        <v>88</v>
      </c>
      <c r="F376" s="18" t="s">
        <v>110</v>
      </c>
      <c r="G376" s="18" t="s">
        <v>44</v>
      </c>
      <c r="H376" s="18" t="s">
        <v>119</v>
      </c>
      <c r="I376" s="18" t="s">
        <v>49</v>
      </c>
      <c r="J376" s="18" t="s">
        <v>82</v>
      </c>
      <c r="K376" s="18">
        <v>8</v>
      </c>
      <c r="L376" s="20">
        <v>6685.39</v>
      </c>
      <c r="M376" s="21">
        <v>0.05</v>
      </c>
      <c r="N376" s="21">
        <v>0.69092678904400695</v>
      </c>
      <c r="O376" s="20">
        <f t="shared" si="20"/>
        <v>50808.964</v>
      </c>
      <c r="P376" s="20">
        <f t="shared" si="21"/>
        <v>35105.274351172542</v>
      </c>
      <c r="Q376" s="20">
        <f t="shared" si="22"/>
        <v>15703.689648827458</v>
      </c>
      <c r="R376" s="22">
        <f t="shared" si="23"/>
        <v>0.30907321095599311</v>
      </c>
    </row>
    <row r="377" spans="1:18">
      <c r="A377" s="18">
        <v>1376</v>
      </c>
      <c r="B377" s="19" t="s">
        <v>218</v>
      </c>
      <c r="C377" s="18">
        <v>2024</v>
      </c>
      <c r="D377" s="18" t="s">
        <v>48</v>
      </c>
      <c r="E377" s="18" t="s">
        <v>98</v>
      </c>
      <c r="F377" s="18" t="s">
        <v>109</v>
      </c>
      <c r="G377" s="18" t="s">
        <v>50</v>
      </c>
      <c r="H377" s="18" t="s">
        <v>87</v>
      </c>
      <c r="I377" s="18" t="s">
        <v>56</v>
      </c>
      <c r="J377" s="18" t="s">
        <v>102</v>
      </c>
      <c r="K377" s="18">
        <v>2</v>
      </c>
      <c r="L377" s="20">
        <v>9672.1200000000008</v>
      </c>
      <c r="M377" s="21">
        <v>0</v>
      </c>
      <c r="N377" s="21">
        <v>0.62449335230706204</v>
      </c>
      <c r="O377" s="20">
        <f t="shared" si="20"/>
        <v>19344.240000000002</v>
      </c>
      <c r="P377" s="20">
        <f t="shared" si="21"/>
        <v>12080.349285432363</v>
      </c>
      <c r="Q377" s="20">
        <f t="shared" si="22"/>
        <v>7263.8907145676385</v>
      </c>
      <c r="R377" s="22">
        <f t="shared" si="23"/>
        <v>0.37550664769293796</v>
      </c>
    </row>
    <row r="378" spans="1:18">
      <c r="A378" s="18">
        <v>1377</v>
      </c>
      <c r="B378" s="19" t="s">
        <v>219</v>
      </c>
      <c r="C378" s="18">
        <v>2024</v>
      </c>
      <c r="D378" s="18" t="s">
        <v>48</v>
      </c>
      <c r="E378" s="18" t="s">
        <v>88</v>
      </c>
      <c r="F378" s="18" t="s">
        <v>89</v>
      </c>
      <c r="G378" s="18" t="s">
        <v>47</v>
      </c>
      <c r="H378" s="18" t="s">
        <v>107</v>
      </c>
      <c r="I378" s="18" t="s">
        <v>46</v>
      </c>
      <c r="J378" s="18" t="s">
        <v>91</v>
      </c>
      <c r="K378" s="18">
        <v>12</v>
      </c>
      <c r="L378" s="20">
        <v>2272.79</v>
      </c>
      <c r="M378" s="21">
        <v>0</v>
      </c>
      <c r="N378" s="21">
        <v>0.60701387528695205</v>
      </c>
      <c r="O378" s="20">
        <f t="shared" si="20"/>
        <v>27273.48</v>
      </c>
      <c r="P378" s="20">
        <f t="shared" si="21"/>
        <v>16555.38078736118</v>
      </c>
      <c r="Q378" s="20">
        <f t="shared" si="22"/>
        <v>10718.099212638819</v>
      </c>
      <c r="R378" s="22">
        <f t="shared" si="23"/>
        <v>0.39298612471304795</v>
      </c>
    </row>
    <row r="379" spans="1:18">
      <c r="A379" s="18">
        <v>1378</v>
      </c>
      <c r="B379" s="19" t="s">
        <v>219</v>
      </c>
      <c r="C379" s="18">
        <v>2024</v>
      </c>
      <c r="D379" s="18" t="s">
        <v>48</v>
      </c>
      <c r="E379" s="18" t="s">
        <v>85</v>
      </c>
      <c r="F379" s="18" t="s">
        <v>86</v>
      </c>
      <c r="G379" s="18" t="s">
        <v>44</v>
      </c>
      <c r="H379" s="18" t="s">
        <v>95</v>
      </c>
      <c r="I379" s="18" t="s">
        <v>49</v>
      </c>
      <c r="J379" s="18" t="s">
        <v>82</v>
      </c>
      <c r="K379" s="18">
        <v>11</v>
      </c>
      <c r="L379" s="20">
        <v>4376.3</v>
      </c>
      <c r="M379" s="21">
        <v>0</v>
      </c>
      <c r="N379" s="21">
        <v>0.60381671585379204</v>
      </c>
      <c r="O379" s="20">
        <f t="shared" si="20"/>
        <v>48139.3</v>
      </c>
      <c r="P379" s="20">
        <f t="shared" si="21"/>
        <v>29067.314029500452</v>
      </c>
      <c r="Q379" s="20">
        <f t="shared" si="22"/>
        <v>19071.985970499551</v>
      </c>
      <c r="R379" s="22">
        <f t="shared" si="23"/>
        <v>0.39618328414620796</v>
      </c>
    </row>
    <row r="380" spans="1:18">
      <c r="A380" s="18">
        <v>1379</v>
      </c>
      <c r="B380" s="19" t="s">
        <v>219</v>
      </c>
      <c r="C380" s="18">
        <v>2024</v>
      </c>
      <c r="D380" s="18" t="s">
        <v>48</v>
      </c>
      <c r="E380" s="18" t="s">
        <v>85</v>
      </c>
      <c r="F380" s="18" t="s">
        <v>94</v>
      </c>
      <c r="G380" s="18" t="s">
        <v>41</v>
      </c>
      <c r="H380" s="18" t="s">
        <v>90</v>
      </c>
      <c r="I380" s="18" t="s">
        <v>58</v>
      </c>
      <c r="J380" s="18" t="s">
        <v>82</v>
      </c>
      <c r="K380" s="18">
        <v>11</v>
      </c>
      <c r="L380" s="20">
        <v>17411.759999999998</v>
      </c>
      <c r="M380" s="21">
        <v>0</v>
      </c>
      <c r="N380" s="21">
        <v>0.59475400634466202</v>
      </c>
      <c r="O380" s="20">
        <f t="shared" si="20"/>
        <v>191529.36</v>
      </c>
      <c r="P380" s="20">
        <f t="shared" si="21"/>
        <v>113912.85419262905</v>
      </c>
      <c r="Q380" s="20">
        <f t="shared" si="22"/>
        <v>77616.505807370937</v>
      </c>
      <c r="R380" s="22">
        <f t="shared" si="23"/>
        <v>0.40524599365533798</v>
      </c>
    </row>
    <row r="381" spans="1:18">
      <c r="A381" s="18">
        <v>1380</v>
      </c>
      <c r="B381" s="19" t="s">
        <v>219</v>
      </c>
      <c r="C381" s="18">
        <v>2024</v>
      </c>
      <c r="D381" s="18" t="s">
        <v>48</v>
      </c>
      <c r="E381" s="18" t="s">
        <v>98</v>
      </c>
      <c r="F381" s="18" t="s">
        <v>99</v>
      </c>
      <c r="G381" s="18" t="s">
        <v>47</v>
      </c>
      <c r="H381" s="18" t="s">
        <v>107</v>
      </c>
      <c r="I381" s="18" t="s">
        <v>56</v>
      </c>
      <c r="J381" s="18" t="s">
        <v>91</v>
      </c>
      <c r="K381" s="18">
        <v>8</v>
      </c>
      <c r="L381" s="20">
        <v>2145.44</v>
      </c>
      <c r="M381" s="21">
        <v>0.1</v>
      </c>
      <c r="N381" s="21">
        <v>0.61042901825486995</v>
      </c>
      <c r="O381" s="20">
        <f t="shared" si="20"/>
        <v>15447.168000000001</v>
      </c>
      <c r="P381" s="20">
        <f t="shared" si="21"/>
        <v>9429.3995970580436</v>
      </c>
      <c r="Q381" s="20">
        <f t="shared" si="22"/>
        <v>6017.7684029419579</v>
      </c>
      <c r="R381" s="22">
        <f t="shared" si="23"/>
        <v>0.38957098174513005</v>
      </c>
    </row>
    <row r="382" spans="1:18">
      <c r="A382" s="18">
        <v>1381</v>
      </c>
      <c r="B382" s="19" t="s">
        <v>219</v>
      </c>
      <c r="C382" s="18">
        <v>2024</v>
      </c>
      <c r="D382" s="18" t="s">
        <v>48</v>
      </c>
      <c r="E382" s="18" t="s">
        <v>85</v>
      </c>
      <c r="F382" s="18" t="s">
        <v>94</v>
      </c>
      <c r="G382" s="18" t="s">
        <v>41</v>
      </c>
      <c r="H382" s="18" t="s">
        <v>90</v>
      </c>
      <c r="I382" s="18" t="s">
        <v>60</v>
      </c>
      <c r="J382" s="18" t="s">
        <v>102</v>
      </c>
      <c r="K382" s="18">
        <v>6</v>
      </c>
      <c r="L382" s="20">
        <v>18110.62</v>
      </c>
      <c r="M382" s="21">
        <v>0.15</v>
      </c>
      <c r="N382" s="21">
        <v>0.671810020927603</v>
      </c>
      <c r="O382" s="20">
        <f t="shared" si="20"/>
        <v>92364.161999999997</v>
      </c>
      <c r="P382" s="20">
        <f t="shared" si="21"/>
        <v>62051.169606180512</v>
      </c>
      <c r="Q382" s="20">
        <f t="shared" si="22"/>
        <v>30312.992393819484</v>
      </c>
      <c r="R382" s="22">
        <f t="shared" si="23"/>
        <v>0.328189979072397</v>
      </c>
    </row>
    <row r="383" spans="1:18">
      <c r="A383" s="18">
        <v>1382</v>
      </c>
      <c r="B383" s="19" t="s">
        <v>220</v>
      </c>
      <c r="C383" s="18">
        <v>2024</v>
      </c>
      <c r="D383" s="18" t="s">
        <v>48</v>
      </c>
      <c r="E383" s="18" t="s">
        <v>79</v>
      </c>
      <c r="F383" s="18" t="s">
        <v>105</v>
      </c>
      <c r="G383" s="18" t="s">
        <v>41</v>
      </c>
      <c r="H383" s="18" t="s">
        <v>106</v>
      </c>
      <c r="I383" s="18" t="s">
        <v>52</v>
      </c>
      <c r="J383" s="18" t="s">
        <v>102</v>
      </c>
      <c r="K383" s="18">
        <v>6</v>
      </c>
      <c r="L383" s="20">
        <v>2590.37</v>
      </c>
      <c r="M383" s="21">
        <v>0.05</v>
      </c>
      <c r="N383" s="21">
        <v>0.68122392104729101</v>
      </c>
      <c r="O383" s="20">
        <f t="shared" si="20"/>
        <v>14765.108999999999</v>
      </c>
      <c r="P383" s="20">
        <f t="shared" si="21"/>
        <v>10058.345447670645</v>
      </c>
      <c r="Q383" s="20">
        <f t="shared" si="22"/>
        <v>4706.7635523293538</v>
      </c>
      <c r="R383" s="22">
        <f t="shared" si="23"/>
        <v>0.31877607895270899</v>
      </c>
    </row>
    <row r="384" spans="1:18">
      <c r="A384" s="18">
        <v>1383</v>
      </c>
      <c r="B384" s="19" t="s">
        <v>220</v>
      </c>
      <c r="C384" s="18">
        <v>2024</v>
      </c>
      <c r="D384" s="18" t="s">
        <v>48</v>
      </c>
      <c r="E384" s="18" t="s">
        <v>98</v>
      </c>
      <c r="F384" s="18" t="s">
        <v>117</v>
      </c>
      <c r="G384" s="18" t="s">
        <v>44</v>
      </c>
      <c r="H384" s="18" t="s">
        <v>95</v>
      </c>
      <c r="I384" s="18" t="s">
        <v>49</v>
      </c>
      <c r="J384" s="18" t="s">
        <v>82</v>
      </c>
      <c r="K384" s="18">
        <v>10</v>
      </c>
      <c r="L384" s="20">
        <v>4456.84</v>
      </c>
      <c r="M384" s="21">
        <v>0.05</v>
      </c>
      <c r="N384" s="21">
        <v>0.68615115007747596</v>
      </c>
      <c r="O384" s="20">
        <f t="shared" si="20"/>
        <v>42339.979999999996</v>
      </c>
      <c r="P384" s="20">
        <f t="shared" si="21"/>
        <v>29051.625971257326</v>
      </c>
      <c r="Q384" s="20">
        <f t="shared" si="22"/>
        <v>13288.354028742669</v>
      </c>
      <c r="R384" s="22">
        <f t="shared" si="23"/>
        <v>0.3138488499225241</v>
      </c>
    </row>
    <row r="385" spans="1:18">
      <c r="A385" s="18">
        <v>1384</v>
      </c>
      <c r="B385" s="19" t="s">
        <v>220</v>
      </c>
      <c r="C385" s="18">
        <v>2024</v>
      </c>
      <c r="D385" s="18" t="s">
        <v>48</v>
      </c>
      <c r="E385" s="18" t="s">
        <v>79</v>
      </c>
      <c r="F385" s="18" t="s">
        <v>80</v>
      </c>
      <c r="G385" s="18" t="s">
        <v>50</v>
      </c>
      <c r="H385" s="18" t="s">
        <v>97</v>
      </c>
      <c r="I385" s="18" t="s">
        <v>52</v>
      </c>
      <c r="J385" s="18" t="s">
        <v>91</v>
      </c>
      <c r="K385" s="18">
        <v>7</v>
      </c>
      <c r="L385" s="20">
        <v>11865.93</v>
      </c>
      <c r="M385" s="21">
        <v>0</v>
      </c>
      <c r="N385" s="21">
        <v>0.66660474048267204</v>
      </c>
      <c r="O385" s="20">
        <f t="shared" si="20"/>
        <v>83061.510000000009</v>
      </c>
      <c r="P385" s="20">
        <f t="shared" si="21"/>
        <v>55369.196317648872</v>
      </c>
      <c r="Q385" s="20">
        <f t="shared" si="22"/>
        <v>27692.313682351138</v>
      </c>
      <c r="R385" s="22">
        <f t="shared" si="23"/>
        <v>0.33339525951732801</v>
      </c>
    </row>
    <row r="386" spans="1:18">
      <c r="A386" s="18">
        <v>1385</v>
      </c>
      <c r="B386" s="19" t="s">
        <v>220</v>
      </c>
      <c r="C386" s="18">
        <v>2024</v>
      </c>
      <c r="D386" s="18" t="s">
        <v>48</v>
      </c>
      <c r="E386" s="18" t="s">
        <v>88</v>
      </c>
      <c r="F386" s="18" t="s">
        <v>89</v>
      </c>
      <c r="G386" s="18" t="s">
        <v>44</v>
      </c>
      <c r="H386" s="18" t="s">
        <v>95</v>
      </c>
      <c r="I386" s="18" t="s">
        <v>60</v>
      </c>
      <c r="J386" s="18" t="s">
        <v>102</v>
      </c>
      <c r="K386" s="18">
        <v>8</v>
      </c>
      <c r="L386" s="20">
        <v>4682.9399999999996</v>
      </c>
      <c r="M386" s="21">
        <v>0.2</v>
      </c>
      <c r="N386" s="21">
        <v>0.62169942633407504</v>
      </c>
      <c r="O386" s="20">
        <f t="shared" ref="O386:O449" si="24">K386*L386*(1-M386)</f>
        <v>29970.815999999999</v>
      </c>
      <c r="P386" s="20">
        <f t="shared" ref="P386:P449" si="25">O386*N386</f>
        <v>18632.839113964117</v>
      </c>
      <c r="Q386" s="20">
        <f t="shared" ref="Q386:Q449" si="26">O386-P386</f>
        <v>11337.976886035882</v>
      </c>
      <c r="R386" s="22">
        <f t="shared" ref="R386:R449" si="27">IF(O386=0,0,Q386/O386)</f>
        <v>0.37830057366592496</v>
      </c>
    </row>
    <row r="387" spans="1:18">
      <c r="A387" s="18">
        <v>1386</v>
      </c>
      <c r="B387" s="19" t="s">
        <v>221</v>
      </c>
      <c r="C387" s="18">
        <v>2024</v>
      </c>
      <c r="D387" s="18" t="s">
        <v>48</v>
      </c>
      <c r="E387" s="18" t="s">
        <v>88</v>
      </c>
      <c r="F387" s="18" t="s">
        <v>93</v>
      </c>
      <c r="G387" s="18" t="s">
        <v>44</v>
      </c>
      <c r="H387" s="18" t="s">
        <v>114</v>
      </c>
      <c r="I387" s="18" t="s">
        <v>43</v>
      </c>
      <c r="J387" s="18" t="s">
        <v>91</v>
      </c>
      <c r="K387" s="18">
        <v>3</v>
      </c>
      <c r="L387" s="20">
        <v>9216.83</v>
      </c>
      <c r="M387" s="21">
        <v>0.2</v>
      </c>
      <c r="N387" s="21">
        <v>0.71166877382849403</v>
      </c>
      <c r="O387" s="20">
        <f t="shared" si="24"/>
        <v>22120.392</v>
      </c>
      <c r="P387" s="20">
        <f t="shared" si="25"/>
        <v>15742.392251245628</v>
      </c>
      <c r="Q387" s="20">
        <f t="shared" si="26"/>
        <v>6377.9997487543715</v>
      </c>
      <c r="R387" s="22">
        <f t="shared" si="27"/>
        <v>0.28833122617150597</v>
      </c>
    </row>
    <row r="388" spans="1:18">
      <c r="A388" s="18">
        <v>1387</v>
      </c>
      <c r="B388" s="19" t="s">
        <v>221</v>
      </c>
      <c r="C388" s="18">
        <v>2024</v>
      </c>
      <c r="D388" s="18" t="s">
        <v>48</v>
      </c>
      <c r="E388" s="18" t="s">
        <v>88</v>
      </c>
      <c r="F388" s="18" t="s">
        <v>93</v>
      </c>
      <c r="G388" s="18" t="s">
        <v>47</v>
      </c>
      <c r="H388" s="18" t="s">
        <v>103</v>
      </c>
      <c r="I388" s="18" t="s">
        <v>43</v>
      </c>
      <c r="J388" s="18" t="s">
        <v>82</v>
      </c>
      <c r="K388" s="18">
        <v>6</v>
      </c>
      <c r="L388" s="20">
        <v>3111.46</v>
      </c>
      <c r="M388" s="21">
        <v>0.05</v>
      </c>
      <c r="N388" s="21">
        <v>0.63409451363696201</v>
      </c>
      <c r="O388" s="20">
        <f t="shared" si="24"/>
        <v>17735.322</v>
      </c>
      <c r="P388" s="20">
        <f t="shared" si="25"/>
        <v>11245.870377784913</v>
      </c>
      <c r="Q388" s="20">
        <f t="shared" si="26"/>
        <v>6489.4516222150869</v>
      </c>
      <c r="R388" s="22">
        <f t="shared" si="27"/>
        <v>0.36590548636303794</v>
      </c>
    </row>
    <row r="389" spans="1:18">
      <c r="A389" s="18">
        <v>1388</v>
      </c>
      <c r="B389" s="19" t="s">
        <v>221</v>
      </c>
      <c r="C389" s="18">
        <v>2024</v>
      </c>
      <c r="D389" s="18" t="s">
        <v>48</v>
      </c>
      <c r="E389" s="18" t="s">
        <v>98</v>
      </c>
      <c r="F389" s="18" t="s">
        <v>109</v>
      </c>
      <c r="G389" s="18" t="s">
        <v>47</v>
      </c>
      <c r="H389" s="18" t="s">
        <v>103</v>
      </c>
      <c r="I389" s="18" t="s">
        <v>52</v>
      </c>
      <c r="J389" s="18" t="s">
        <v>91</v>
      </c>
      <c r="K389" s="18">
        <v>2</v>
      </c>
      <c r="L389" s="20">
        <v>3190.57</v>
      </c>
      <c r="M389" s="21">
        <v>0.2</v>
      </c>
      <c r="N389" s="21">
        <v>0.66671492394851595</v>
      </c>
      <c r="O389" s="20">
        <f t="shared" si="24"/>
        <v>5104.9120000000003</v>
      </c>
      <c r="P389" s="20">
        <f t="shared" si="25"/>
        <v>3403.5210158438667</v>
      </c>
      <c r="Q389" s="20">
        <f t="shared" si="26"/>
        <v>1701.3909841561335</v>
      </c>
      <c r="R389" s="22">
        <f t="shared" si="27"/>
        <v>0.33328507605148405</v>
      </c>
    </row>
    <row r="390" spans="1:18">
      <c r="A390" s="18">
        <v>1389</v>
      </c>
      <c r="B390" s="19" t="s">
        <v>221</v>
      </c>
      <c r="C390" s="18">
        <v>2024</v>
      </c>
      <c r="D390" s="18" t="s">
        <v>48</v>
      </c>
      <c r="E390" s="18" t="s">
        <v>79</v>
      </c>
      <c r="F390" s="18" t="s">
        <v>105</v>
      </c>
      <c r="G390" s="18" t="s">
        <v>44</v>
      </c>
      <c r="H390" s="18" t="s">
        <v>95</v>
      </c>
      <c r="I390" s="18" t="s">
        <v>43</v>
      </c>
      <c r="J390" s="18" t="s">
        <v>102</v>
      </c>
      <c r="K390" s="18">
        <v>7</v>
      </c>
      <c r="L390" s="20">
        <v>4513.43</v>
      </c>
      <c r="M390" s="21">
        <v>0.1</v>
      </c>
      <c r="N390" s="21">
        <v>0.56081239412851502</v>
      </c>
      <c r="O390" s="20">
        <f t="shared" si="24"/>
        <v>28434.609000000004</v>
      </c>
      <c r="P390" s="20">
        <f t="shared" si="25"/>
        <v>15946.481149398223</v>
      </c>
      <c r="Q390" s="20">
        <f t="shared" si="26"/>
        <v>12488.127850601781</v>
      </c>
      <c r="R390" s="22">
        <f t="shared" si="27"/>
        <v>0.43918760587148498</v>
      </c>
    </row>
    <row r="391" spans="1:18">
      <c r="A391" s="18">
        <v>1390</v>
      </c>
      <c r="B391" s="19" t="s">
        <v>222</v>
      </c>
      <c r="C391" s="18">
        <v>2024</v>
      </c>
      <c r="D391" s="18" t="s">
        <v>48</v>
      </c>
      <c r="E391" s="18" t="s">
        <v>88</v>
      </c>
      <c r="F391" s="18" t="s">
        <v>110</v>
      </c>
      <c r="G391" s="18" t="s">
        <v>47</v>
      </c>
      <c r="H391" s="18" t="s">
        <v>107</v>
      </c>
      <c r="I391" s="18" t="s">
        <v>62</v>
      </c>
      <c r="J391" s="18" t="s">
        <v>91</v>
      </c>
      <c r="K391" s="18">
        <v>3</v>
      </c>
      <c r="L391" s="20">
        <v>2159.6</v>
      </c>
      <c r="M391" s="21">
        <v>0.2</v>
      </c>
      <c r="N391" s="21">
        <v>0.58607135382136899</v>
      </c>
      <c r="O391" s="20">
        <f t="shared" si="24"/>
        <v>5183.04</v>
      </c>
      <c r="P391" s="20">
        <f t="shared" si="25"/>
        <v>3037.6312697103085</v>
      </c>
      <c r="Q391" s="20">
        <f t="shared" si="26"/>
        <v>2145.4087302896914</v>
      </c>
      <c r="R391" s="22">
        <f t="shared" si="27"/>
        <v>0.41392864617863095</v>
      </c>
    </row>
    <row r="392" spans="1:18">
      <c r="A392" s="18">
        <v>1391</v>
      </c>
      <c r="B392" s="19" t="s">
        <v>222</v>
      </c>
      <c r="C392" s="18">
        <v>2024</v>
      </c>
      <c r="D392" s="18" t="s">
        <v>48</v>
      </c>
      <c r="E392" s="18" t="s">
        <v>79</v>
      </c>
      <c r="F392" s="18" t="s">
        <v>105</v>
      </c>
      <c r="G392" s="18" t="s">
        <v>47</v>
      </c>
      <c r="H392" s="18" t="s">
        <v>103</v>
      </c>
      <c r="I392" s="18" t="s">
        <v>46</v>
      </c>
      <c r="J392" s="18" t="s">
        <v>91</v>
      </c>
      <c r="K392" s="18">
        <v>11</v>
      </c>
      <c r="L392" s="20">
        <v>3058.56</v>
      </c>
      <c r="M392" s="21">
        <v>0.1</v>
      </c>
      <c r="N392" s="21">
        <v>0.60470557244029999</v>
      </c>
      <c r="O392" s="20">
        <f t="shared" si="24"/>
        <v>30279.743999999999</v>
      </c>
      <c r="P392" s="20">
        <f t="shared" si="25"/>
        <v>18310.32992886574</v>
      </c>
      <c r="Q392" s="20">
        <f t="shared" si="26"/>
        <v>11969.414071134259</v>
      </c>
      <c r="R392" s="22">
        <f t="shared" si="27"/>
        <v>0.39529442755969996</v>
      </c>
    </row>
    <row r="393" spans="1:18">
      <c r="A393" s="18">
        <v>1392</v>
      </c>
      <c r="B393" s="19" t="s">
        <v>222</v>
      </c>
      <c r="C393" s="18">
        <v>2024</v>
      </c>
      <c r="D393" s="18" t="s">
        <v>48</v>
      </c>
      <c r="E393" s="18" t="s">
        <v>88</v>
      </c>
      <c r="F393" s="18" t="s">
        <v>93</v>
      </c>
      <c r="G393" s="18" t="s">
        <v>44</v>
      </c>
      <c r="H393" s="18" t="s">
        <v>114</v>
      </c>
      <c r="I393" s="18" t="s">
        <v>43</v>
      </c>
      <c r="J393" s="18" t="s">
        <v>82</v>
      </c>
      <c r="K393" s="18">
        <v>10</v>
      </c>
      <c r="L393" s="20">
        <v>8940.34</v>
      </c>
      <c r="M393" s="21">
        <v>0.1</v>
      </c>
      <c r="N393" s="21">
        <v>0.63067869607959004</v>
      </c>
      <c r="O393" s="20">
        <f t="shared" si="24"/>
        <v>80463.06</v>
      </c>
      <c r="P393" s="20">
        <f t="shared" si="25"/>
        <v>50746.33776337382</v>
      </c>
      <c r="Q393" s="20">
        <f t="shared" si="26"/>
        <v>29716.722236626178</v>
      </c>
      <c r="R393" s="22">
        <f t="shared" si="27"/>
        <v>0.3693213039204099</v>
      </c>
    </row>
    <row r="394" spans="1:18">
      <c r="A394" s="18">
        <v>1393</v>
      </c>
      <c r="B394" s="19" t="s">
        <v>223</v>
      </c>
      <c r="C394" s="18">
        <v>2024</v>
      </c>
      <c r="D394" s="18" t="s">
        <v>48</v>
      </c>
      <c r="E394" s="18" t="s">
        <v>85</v>
      </c>
      <c r="F394" s="18" t="s">
        <v>86</v>
      </c>
      <c r="G394" s="18" t="s">
        <v>41</v>
      </c>
      <c r="H394" s="18" t="s">
        <v>101</v>
      </c>
      <c r="I394" s="18" t="s">
        <v>54</v>
      </c>
      <c r="J394" s="18" t="s">
        <v>82</v>
      </c>
      <c r="K394" s="18">
        <v>6</v>
      </c>
      <c r="L394" s="20">
        <v>56412.66</v>
      </c>
      <c r="M394" s="21">
        <v>0.15</v>
      </c>
      <c r="N394" s="21">
        <v>0.58811534198808102</v>
      </c>
      <c r="O394" s="20">
        <f t="shared" si="24"/>
        <v>287704.56599999999</v>
      </c>
      <c r="P394" s="20">
        <f t="shared" si="25"/>
        <v>169203.46922462241</v>
      </c>
      <c r="Q394" s="20">
        <f t="shared" si="26"/>
        <v>118501.09677537758</v>
      </c>
      <c r="R394" s="22">
        <f t="shared" si="27"/>
        <v>0.41188465801191898</v>
      </c>
    </row>
    <row r="395" spans="1:18">
      <c r="A395" s="18">
        <v>1394</v>
      </c>
      <c r="B395" s="19" t="s">
        <v>223</v>
      </c>
      <c r="C395" s="18">
        <v>2024</v>
      </c>
      <c r="D395" s="18" t="s">
        <v>48</v>
      </c>
      <c r="E395" s="18" t="s">
        <v>79</v>
      </c>
      <c r="F395" s="18" t="s">
        <v>80</v>
      </c>
      <c r="G395" s="18" t="s">
        <v>44</v>
      </c>
      <c r="H395" s="18" t="s">
        <v>119</v>
      </c>
      <c r="I395" s="18" t="s">
        <v>54</v>
      </c>
      <c r="J395" s="18" t="s">
        <v>91</v>
      </c>
      <c r="K395" s="18">
        <v>3</v>
      </c>
      <c r="L395" s="20">
        <v>6721.9</v>
      </c>
      <c r="M395" s="21">
        <v>0.15</v>
      </c>
      <c r="N395" s="21">
        <v>0.667734137633614</v>
      </c>
      <c r="O395" s="20">
        <f t="shared" si="24"/>
        <v>17140.844999999998</v>
      </c>
      <c r="P395" s="20">
        <f t="shared" si="25"/>
        <v>11445.527354386442</v>
      </c>
      <c r="Q395" s="20">
        <f t="shared" si="26"/>
        <v>5695.3176456135552</v>
      </c>
      <c r="R395" s="22">
        <f t="shared" si="27"/>
        <v>0.332265862366386</v>
      </c>
    </row>
    <row r="396" spans="1:18">
      <c r="A396" s="18">
        <v>1395</v>
      </c>
      <c r="B396" s="19" t="s">
        <v>223</v>
      </c>
      <c r="C396" s="18">
        <v>2024</v>
      </c>
      <c r="D396" s="18" t="s">
        <v>48</v>
      </c>
      <c r="E396" s="18" t="s">
        <v>88</v>
      </c>
      <c r="F396" s="18" t="s">
        <v>110</v>
      </c>
      <c r="G396" s="18" t="s">
        <v>41</v>
      </c>
      <c r="H396" s="18" t="s">
        <v>106</v>
      </c>
      <c r="I396" s="18" t="s">
        <v>52</v>
      </c>
      <c r="J396" s="18" t="s">
        <v>91</v>
      </c>
      <c r="K396" s="18">
        <v>12</v>
      </c>
      <c r="L396" s="20">
        <v>2505.0700000000002</v>
      </c>
      <c r="M396" s="21">
        <v>0.15</v>
      </c>
      <c r="N396" s="21">
        <v>0.61756703024158699</v>
      </c>
      <c r="O396" s="20">
        <f t="shared" si="24"/>
        <v>25551.714000000004</v>
      </c>
      <c r="P396" s="20">
        <f t="shared" si="25"/>
        <v>15779.896132562384</v>
      </c>
      <c r="Q396" s="20">
        <f t="shared" si="26"/>
        <v>9771.8178674376195</v>
      </c>
      <c r="R396" s="22">
        <f t="shared" si="27"/>
        <v>0.38243296975841301</v>
      </c>
    </row>
    <row r="397" spans="1:18">
      <c r="A397" s="18">
        <v>1396</v>
      </c>
      <c r="B397" s="19" t="s">
        <v>223</v>
      </c>
      <c r="C397" s="18">
        <v>2024</v>
      </c>
      <c r="D397" s="18" t="s">
        <v>48</v>
      </c>
      <c r="E397" s="18" t="s">
        <v>88</v>
      </c>
      <c r="F397" s="18" t="s">
        <v>89</v>
      </c>
      <c r="G397" s="18" t="s">
        <v>50</v>
      </c>
      <c r="H397" s="18" t="s">
        <v>97</v>
      </c>
      <c r="I397" s="18" t="s">
        <v>49</v>
      </c>
      <c r="J397" s="18" t="s">
        <v>82</v>
      </c>
      <c r="K397" s="18">
        <v>7</v>
      </c>
      <c r="L397" s="20">
        <v>11422.95</v>
      </c>
      <c r="M397" s="21">
        <v>0</v>
      </c>
      <c r="N397" s="21">
        <v>0.695433765627264</v>
      </c>
      <c r="O397" s="20">
        <f t="shared" si="24"/>
        <v>79960.650000000009</v>
      </c>
      <c r="P397" s="20">
        <f t="shared" si="25"/>
        <v>55607.335931503694</v>
      </c>
      <c r="Q397" s="20">
        <f t="shared" si="26"/>
        <v>24353.314068496315</v>
      </c>
      <c r="R397" s="22">
        <f t="shared" si="27"/>
        <v>0.304566234372736</v>
      </c>
    </row>
    <row r="398" spans="1:18">
      <c r="A398" s="18">
        <v>1397</v>
      </c>
      <c r="B398" s="19" t="s">
        <v>223</v>
      </c>
      <c r="C398" s="18">
        <v>2024</v>
      </c>
      <c r="D398" s="18" t="s">
        <v>48</v>
      </c>
      <c r="E398" s="18" t="s">
        <v>88</v>
      </c>
      <c r="F398" s="18" t="s">
        <v>110</v>
      </c>
      <c r="G398" s="18" t="s">
        <v>41</v>
      </c>
      <c r="H398" s="18" t="s">
        <v>101</v>
      </c>
      <c r="I398" s="18" t="s">
        <v>43</v>
      </c>
      <c r="J398" s="18" t="s">
        <v>91</v>
      </c>
      <c r="K398" s="18">
        <v>12</v>
      </c>
      <c r="L398" s="20">
        <v>55827.97</v>
      </c>
      <c r="M398" s="21">
        <v>0</v>
      </c>
      <c r="N398" s="21">
        <v>0.62503848653516803</v>
      </c>
      <c r="O398" s="20">
        <f t="shared" si="24"/>
        <v>669935.64</v>
      </c>
      <c r="P398" s="20">
        <f t="shared" si="25"/>
        <v>418735.5585015692</v>
      </c>
      <c r="Q398" s="20">
        <f t="shared" si="26"/>
        <v>251200.08149843081</v>
      </c>
      <c r="R398" s="22">
        <f t="shared" si="27"/>
        <v>0.37496151346483192</v>
      </c>
    </row>
    <row r="399" spans="1:18">
      <c r="A399" s="18">
        <v>1398</v>
      </c>
      <c r="B399" s="19" t="s">
        <v>224</v>
      </c>
      <c r="C399" s="18">
        <v>2024</v>
      </c>
      <c r="D399" s="18" t="s">
        <v>48</v>
      </c>
      <c r="E399" s="18" t="s">
        <v>79</v>
      </c>
      <c r="F399" s="18" t="s">
        <v>80</v>
      </c>
      <c r="G399" s="18" t="s">
        <v>41</v>
      </c>
      <c r="H399" s="18" t="s">
        <v>90</v>
      </c>
      <c r="I399" s="18" t="s">
        <v>40</v>
      </c>
      <c r="J399" s="18" t="s">
        <v>82</v>
      </c>
      <c r="K399" s="18">
        <v>12</v>
      </c>
      <c r="L399" s="20">
        <v>17308.419999999998</v>
      </c>
      <c r="M399" s="21">
        <v>0.1</v>
      </c>
      <c r="N399" s="21">
        <v>0.62605075258552301</v>
      </c>
      <c r="O399" s="20">
        <f t="shared" si="24"/>
        <v>186930.93599999999</v>
      </c>
      <c r="P399" s="20">
        <f t="shared" si="25"/>
        <v>117028.25316431622</v>
      </c>
      <c r="Q399" s="20">
        <f t="shared" si="26"/>
        <v>69902.682835683765</v>
      </c>
      <c r="R399" s="22">
        <f t="shared" si="27"/>
        <v>0.37394924741447705</v>
      </c>
    </row>
    <row r="400" spans="1:18">
      <c r="A400" s="18">
        <v>1399</v>
      </c>
      <c r="B400" s="19" t="s">
        <v>224</v>
      </c>
      <c r="C400" s="18">
        <v>2024</v>
      </c>
      <c r="D400" s="18" t="s">
        <v>48</v>
      </c>
      <c r="E400" s="18" t="s">
        <v>98</v>
      </c>
      <c r="F400" s="18" t="s">
        <v>109</v>
      </c>
      <c r="G400" s="18" t="s">
        <v>44</v>
      </c>
      <c r="H400" s="18" t="s">
        <v>119</v>
      </c>
      <c r="I400" s="18" t="s">
        <v>40</v>
      </c>
      <c r="J400" s="18" t="s">
        <v>91</v>
      </c>
      <c r="K400" s="18">
        <v>7</v>
      </c>
      <c r="L400" s="20">
        <v>7113.17</v>
      </c>
      <c r="M400" s="21">
        <v>0.2</v>
      </c>
      <c r="N400" s="21">
        <v>0.65406184683736701</v>
      </c>
      <c r="O400" s="20">
        <f t="shared" si="24"/>
        <v>39833.752000000008</v>
      </c>
      <c r="P400" s="20">
        <f t="shared" si="25"/>
        <v>26053.737399581667</v>
      </c>
      <c r="Q400" s="20">
        <f t="shared" si="26"/>
        <v>13780.014600418341</v>
      </c>
      <c r="R400" s="22">
        <f t="shared" si="27"/>
        <v>0.34593815316263299</v>
      </c>
    </row>
    <row r="401" spans="1:18">
      <c r="A401" s="18">
        <v>1400</v>
      </c>
      <c r="B401" s="19" t="s">
        <v>224</v>
      </c>
      <c r="C401" s="18">
        <v>2024</v>
      </c>
      <c r="D401" s="18" t="s">
        <v>48</v>
      </c>
      <c r="E401" s="18" t="s">
        <v>88</v>
      </c>
      <c r="F401" s="18" t="s">
        <v>89</v>
      </c>
      <c r="G401" s="18" t="s">
        <v>41</v>
      </c>
      <c r="H401" s="18" t="s">
        <v>90</v>
      </c>
      <c r="I401" s="18" t="s">
        <v>52</v>
      </c>
      <c r="J401" s="18" t="s">
        <v>82</v>
      </c>
      <c r="K401" s="18">
        <v>2</v>
      </c>
      <c r="L401" s="20">
        <v>17995.93</v>
      </c>
      <c r="M401" s="21">
        <v>0.15</v>
      </c>
      <c r="N401" s="21">
        <v>0.58994987722927195</v>
      </c>
      <c r="O401" s="20">
        <f t="shared" si="24"/>
        <v>30593.080999999998</v>
      </c>
      <c r="P401" s="20">
        <f t="shared" si="25"/>
        <v>18048.38438001517</v>
      </c>
      <c r="Q401" s="20">
        <f t="shared" si="26"/>
        <v>12544.696619984828</v>
      </c>
      <c r="R401" s="22">
        <f t="shared" si="27"/>
        <v>0.41005012277072811</v>
      </c>
    </row>
    <row r="402" spans="1:18">
      <c r="A402" s="18">
        <v>1401</v>
      </c>
      <c r="B402" s="19" t="s">
        <v>224</v>
      </c>
      <c r="C402" s="18">
        <v>2024</v>
      </c>
      <c r="D402" s="18" t="s">
        <v>48</v>
      </c>
      <c r="E402" s="18" t="s">
        <v>98</v>
      </c>
      <c r="F402" s="18" t="s">
        <v>99</v>
      </c>
      <c r="G402" s="18" t="s">
        <v>44</v>
      </c>
      <c r="H402" s="18" t="s">
        <v>114</v>
      </c>
      <c r="I402" s="18" t="s">
        <v>56</v>
      </c>
      <c r="J402" s="18" t="s">
        <v>91</v>
      </c>
      <c r="K402" s="18">
        <v>3</v>
      </c>
      <c r="L402" s="20">
        <v>8585.4699999999993</v>
      </c>
      <c r="M402" s="21">
        <v>0.1</v>
      </c>
      <c r="N402" s="21">
        <v>0.73207132549240295</v>
      </c>
      <c r="O402" s="20">
        <f t="shared" si="24"/>
        <v>23180.768999999997</v>
      </c>
      <c r="P402" s="20">
        <f t="shared" si="25"/>
        <v>16969.976287763202</v>
      </c>
      <c r="Q402" s="20">
        <f t="shared" si="26"/>
        <v>6210.7927122367946</v>
      </c>
      <c r="R402" s="22">
        <f t="shared" si="27"/>
        <v>0.26792867450759705</v>
      </c>
    </row>
    <row r="403" spans="1:18">
      <c r="A403" s="18">
        <v>1402</v>
      </c>
      <c r="B403" s="19" t="s">
        <v>225</v>
      </c>
      <c r="C403" s="18">
        <v>2024</v>
      </c>
      <c r="D403" s="18" t="s">
        <v>48</v>
      </c>
      <c r="E403" s="18" t="s">
        <v>98</v>
      </c>
      <c r="F403" s="18" t="s">
        <v>117</v>
      </c>
      <c r="G403" s="18" t="s">
        <v>41</v>
      </c>
      <c r="H403" s="18" t="s">
        <v>90</v>
      </c>
      <c r="I403" s="18" t="s">
        <v>43</v>
      </c>
      <c r="J403" s="18" t="s">
        <v>82</v>
      </c>
      <c r="K403" s="18">
        <v>10</v>
      </c>
      <c r="L403" s="20">
        <v>18304.240000000002</v>
      </c>
      <c r="M403" s="21">
        <v>0</v>
      </c>
      <c r="N403" s="21">
        <v>0.73988920314622297</v>
      </c>
      <c r="O403" s="20">
        <f t="shared" si="24"/>
        <v>183042.40000000002</v>
      </c>
      <c r="P403" s="20">
        <f t="shared" si="25"/>
        <v>135431.09547797221</v>
      </c>
      <c r="Q403" s="20">
        <f t="shared" si="26"/>
        <v>47611.304522027815</v>
      </c>
      <c r="R403" s="22">
        <f t="shared" si="27"/>
        <v>0.26011079685377708</v>
      </c>
    </row>
    <row r="404" spans="1:18">
      <c r="A404" s="18">
        <v>1403</v>
      </c>
      <c r="B404" s="19" t="s">
        <v>225</v>
      </c>
      <c r="C404" s="18">
        <v>2024</v>
      </c>
      <c r="D404" s="18" t="s">
        <v>48</v>
      </c>
      <c r="E404" s="18" t="s">
        <v>79</v>
      </c>
      <c r="F404" s="18" t="s">
        <v>80</v>
      </c>
      <c r="G404" s="18" t="s">
        <v>41</v>
      </c>
      <c r="H404" s="18" t="s">
        <v>106</v>
      </c>
      <c r="I404" s="18" t="s">
        <v>49</v>
      </c>
      <c r="J404" s="18" t="s">
        <v>91</v>
      </c>
      <c r="K404" s="18">
        <v>5</v>
      </c>
      <c r="L404" s="20">
        <v>2441.0300000000002</v>
      </c>
      <c r="M404" s="21">
        <v>0</v>
      </c>
      <c r="N404" s="21">
        <v>0.569961783011524</v>
      </c>
      <c r="O404" s="20">
        <f t="shared" si="24"/>
        <v>12205.150000000001</v>
      </c>
      <c r="P404" s="20">
        <f t="shared" si="25"/>
        <v>6956.469055923103</v>
      </c>
      <c r="Q404" s="20">
        <f t="shared" si="26"/>
        <v>5248.6809440768984</v>
      </c>
      <c r="R404" s="22">
        <f t="shared" si="27"/>
        <v>0.430038216988476</v>
      </c>
    </row>
    <row r="405" spans="1:18">
      <c r="A405" s="18">
        <v>1404</v>
      </c>
      <c r="B405" s="19" t="s">
        <v>225</v>
      </c>
      <c r="C405" s="18">
        <v>2024</v>
      </c>
      <c r="D405" s="18" t="s">
        <v>48</v>
      </c>
      <c r="E405" s="18" t="s">
        <v>88</v>
      </c>
      <c r="F405" s="18" t="s">
        <v>110</v>
      </c>
      <c r="G405" s="18" t="s">
        <v>47</v>
      </c>
      <c r="H405" s="18" t="s">
        <v>107</v>
      </c>
      <c r="I405" s="18" t="s">
        <v>54</v>
      </c>
      <c r="J405" s="18" t="s">
        <v>91</v>
      </c>
      <c r="K405" s="18">
        <v>12</v>
      </c>
      <c r="L405" s="20">
        <v>2115.5</v>
      </c>
      <c r="M405" s="21">
        <v>0</v>
      </c>
      <c r="N405" s="21">
        <v>0.55193446554541403</v>
      </c>
      <c r="O405" s="20">
        <f t="shared" si="24"/>
        <v>25386</v>
      </c>
      <c r="P405" s="20">
        <f t="shared" si="25"/>
        <v>14011.408342335881</v>
      </c>
      <c r="Q405" s="20">
        <f t="shared" si="26"/>
        <v>11374.591657664119</v>
      </c>
      <c r="R405" s="22">
        <f t="shared" si="27"/>
        <v>0.44806553445458597</v>
      </c>
    </row>
    <row r="406" spans="1:18">
      <c r="A406" s="18">
        <v>1405</v>
      </c>
      <c r="B406" s="19" t="s">
        <v>225</v>
      </c>
      <c r="C406" s="18">
        <v>2024</v>
      </c>
      <c r="D406" s="18" t="s">
        <v>48</v>
      </c>
      <c r="E406" s="18" t="s">
        <v>88</v>
      </c>
      <c r="F406" s="18" t="s">
        <v>93</v>
      </c>
      <c r="G406" s="18" t="s">
        <v>44</v>
      </c>
      <c r="H406" s="18" t="s">
        <v>114</v>
      </c>
      <c r="I406" s="18" t="s">
        <v>54</v>
      </c>
      <c r="J406" s="18" t="s">
        <v>91</v>
      </c>
      <c r="K406" s="18">
        <v>10</v>
      </c>
      <c r="L406" s="20">
        <v>8791.48</v>
      </c>
      <c r="M406" s="21">
        <v>0.2</v>
      </c>
      <c r="N406" s="21">
        <v>0.56859026308748495</v>
      </c>
      <c r="O406" s="20">
        <f t="shared" si="24"/>
        <v>70331.839999999997</v>
      </c>
      <c r="P406" s="20">
        <f t="shared" si="25"/>
        <v>39989.999409026896</v>
      </c>
      <c r="Q406" s="20">
        <f t="shared" si="26"/>
        <v>30341.840590973101</v>
      </c>
      <c r="R406" s="22">
        <f t="shared" si="27"/>
        <v>0.43140973691251505</v>
      </c>
    </row>
    <row r="407" spans="1:18">
      <c r="A407" s="18">
        <v>1406</v>
      </c>
      <c r="B407" s="19" t="s">
        <v>225</v>
      </c>
      <c r="C407" s="18">
        <v>2024</v>
      </c>
      <c r="D407" s="18" t="s">
        <v>48</v>
      </c>
      <c r="E407" s="18" t="s">
        <v>98</v>
      </c>
      <c r="F407" s="18" t="s">
        <v>117</v>
      </c>
      <c r="G407" s="18" t="s">
        <v>41</v>
      </c>
      <c r="H407" s="18" t="s">
        <v>112</v>
      </c>
      <c r="I407" s="18" t="s">
        <v>56</v>
      </c>
      <c r="J407" s="18" t="s">
        <v>91</v>
      </c>
      <c r="K407" s="18">
        <v>5</v>
      </c>
      <c r="L407" s="20">
        <v>6201.43</v>
      </c>
      <c r="M407" s="21">
        <v>0.2</v>
      </c>
      <c r="N407" s="21">
        <v>0.720134315607317</v>
      </c>
      <c r="O407" s="20">
        <f t="shared" si="24"/>
        <v>24805.72</v>
      </c>
      <c r="P407" s="20">
        <f t="shared" si="25"/>
        <v>17863.450195346737</v>
      </c>
      <c r="Q407" s="20">
        <f t="shared" si="26"/>
        <v>6942.2698046532641</v>
      </c>
      <c r="R407" s="22">
        <f t="shared" si="27"/>
        <v>0.27986568439268295</v>
      </c>
    </row>
    <row r="408" spans="1:18">
      <c r="A408" s="18">
        <v>1407</v>
      </c>
      <c r="B408" s="19" t="s">
        <v>226</v>
      </c>
      <c r="C408" s="18">
        <v>2024</v>
      </c>
      <c r="D408" s="18" t="s">
        <v>48</v>
      </c>
      <c r="E408" s="18" t="s">
        <v>88</v>
      </c>
      <c r="F408" s="18" t="s">
        <v>110</v>
      </c>
      <c r="G408" s="18" t="s">
        <v>44</v>
      </c>
      <c r="H408" s="18" t="s">
        <v>95</v>
      </c>
      <c r="I408" s="18" t="s">
        <v>40</v>
      </c>
      <c r="J408" s="18" t="s">
        <v>82</v>
      </c>
      <c r="K408" s="18">
        <v>2</v>
      </c>
      <c r="L408" s="20">
        <v>4462.21</v>
      </c>
      <c r="M408" s="21">
        <v>0.15</v>
      </c>
      <c r="N408" s="21">
        <v>0.64653497010806904</v>
      </c>
      <c r="O408" s="20">
        <f t="shared" si="24"/>
        <v>7585.7569999999996</v>
      </c>
      <c r="P408" s="20">
        <f t="shared" si="25"/>
        <v>4904.4571752420752</v>
      </c>
      <c r="Q408" s="20">
        <f t="shared" si="26"/>
        <v>2681.2998247579244</v>
      </c>
      <c r="R408" s="22">
        <f t="shared" si="27"/>
        <v>0.35346502989193096</v>
      </c>
    </row>
    <row r="409" spans="1:18">
      <c r="A409" s="18">
        <v>1408</v>
      </c>
      <c r="B409" s="19" t="s">
        <v>226</v>
      </c>
      <c r="C409" s="18">
        <v>2024</v>
      </c>
      <c r="D409" s="18" t="s">
        <v>48</v>
      </c>
      <c r="E409" s="18" t="s">
        <v>85</v>
      </c>
      <c r="F409" s="18" t="s">
        <v>86</v>
      </c>
      <c r="G409" s="18" t="s">
        <v>50</v>
      </c>
      <c r="H409" s="18" t="s">
        <v>97</v>
      </c>
      <c r="I409" s="18" t="s">
        <v>62</v>
      </c>
      <c r="J409" s="18" t="s">
        <v>82</v>
      </c>
      <c r="K409" s="18">
        <v>11</v>
      </c>
      <c r="L409" s="20">
        <v>12455.94</v>
      </c>
      <c r="M409" s="21">
        <v>0.2</v>
      </c>
      <c r="N409" s="21">
        <v>0.74468891604507403</v>
      </c>
      <c r="O409" s="20">
        <f t="shared" si="24"/>
        <v>109612.272</v>
      </c>
      <c r="P409" s="20">
        <f t="shared" si="25"/>
        <v>81627.04402091782</v>
      </c>
      <c r="Q409" s="20">
        <f t="shared" si="26"/>
        <v>27985.227979082178</v>
      </c>
      <c r="R409" s="22">
        <f t="shared" si="27"/>
        <v>0.25531108395492597</v>
      </c>
    </row>
    <row r="410" spans="1:18">
      <c r="A410" s="18">
        <v>1409</v>
      </c>
      <c r="B410" s="19" t="s">
        <v>226</v>
      </c>
      <c r="C410" s="18">
        <v>2024</v>
      </c>
      <c r="D410" s="18" t="s">
        <v>48</v>
      </c>
      <c r="E410" s="18" t="s">
        <v>88</v>
      </c>
      <c r="F410" s="18" t="s">
        <v>89</v>
      </c>
      <c r="G410" s="18" t="s">
        <v>50</v>
      </c>
      <c r="H410" s="18" t="s">
        <v>83</v>
      </c>
      <c r="I410" s="18" t="s">
        <v>56</v>
      </c>
      <c r="J410" s="18" t="s">
        <v>91</v>
      </c>
      <c r="K410" s="18">
        <v>1</v>
      </c>
      <c r="L410" s="20">
        <v>3347.17</v>
      </c>
      <c r="M410" s="21">
        <v>0.2</v>
      </c>
      <c r="N410" s="21">
        <v>0.61284758897477398</v>
      </c>
      <c r="O410" s="20">
        <f t="shared" si="24"/>
        <v>2677.7360000000003</v>
      </c>
      <c r="P410" s="20">
        <f t="shared" si="25"/>
        <v>1641.0440515109556</v>
      </c>
      <c r="Q410" s="20">
        <f t="shared" si="26"/>
        <v>1036.6919484890448</v>
      </c>
      <c r="R410" s="22">
        <f t="shared" si="27"/>
        <v>0.38715241102522602</v>
      </c>
    </row>
    <row r="411" spans="1:18">
      <c r="A411" s="18">
        <v>1410</v>
      </c>
      <c r="B411" s="19" t="s">
        <v>226</v>
      </c>
      <c r="C411" s="18">
        <v>2024</v>
      </c>
      <c r="D411" s="18" t="s">
        <v>48</v>
      </c>
      <c r="E411" s="18" t="s">
        <v>88</v>
      </c>
      <c r="F411" s="18" t="s">
        <v>93</v>
      </c>
      <c r="G411" s="18" t="s">
        <v>47</v>
      </c>
      <c r="H411" s="18" t="s">
        <v>103</v>
      </c>
      <c r="I411" s="18" t="s">
        <v>60</v>
      </c>
      <c r="J411" s="18" t="s">
        <v>102</v>
      </c>
      <c r="K411" s="18">
        <v>12</v>
      </c>
      <c r="L411" s="20">
        <v>3237.84</v>
      </c>
      <c r="M411" s="21">
        <v>0.1</v>
      </c>
      <c r="N411" s="21">
        <v>0.68234265256919302</v>
      </c>
      <c r="O411" s="20">
        <f t="shared" si="24"/>
        <v>34968.672000000006</v>
      </c>
      <c r="P411" s="20">
        <f t="shared" si="25"/>
        <v>23860.616409302071</v>
      </c>
      <c r="Q411" s="20">
        <f t="shared" si="26"/>
        <v>11108.055590697935</v>
      </c>
      <c r="R411" s="22">
        <f t="shared" si="27"/>
        <v>0.31765734743080704</v>
      </c>
    </row>
    <row r="412" spans="1:18">
      <c r="A412" s="18">
        <v>1411</v>
      </c>
      <c r="B412" s="19" t="s">
        <v>226</v>
      </c>
      <c r="C412" s="18">
        <v>2024</v>
      </c>
      <c r="D412" s="18" t="s">
        <v>48</v>
      </c>
      <c r="E412" s="18" t="s">
        <v>88</v>
      </c>
      <c r="F412" s="18" t="s">
        <v>89</v>
      </c>
      <c r="G412" s="18" t="s">
        <v>47</v>
      </c>
      <c r="H412" s="18" t="s">
        <v>103</v>
      </c>
      <c r="I412" s="18" t="s">
        <v>56</v>
      </c>
      <c r="J412" s="18" t="s">
        <v>82</v>
      </c>
      <c r="K412" s="18">
        <v>9</v>
      </c>
      <c r="L412" s="20">
        <v>3325.46</v>
      </c>
      <c r="M412" s="21">
        <v>0.15</v>
      </c>
      <c r="N412" s="21">
        <v>0.56091322304553504</v>
      </c>
      <c r="O412" s="20">
        <f t="shared" si="24"/>
        <v>25439.769</v>
      </c>
      <c r="P412" s="20">
        <f t="shared" si="25"/>
        <v>14269.502823323888</v>
      </c>
      <c r="Q412" s="20">
        <f t="shared" si="26"/>
        <v>11170.266176676112</v>
      </c>
      <c r="R412" s="22">
        <f t="shared" si="27"/>
        <v>0.43908677695446496</v>
      </c>
    </row>
    <row r="413" spans="1:18">
      <c r="A413" s="18">
        <v>1412</v>
      </c>
      <c r="B413" s="19" t="s">
        <v>227</v>
      </c>
      <c r="C413" s="18">
        <v>2024</v>
      </c>
      <c r="D413" s="18" t="s">
        <v>48</v>
      </c>
      <c r="E413" s="18" t="s">
        <v>85</v>
      </c>
      <c r="F413" s="18" t="s">
        <v>121</v>
      </c>
      <c r="G413" s="18" t="s">
        <v>44</v>
      </c>
      <c r="H413" s="18" t="s">
        <v>119</v>
      </c>
      <c r="I413" s="18" t="s">
        <v>58</v>
      </c>
      <c r="J413" s="18" t="s">
        <v>91</v>
      </c>
      <c r="K413" s="18">
        <v>4</v>
      </c>
      <c r="L413" s="20">
        <v>6881.63</v>
      </c>
      <c r="M413" s="21">
        <v>0.05</v>
      </c>
      <c r="N413" s="21">
        <v>0.56007014290530899</v>
      </c>
      <c r="O413" s="20">
        <f t="shared" si="24"/>
        <v>26150.194</v>
      </c>
      <c r="P413" s="20">
        <f t="shared" si="25"/>
        <v>14645.942890581553</v>
      </c>
      <c r="Q413" s="20">
        <f t="shared" si="26"/>
        <v>11504.251109418447</v>
      </c>
      <c r="R413" s="22">
        <f t="shared" si="27"/>
        <v>0.43992985709469101</v>
      </c>
    </row>
    <row r="414" spans="1:18">
      <c r="A414" s="18">
        <v>1413</v>
      </c>
      <c r="B414" s="19" t="s">
        <v>227</v>
      </c>
      <c r="C414" s="18">
        <v>2024</v>
      </c>
      <c r="D414" s="18" t="s">
        <v>48</v>
      </c>
      <c r="E414" s="18" t="s">
        <v>88</v>
      </c>
      <c r="F414" s="18" t="s">
        <v>93</v>
      </c>
      <c r="G414" s="18" t="s">
        <v>50</v>
      </c>
      <c r="H414" s="18" t="s">
        <v>97</v>
      </c>
      <c r="I414" s="18" t="s">
        <v>49</v>
      </c>
      <c r="J414" s="18" t="s">
        <v>82</v>
      </c>
      <c r="K414" s="18">
        <v>8</v>
      </c>
      <c r="L414" s="20">
        <v>11933.03</v>
      </c>
      <c r="M414" s="21">
        <v>0.15</v>
      </c>
      <c r="N414" s="21">
        <v>0.63961971713307497</v>
      </c>
      <c r="O414" s="20">
        <f t="shared" si="24"/>
        <v>81144.604000000007</v>
      </c>
      <c r="P414" s="20">
        <f t="shared" si="25"/>
        <v>51901.688657355386</v>
      </c>
      <c r="Q414" s="20">
        <f t="shared" si="26"/>
        <v>29242.915342644621</v>
      </c>
      <c r="R414" s="22">
        <f t="shared" si="27"/>
        <v>0.36038028286692508</v>
      </c>
    </row>
    <row r="415" spans="1:18">
      <c r="A415" s="18">
        <v>1414</v>
      </c>
      <c r="B415" s="19" t="s">
        <v>227</v>
      </c>
      <c r="C415" s="18">
        <v>2024</v>
      </c>
      <c r="D415" s="18" t="s">
        <v>48</v>
      </c>
      <c r="E415" s="18" t="s">
        <v>85</v>
      </c>
      <c r="F415" s="18" t="s">
        <v>121</v>
      </c>
      <c r="G415" s="18" t="s">
        <v>47</v>
      </c>
      <c r="H415" s="18" t="s">
        <v>81</v>
      </c>
      <c r="I415" s="18" t="s">
        <v>58</v>
      </c>
      <c r="J415" s="18" t="s">
        <v>102</v>
      </c>
      <c r="K415" s="18">
        <v>11</v>
      </c>
      <c r="L415" s="20">
        <v>761.42</v>
      </c>
      <c r="M415" s="21">
        <v>0.1</v>
      </c>
      <c r="N415" s="21">
        <v>0.63246770953511</v>
      </c>
      <c r="O415" s="20">
        <f t="shared" si="24"/>
        <v>7538.0579999999991</v>
      </c>
      <c r="P415" s="20">
        <f t="shared" si="25"/>
        <v>4767.5782776028118</v>
      </c>
      <c r="Q415" s="20">
        <f t="shared" si="26"/>
        <v>2770.4797223971873</v>
      </c>
      <c r="R415" s="22">
        <f t="shared" si="27"/>
        <v>0.36753229046489</v>
      </c>
    </row>
    <row r="416" spans="1:18">
      <c r="A416" s="18">
        <v>1415</v>
      </c>
      <c r="B416" s="19" t="s">
        <v>228</v>
      </c>
      <c r="C416" s="18">
        <v>2024</v>
      </c>
      <c r="D416" s="18" t="s">
        <v>48</v>
      </c>
      <c r="E416" s="18" t="s">
        <v>79</v>
      </c>
      <c r="F416" s="18" t="s">
        <v>80</v>
      </c>
      <c r="G416" s="18" t="s">
        <v>47</v>
      </c>
      <c r="H416" s="18" t="s">
        <v>103</v>
      </c>
      <c r="I416" s="18" t="s">
        <v>60</v>
      </c>
      <c r="J416" s="18" t="s">
        <v>82</v>
      </c>
      <c r="K416" s="18">
        <v>11</v>
      </c>
      <c r="L416" s="20">
        <v>3254.87</v>
      </c>
      <c r="M416" s="21">
        <v>0.05</v>
      </c>
      <c r="N416" s="21">
        <v>0.62266849551396197</v>
      </c>
      <c r="O416" s="20">
        <f t="shared" si="24"/>
        <v>34013.391499999998</v>
      </c>
      <c r="P416" s="20">
        <f t="shared" si="25"/>
        <v>21179.067312632382</v>
      </c>
      <c r="Q416" s="20">
        <f t="shared" si="26"/>
        <v>12834.324187367616</v>
      </c>
      <c r="R416" s="22">
        <f t="shared" si="27"/>
        <v>0.37733150448603803</v>
      </c>
    </row>
    <row r="417" spans="1:18">
      <c r="A417" s="18">
        <v>1416</v>
      </c>
      <c r="B417" s="19" t="s">
        <v>228</v>
      </c>
      <c r="C417" s="18">
        <v>2024</v>
      </c>
      <c r="D417" s="18" t="s">
        <v>48</v>
      </c>
      <c r="E417" s="18" t="s">
        <v>79</v>
      </c>
      <c r="F417" s="18" t="s">
        <v>100</v>
      </c>
      <c r="G417" s="18" t="s">
        <v>50</v>
      </c>
      <c r="H417" s="18" t="s">
        <v>97</v>
      </c>
      <c r="I417" s="18" t="s">
        <v>60</v>
      </c>
      <c r="J417" s="18" t="s">
        <v>102</v>
      </c>
      <c r="K417" s="18">
        <v>10</v>
      </c>
      <c r="L417" s="20">
        <v>11967.76</v>
      </c>
      <c r="M417" s="21">
        <v>0.2</v>
      </c>
      <c r="N417" s="21">
        <v>0.62265890943395097</v>
      </c>
      <c r="O417" s="20">
        <f t="shared" si="24"/>
        <v>95742.080000000016</v>
      </c>
      <c r="P417" s="20">
        <f t="shared" si="25"/>
        <v>59614.659119738099</v>
      </c>
      <c r="Q417" s="20">
        <f t="shared" si="26"/>
        <v>36127.420880261918</v>
      </c>
      <c r="R417" s="22">
        <f t="shared" si="27"/>
        <v>0.37734109056604903</v>
      </c>
    </row>
    <row r="418" spans="1:18">
      <c r="A418" s="18">
        <v>1417</v>
      </c>
      <c r="B418" s="19" t="s">
        <v>229</v>
      </c>
      <c r="C418" s="18">
        <v>2024</v>
      </c>
      <c r="D418" s="18" t="s">
        <v>48</v>
      </c>
      <c r="E418" s="18" t="s">
        <v>79</v>
      </c>
      <c r="F418" s="18" t="s">
        <v>100</v>
      </c>
      <c r="G418" s="18" t="s">
        <v>44</v>
      </c>
      <c r="H418" s="18" t="s">
        <v>119</v>
      </c>
      <c r="I418" s="18" t="s">
        <v>54</v>
      </c>
      <c r="J418" s="18" t="s">
        <v>91</v>
      </c>
      <c r="K418" s="18">
        <v>11</v>
      </c>
      <c r="L418" s="20">
        <v>7325.1</v>
      </c>
      <c r="M418" s="21">
        <v>0.05</v>
      </c>
      <c r="N418" s="21">
        <v>0.65953811633882697</v>
      </c>
      <c r="O418" s="20">
        <f t="shared" si="24"/>
        <v>76547.294999999998</v>
      </c>
      <c r="P418" s="20">
        <f t="shared" si="25"/>
        <v>50485.858755132504</v>
      </c>
      <c r="Q418" s="20">
        <f t="shared" si="26"/>
        <v>26061.436244867495</v>
      </c>
      <c r="R418" s="22">
        <f t="shared" si="27"/>
        <v>0.34046188366117308</v>
      </c>
    </row>
    <row r="419" spans="1:18">
      <c r="A419" s="18">
        <v>1418</v>
      </c>
      <c r="B419" s="19" t="s">
        <v>229</v>
      </c>
      <c r="C419" s="18">
        <v>2024</v>
      </c>
      <c r="D419" s="18" t="s">
        <v>48</v>
      </c>
      <c r="E419" s="18" t="s">
        <v>98</v>
      </c>
      <c r="F419" s="18" t="s">
        <v>99</v>
      </c>
      <c r="G419" s="18" t="s">
        <v>41</v>
      </c>
      <c r="H419" s="18" t="s">
        <v>90</v>
      </c>
      <c r="I419" s="18" t="s">
        <v>46</v>
      </c>
      <c r="J419" s="18" t="s">
        <v>91</v>
      </c>
      <c r="K419" s="18">
        <v>3</v>
      </c>
      <c r="L419" s="20">
        <v>18579.310000000001</v>
      </c>
      <c r="M419" s="21">
        <v>0.2</v>
      </c>
      <c r="N419" s="21">
        <v>0.69431181909026296</v>
      </c>
      <c r="O419" s="20">
        <f t="shared" si="24"/>
        <v>44590.344000000012</v>
      </c>
      <c r="P419" s="20">
        <f t="shared" si="25"/>
        <v>30959.602856500602</v>
      </c>
      <c r="Q419" s="20">
        <f t="shared" si="26"/>
        <v>13630.74114349941</v>
      </c>
      <c r="R419" s="22">
        <f t="shared" si="27"/>
        <v>0.30568818090973704</v>
      </c>
    </row>
    <row r="420" spans="1:18">
      <c r="A420" s="18">
        <v>1419</v>
      </c>
      <c r="B420" s="19" t="s">
        <v>229</v>
      </c>
      <c r="C420" s="18">
        <v>2024</v>
      </c>
      <c r="D420" s="18" t="s">
        <v>48</v>
      </c>
      <c r="E420" s="18" t="s">
        <v>79</v>
      </c>
      <c r="F420" s="18" t="s">
        <v>105</v>
      </c>
      <c r="G420" s="18" t="s">
        <v>44</v>
      </c>
      <c r="H420" s="18" t="s">
        <v>119</v>
      </c>
      <c r="I420" s="18" t="s">
        <v>43</v>
      </c>
      <c r="J420" s="18" t="s">
        <v>91</v>
      </c>
      <c r="K420" s="18">
        <v>4</v>
      </c>
      <c r="L420" s="20">
        <v>6969.93</v>
      </c>
      <c r="M420" s="21">
        <v>0</v>
      </c>
      <c r="N420" s="21">
        <v>0.69335758289386895</v>
      </c>
      <c r="O420" s="20">
        <f t="shared" si="24"/>
        <v>27879.72</v>
      </c>
      <c r="P420" s="20">
        <f t="shared" si="25"/>
        <v>19330.615270957856</v>
      </c>
      <c r="Q420" s="20">
        <f t="shared" si="26"/>
        <v>8549.1047290421448</v>
      </c>
      <c r="R420" s="22">
        <f t="shared" si="27"/>
        <v>0.30664241710613105</v>
      </c>
    </row>
    <row r="421" spans="1:18">
      <c r="A421" s="18">
        <v>1420</v>
      </c>
      <c r="B421" s="19" t="s">
        <v>229</v>
      </c>
      <c r="C421" s="18">
        <v>2024</v>
      </c>
      <c r="D421" s="18" t="s">
        <v>48</v>
      </c>
      <c r="E421" s="18" t="s">
        <v>79</v>
      </c>
      <c r="F421" s="18" t="s">
        <v>105</v>
      </c>
      <c r="G421" s="18" t="s">
        <v>41</v>
      </c>
      <c r="H421" s="18" t="s">
        <v>90</v>
      </c>
      <c r="I421" s="18" t="s">
        <v>58</v>
      </c>
      <c r="J421" s="18" t="s">
        <v>91</v>
      </c>
      <c r="K421" s="18">
        <v>11</v>
      </c>
      <c r="L421" s="20">
        <v>18160.77</v>
      </c>
      <c r="M421" s="21">
        <v>0.15</v>
      </c>
      <c r="N421" s="21">
        <v>0.57692720288612698</v>
      </c>
      <c r="O421" s="20">
        <f t="shared" si="24"/>
        <v>169803.19949999999</v>
      </c>
      <c r="P421" s="20">
        <f t="shared" si="25"/>
        <v>97964.084928649987</v>
      </c>
      <c r="Q421" s="20">
        <f t="shared" si="26"/>
        <v>71839.114571350001</v>
      </c>
      <c r="R421" s="22">
        <f t="shared" si="27"/>
        <v>0.42307279711387302</v>
      </c>
    </row>
    <row r="422" spans="1:18">
      <c r="A422" s="18">
        <v>1421</v>
      </c>
      <c r="B422" s="19" t="s">
        <v>229</v>
      </c>
      <c r="C422" s="18">
        <v>2024</v>
      </c>
      <c r="D422" s="18" t="s">
        <v>48</v>
      </c>
      <c r="E422" s="18" t="s">
        <v>85</v>
      </c>
      <c r="F422" s="18" t="s">
        <v>86</v>
      </c>
      <c r="G422" s="18" t="s">
        <v>41</v>
      </c>
      <c r="H422" s="18" t="s">
        <v>112</v>
      </c>
      <c r="I422" s="18" t="s">
        <v>62</v>
      </c>
      <c r="J422" s="18" t="s">
        <v>91</v>
      </c>
      <c r="K422" s="18">
        <v>9</v>
      </c>
      <c r="L422" s="20">
        <v>6168.65</v>
      </c>
      <c r="M422" s="21">
        <v>0</v>
      </c>
      <c r="N422" s="21">
        <v>0.68836354252480603</v>
      </c>
      <c r="O422" s="20">
        <f t="shared" si="24"/>
        <v>55517.85</v>
      </c>
      <c r="P422" s="20">
        <f t="shared" si="25"/>
        <v>38216.463899360802</v>
      </c>
      <c r="Q422" s="20">
        <f t="shared" si="26"/>
        <v>17301.386100639196</v>
      </c>
      <c r="R422" s="22">
        <f t="shared" si="27"/>
        <v>0.31163645747519397</v>
      </c>
    </row>
    <row r="423" spans="1:18">
      <c r="A423" s="18">
        <v>1422</v>
      </c>
      <c r="B423" s="19" t="s">
        <v>230</v>
      </c>
      <c r="C423" s="18">
        <v>2024</v>
      </c>
      <c r="D423" s="18" t="s">
        <v>48</v>
      </c>
      <c r="E423" s="18" t="s">
        <v>88</v>
      </c>
      <c r="F423" s="18" t="s">
        <v>110</v>
      </c>
      <c r="G423" s="18" t="s">
        <v>50</v>
      </c>
      <c r="H423" s="18" t="s">
        <v>87</v>
      </c>
      <c r="I423" s="18" t="s">
        <v>62</v>
      </c>
      <c r="J423" s="18" t="s">
        <v>102</v>
      </c>
      <c r="K423" s="18">
        <v>6</v>
      </c>
      <c r="L423" s="20">
        <v>9503.9</v>
      </c>
      <c r="M423" s="21">
        <v>0.1</v>
      </c>
      <c r="N423" s="21">
        <v>0.63373294916674605</v>
      </c>
      <c r="O423" s="20">
        <f t="shared" si="24"/>
        <v>51321.06</v>
      </c>
      <c r="P423" s="20">
        <f t="shared" si="25"/>
        <v>32523.846708163521</v>
      </c>
      <c r="Q423" s="20">
        <f t="shared" si="26"/>
        <v>18797.213291836477</v>
      </c>
      <c r="R423" s="22">
        <f t="shared" si="27"/>
        <v>0.366267050833254</v>
      </c>
    </row>
    <row r="424" spans="1:18">
      <c r="A424" s="18">
        <v>1423</v>
      </c>
      <c r="B424" s="19" t="s">
        <v>230</v>
      </c>
      <c r="C424" s="18">
        <v>2024</v>
      </c>
      <c r="D424" s="18" t="s">
        <v>48</v>
      </c>
      <c r="E424" s="18" t="s">
        <v>88</v>
      </c>
      <c r="F424" s="18" t="s">
        <v>89</v>
      </c>
      <c r="G424" s="18" t="s">
        <v>50</v>
      </c>
      <c r="H424" s="18" t="s">
        <v>97</v>
      </c>
      <c r="I424" s="18" t="s">
        <v>52</v>
      </c>
      <c r="J424" s="18" t="s">
        <v>91</v>
      </c>
      <c r="K424" s="18">
        <v>3</v>
      </c>
      <c r="L424" s="20">
        <v>11565.82</v>
      </c>
      <c r="M424" s="21">
        <v>0.15</v>
      </c>
      <c r="N424" s="21">
        <v>0.69000285697942498</v>
      </c>
      <c r="O424" s="20">
        <f t="shared" si="24"/>
        <v>29492.840999999997</v>
      </c>
      <c r="P424" s="20">
        <f t="shared" si="25"/>
        <v>20350.14455043992</v>
      </c>
      <c r="Q424" s="20">
        <f t="shared" si="26"/>
        <v>9142.6964495600769</v>
      </c>
      <c r="R424" s="22">
        <f t="shared" si="27"/>
        <v>0.30999714302057502</v>
      </c>
    </row>
    <row r="425" spans="1:18">
      <c r="A425" s="18">
        <v>1424</v>
      </c>
      <c r="B425" s="19" t="s">
        <v>230</v>
      </c>
      <c r="C425" s="18">
        <v>2024</v>
      </c>
      <c r="D425" s="18" t="s">
        <v>48</v>
      </c>
      <c r="E425" s="18" t="s">
        <v>98</v>
      </c>
      <c r="F425" s="18" t="s">
        <v>99</v>
      </c>
      <c r="G425" s="18" t="s">
        <v>47</v>
      </c>
      <c r="H425" s="18" t="s">
        <v>103</v>
      </c>
      <c r="I425" s="18" t="s">
        <v>60</v>
      </c>
      <c r="J425" s="18" t="s">
        <v>102</v>
      </c>
      <c r="K425" s="18">
        <v>4</v>
      </c>
      <c r="L425" s="20">
        <v>3104.28</v>
      </c>
      <c r="M425" s="21">
        <v>0.15</v>
      </c>
      <c r="N425" s="21">
        <v>0.69287690712597905</v>
      </c>
      <c r="O425" s="20">
        <f t="shared" si="24"/>
        <v>10554.552</v>
      </c>
      <c r="P425" s="20">
        <f t="shared" si="25"/>
        <v>7313.0053458603161</v>
      </c>
      <c r="Q425" s="20">
        <f t="shared" si="26"/>
        <v>3241.5466541396836</v>
      </c>
      <c r="R425" s="22">
        <f t="shared" si="27"/>
        <v>0.30712309287402095</v>
      </c>
    </row>
    <row r="426" spans="1:18">
      <c r="A426" s="18">
        <v>1425</v>
      </c>
      <c r="B426" s="19" t="s">
        <v>231</v>
      </c>
      <c r="C426" s="18">
        <v>2024</v>
      </c>
      <c r="D426" s="18" t="s">
        <v>51</v>
      </c>
      <c r="E426" s="18" t="s">
        <v>88</v>
      </c>
      <c r="F426" s="18" t="s">
        <v>93</v>
      </c>
      <c r="G426" s="18" t="s">
        <v>44</v>
      </c>
      <c r="H426" s="18" t="s">
        <v>95</v>
      </c>
      <c r="I426" s="18" t="s">
        <v>60</v>
      </c>
      <c r="J426" s="18" t="s">
        <v>102</v>
      </c>
      <c r="K426" s="18">
        <v>11</v>
      </c>
      <c r="L426" s="20">
        <v>4420.07</v>
      </c>
      <c r="M426" s="21">
        <v>0</v>
      </c>
      <c r="N426" s="21">
        <v>0.70215500496661298</v>
      </c>
      <c r="O426" s="20">
        <f t="shared" si="24"/>
        <v>48620.77</v>
      </c>
      <c r="P426" s="20">
        <f t="shared" si="25"/>
        <v>34139.317000830546</v>
      </c>
      <c r="Q426" s="20">
        <f t="shared" si="26"/>
        <v>14481.452999169451</v>
      </c>
      <c r="R426" s="22">
        <f t="shared" si="27"/>
        <v>0.29784499503338702</v>
      </c>
    </row>
    <row r="427" spans="1:18">
      <c r="A427" s="18">
        <v>1426</v>
      </c>
      <c r="B427" s="19" t="s">
        <v>231</v>
      </c>
      <c r="C427" s="18">
        <v>2024</v>
      </c>
      <c r="D427" s="18" t="s">
        <v>51</v>
      </c>
      <c r="E427" s="18" t="s">
        <v>85</v>
      </c>
      <c r="F427" s="18" t="s">
        <v>94</v>
      </c>
      <c r="G427" s="18" t="s">
        <v>50</v>
      </c>
      <c r="H427" s="18" t="s">
        <v>87</v>
      </c>
      <c r="I427" s="18" t="s">
        <v>60</v>
      </c>
      <c r="J427" s="18" t="s">
        <v>91</v>
      </c>
      <c r="K427" s="18">
        <v>7</v>
      </c>
      <c r="L427" s="20">
        <v>9792.89</v>
      </c>
      <c r="M427" s="21">
        <v>0.15</v>
      </c>
      <c r="N427" s="21">
        <v>0.57129409316967805</v>
      </c>
      <c r="O427" s="20">
        <f t="shared" si="24"/>
        <v>58267.695499999994</v>
      </c>
      <c r="P427" s="20">
        <f t="shared" si="25"/>
        <v>33287.990261759427</v>
      </c>
      <c r="Q427" s="20">
        <f t="shared" si="26"/>
        <v>24979.705238240567</v>
      </c>
      <c r="R427" s="22">
        <f t="shared" si="27"/>
        <v>0.42870590683032195</v>
      </c>
    </row>
    <row r="428" spans="1:18">
      <c r="A428" s="18">
        <v>1427</v>
      </c>
      <c r="B428" s="19" t="s">
        <v>231</v>
      </c>
      <c r="C428" s="18">
        <v>2024</v>
      </c>
      <c r="D428" s="18" t="s">
        <v>51</v>
      </c>
      <c r="E428" s="18" t="s">
        <v>85</v>
      </c>
      <c r="F428" s="18" t="s">
        <v>86</v>
      </c>
      <c r="G428" s="18" t="s">
        <v>41</v>
      </c>
      <c r="H428" s="18" t="s">
        <v>90</v>
      </c>
      <c r="I428" s="18" t="s">
        <v>49</v>
      </c>
      <c r="J428" s="18" t="s">
        <v>91</v>
      </c>
      <c r="K428" s="18">
        <v>3</v>
      </c>
      <c r="L428" s="20">
        <v>18870.36</v>
      </c>
      <c r="M428" s="21">
        <v>0.2</v>
      </c>
      <c r="N428" s="21">
        <v>0.60011220149163702</v>
      </c>
      <c r="O428" s="20">
        <f t="shared" si="24"/>
        <v>45288.864000000001</v>
      </c>
      <c r="P428" s="20">
        <f t="shared" si="25"/>
        <v>27178.399878095348</v>
      </c>
      <c r="Q428" s="20">
        <f t="shared" si="26"/>
        <v>18110.464121904653</v>
      </c>
      <c r="R428" s="22">
        <f t="shared" si="27"/>
        <v>0.39988779850836298</v>
      </c>
    </row>
    <row r="429" spans="1:18">
      <c r="A429" s="18">
        <v>1428</v>
      </c>
      <c r="B429" s="19" t="s">
        <v>231</v>
      </c>
      <c r="C429" s="18">
        <v>2024</v>
      </c>
      <c r="D429" s="18" t="s">
        <v>51</v>
      </c>
      <c r="E429" s="18" t="s">
        <v>79</v>
      </c>
      <c r="F429" s="18" t="s">
        <v>80</v>
      </c>
      <c r="G429" s="18" t="s">
        <v>47</v>
      </c>
      <c r="H429" s="18" t="s">
        <v>81</v>
      </c>
      <c r="I429" s="18" t="s">
        <v>60</v>
      </c>
      <c r="J429" s="18" t="s">
        <v>82</v>
      </c>
      <c r="K429" s="18">
        <v>6</v>
      </c>
      <c r="L429" s="20">
        <v>825.12</v>
      </c>
      <c r="M429" s="21">
        <v>0</v>
      </c>
      <c r="N429" s="21">
        <v>0.67322176675205703</v>
      </c>
      <c r="O429" s="20">
        <f t="shared" si="24"/>
        <v>4950.72</v>
      </c>
      <c r="P429" s="20">
        <f t="shared" si="25"/>
        <v>3332.9324650947437</v>
      </c>
      <c r="Q429" s="20">
        <f t="shared" si="26"/>
        <v>1617.7875349052565</v>
      </c>
      <c r="R429" s="22">
        <f t="shared" si="27"/>
        <v>0.32677823324794303</v>
      </c>
    </row>
    <row r="430" spans="1:18">
      <c r="A430" s="18">
        <v>1429</v>
      </c>
      <c r="B430" s="19" t="s">
        <v>232</v>
      </c>
      <c r="C430" s="18">
        <v>2024</v>
      </c>
      <c r="D430" s="18" t="s">
        <v>51</v>
      </c>
      <c r="E430" s="18" t="s">
        <v>85</v>
      </c>
      <c r="F430" s="18" t="s">
        <v>86</v>
      </c>
      <c r="G430" s="18" t="s">
        <v>47</v>
      </c>
      <c r="H430" s="18" t="s">
        <v>103</v>
      </c>
      <c r="I430" s="18" t="s">
        <v>40</v>
      </c>
      <c r="J430" s="18" t="s">
        <v>91</v>
      </c>
      <c r="K430" s="18">
        <v>7</v>
      </c>
      <c r="L430" s="20">
        <v>3173.3</v>
      </c>
      <c r="M430" s="21">
        <v>0.2</v>
      </c>
      <c r="N430" s="21">
        <v>0.61253079617892703</v>
      </c>
      <c r="O430" s="20">
        <f t="shared" si="24"/>
        <v>17770.480000000003</v>
      </c>
      <c r="P430" s="20">
        <f t="shared" si="25"/>
        <v>10884.9662628817</v>
      </c>
      <c r="Q430" s="20">
        <f t="shared" si="26"/>
        <v>6885.5137371183027</v>
      </c>
      <c r="R430" s="22">
        <f t="shared" si="27"/>
        <v>0.38746920382107303</v>
      </c>
    </row>
    <row r="431" spans="1:18">
      <c r="A431" s="18">
        <v>1430</v>
      </c>
      <c r="B431" s="19" t="s">
        <v>232</v>
      </c>
      <c r="C431" s="18">
        <v>2024</v>
      </c>
      <c r="D431" s="18" t="s">
        <v>51</v>
      </c>
      <c r="E431" s="18" t="s">
        <v>79</v>
      </c>
      <c r="F431" s="18" t="s">
        <v>100</v>
      </c>
      <c r="G431" s="18" t="s">
        <v>47</v>
      </c>
      <c r="H431" s="18" t="s">
        <v>81</v>
      </c>
      <c r="I431" s="18" t="s">
        <v>62</v>
      </c>
      <c r="J431" s="18" t="s">
        <v>91</v>
      </c>
      <c r="K431" s="18">
        <v>4</v>
      </c>
      <c r="L431" s="20">
        <v>832.92</v>
      </c>
      <c r="M431" s="21">
        <v>0.2</v>
      </c>
      <c r="N431" s="21">
        <v>0.69190909064953399</v>
      </c>
      <c r="O431" s="20">
        <f t="shared" si="24"/>
        <v>2665.3440000000001</v>
      </c>
      <c r="P431" s="20">
        <f t="shared" si="25"/>
        <v>1844.1757433081916</v>
      </c>
      <c r="Q431" s="20">
        <f t="shared" si="26"/>
        <v>821.16825669180844</v>
      </c>
      <c r="R431" s="22">
        <f t="shared" si="27"/>
        <v>0.30809090935046601</v>
      </c>
    </row>
    <row r="432" spans="1:18">
      <c r="A432" s="18">
        <v>1431</v>
      </c>
      <c r="B432" s="19" t="s">
        <v>232</v>
      </c>
      <c r="C432" s="18">
        <v>2024</v>
      </c>
      <c r="D432" s="18" t="s">
        <v>51</v>
      </c>
      <c r="E432" s="18" t="s">
        <v>98</v>
      </c>
      <c r="F432" s="18" t="s">
        <v>99</v>
      </c>
      <c r="G432" s="18" t="s">
        <v>44</v>
      </c>
      <c r="H432" s="18" t="s">
        <v>95</v>
      </c>
      <c r="I432" s="18" t="s">
        <v>49</v>
      </c>
      <c r="J432" s="18" t="s">
        <v>91</v>
      </c>
      <c r="K432" s="18">
        <v>8</v>
      </c>
      <c r="L432" s="20">
        <v>4354.84</v>
      </c>
      <c r="M432" s="21">
        <v>0.2</v>
      </c>
      <c r="N432" s="21">
        <v>0.56489379880871904</v>
      </c>
      <c r="O432" s="20">
        <f t="shared" si="24"/>
        <v>27870.976000000002</v>
      </c>
      <c r="P432" s="20">
        <f t="shared" si="25"/>
        <v>15744.141509146639</v>
      </c>
      <c r="Q432" s="20">
        <f t="shared" si="26"/>
        <v>12126.834490853364</v>
      </c>
      <c r="R432" s="22">
        <f t="shared" si="27"/>
        <v>0.43510620119128096</v>
      </c>
    </row>
    <row r="433" spans="1:18">
      <c r="A433" s="18">
        <v>1432</v>
      </c>
      <c r="B433" s="19" t="s">
        <v>233</v>
      </c>
      <c r="C433" s="18">
        <v>2024</v>
      </c>
      <c r="D433" s="18" t="s">
        <v>51</v>
      </c>
      <c r="E433" s="18" t="s">
        <v>79</v>
      </c>
      <c r="F433" s="18" t="s">
        <v>105</v>
      </c>
      <c r="G433" s="18" t="s">
        <v>41</v>
      </c>
      <c r="H433" s="18" t="s">
        <v>112</v>
      </c>
      <c r="I433" s="18" t="s">
        <v>52</v>
      </c>
      <c r="J433" s="18" t="s">
        <v>102</v>
      </c>
      <c r="K433" s="18">
        <v>5</v>
      </c>
      <c r="L433" s="20">
        <v>5778.04</v>
      </c>
      <c r="M433" s="21">
        <v>0.15</v>
      </c>
      <c r="N433" s="21">
        <v>0.71920283921810402</v>
      </c>
      <c r="O433" s="20">
        <f t="shared" si="24"/>
        <v>24556.67</v>
      </c>
      <c r="P433" s="20">
        <f t="shared" si="25"/>
        <v>17661.226785742037</v>
      </c>
      <c r="Q433" s="20">
        <f t="shared" si="26"/>
        <v>6895.4432142579608</v>
      </c>
      <c r="R433" s="22">
        <f t="shared" si="27"/>
        <v>0.28079716078189598</v>
      </c>
    </row>
    <row r="434" spans="1:18">
      <c r="A434" s="18">
        <v>1433</v>
      </c>
      <c r="B434" s="19" t="s">
        <v>233</v>
      </c>
      <c r="C434" s="18">
        <v>2024</v>
      </c>
      <c r="D434" s="18" t="s">
        <v>51</v>
      </c>
      <c r="E434" s="18" t="s">
        <v>79</v>
      </c>
      <c r="F434" s="18" t="s">
        <v>105</v>
      </c>
      <c r="G434" s="18" t="s">
        <v>50</v>
      </c>
      <c r="H434" s="18" t="s">
        <v>87</v>
      </c>
      <c r="I434" s="18" t="s">
        <v>46</v>
      </c>
      <c r="J434" s="18" t="s">
        <v>82</v>
      </c>
      <c r="K434" s="18">
        <v>3</v>
      </c>
      <c r="L434" s="20">
        <v>9907.2000000000007</v>
      </c>
      <c r="M434" s="21">
        <v>0.15</v>
      </c>
      <c r="N434" s="21">
        <v>0.56017108823904505</v>
      </c>
      <c r="O434" s="20">
        <f t="shared" si="24"/>
        <v>25263.360000000001</v>
      </c>
      <c r="P434" s="20">
        <f t="shared" si="25"/>
        <v>14151.803863774761</v>
      </c>
      <c r="Q434" s="20">
        <f t="shared" si="26"/>
        <v>11111.556136225239</v>
      </c>
      <c r="R434" s="22">
        <f t="shared" si="27"/>
        <v>0.43982891176095495</v>
      </c>
    </row>
    <row r="435" spans="1:18">
      <c r="A435" s="18">
        <v>1434</v>
      </c>
      <c r="B435" s="19" t="s">
        <v>233</v>
      </c>
      <c r="C435" s="18">
        <v>2024</v>
      </c>
      <c r="D435" s="18" t="s">
        <v>51</v>
      </c>
      <c r="E435" s="18" t="s">
        <v>98</v>
      </c>
      <c r="F435" s="18" t="s">
        <v>109</v>
      </c>
      <c r="G435" s="18" t="s">
        <v>47</v>
      </c>
      <c r="H435" s="18" t="s">
        <v>81</v>
      </c>
      <c r="I435" s="18" t="s">
        <v>54</v>
      </c>
      <c r="J435" s="18" t="s">
        <v>102</v>
      </c>
      <c r="K435" s="18">
        <v>4</v>
      </c>
      <c r="L435" s="20">
        <v>836.56</v>
      </c>
      <c r="M435" s="21">
        <v>0.15</v>
      </c>
      <c r="N435" s="21">
        <v>0.56363529382088495</v>
      </c>
      <c r="O435" s="20">
        <f t="shared" si="24"/>
        <v>2844.3039999999996</v>
      </c>
      <c r="P435" s="20">
        <f t="shared" si="25"/>
        <v>1603.1501207559181</v>
      </c>
      <c r="Q435" s="20">
        <f t="shared" si="26"/>
        <v>1241.1538792440815</v>
      </c>
      <c r="R435" s="22">
        <f t="shared" si="27"/>
        <v>0.43636470617911505</v>
      </c>
    </row>
    <row r="436" spans="1:18">
      <c r="A436" s="18">
        <v>1435</v>
      </c>
      <c r="B436" s="19" t="s">
        <v>234</v>
      </c>
      <c r="C436" s="18">
        <v>2024</v>
      </c>
      <c r="D436" s="18" t="s">
        <v>51</v>
      </c>
      <c r="E436" s="18" t="s">
        <v>85</v>
      </c>
      <c r="F436" s="18" t="s">
        <v>94</v>
      </c>
      <c r="G436" s="18" t="s">
        <v>50</v>
      </c>
      <c r="H436" s="18" t="s">
        <v>83</v>
      </c>
      <c r="I436" s="18" t="s">
        <v>54</v>
      </c>
      <c r="J436" s="18" t="s">
        <v>82</v>
      </c>
      <c r="K436" s="18">
        <v>4</v>
      </c>
      <c r="L436" s="20">
        <v>3557.17</v>
      </c>
      <c r="M436" s="21">
        <v>0.05</v>
      </c>
      <c r="N436" s="21">
        <v>0.62215956493254698</v>
      </c>
      <c r="O436" s="20">
        <f t="shared" si="24"/>
        <v>13517.245999999999</v>
      </c>
      <c r="P436" s="20">
        <f t="shared" si="25"/>
        <v>8409.88389044621</v>
      </c>
      <c r="Q436" s="20">
        <f t="shared" si="26"/>
        <v>5107.3621095537892</v>
      </c>
      <c r="R436" s="22">
        <f t="shared" si="27"/>
        <v>0.37784043506745307</v>
      </c>
    </row>
    <row r="437" spans="1:18">
      <c r="A437" s="18">
        <v>1436</v>
      </c>
      <c r="B437" s="19" t="s">
        <v>234</v>
      </c>
      <c r="C437" s="18">
        <v>2024</v>
      </c>
      <c r="D437" s="18" t="s">
        <v>51</v>
      </c>
      <c r="E437" s="18" t="s">
        <v>88</v>
      </c>
      <c r="F437" s="18" t="s">
        <v>93</v>
      </c>
      <c r="G437" s="18" t="s">
        <v>50</v>
      </c>
      <c r="H437" s="18" t="s">
        <v>87</v>
      </c>
      <c r="I437" s="18" t="s">
        <v>40</v>
      </c>
      <c r="J437" s="18" t="s">
        <v>82</v>
      </c>
      <c r="K437" s="18">
        <v>11</v>
      </c>
      <c r="L437" s="20">
        <v>9353.7099999999991</v>
      </c>
      <c r="M437" s="21">
        <v>0</v>
      </c>
      <c r="N437" s="21">
        <v>0.73089929169753798</v>
      </c>
      <c r="O437" s="20">
        <f t="shared" si="24"/>
        <v>102890.81</v>
      </c>
      <c r="P437" s="20">
        <f t="shared" si="25"/>
        <v>75202.820151185952</v>
      </c>
      <c r="Q437" s="20">
        <f t="shared" si="26"/>
        <v>27687.989848814046</v>
      </c>
      <c r="R437" s="22">
        <f t="shared" si="27"/>
        <v>0.26910070830246208</v>
      </c>
    </row>
    <row r="438" spans="1:18">
      <c r="A438" s="18">
        <v>1437</v>
      </c>
      <c r="B438" s="19" t="s">
        <v>234</v>
      </c>
      <c r="C438" s="18">
        <v>2024</v>
      </c>
      <c r="D438" s="18" t="s">
        <v>51</v>
      </c>
      <c r="E438" s="18" t="s">
        <v>88</v>
      </c>
      <c r="F438" s="18" t="s">
        <v>110</v>
      </c>
      <c r="G438" s="18" t="s">
        <v>47</v>
      </c>
      <c r="H438" s="18" t="s">
        <v>107</v>
      </c>
      <c r="I438" s="18" t="s">
        <v>43</v>
      </c>
      <c r="J438" s="18" t="s">
        <v>91</v>
      </c>
      <c r="K438" s="18">
        <v>5</v>
      </c>
      <c r="L438" s="20">
        <v>2208.85</v>
      </c>
      <c r="M438" s="21">
        <v>0.05</v>
      </c>
      <c r="N438" s="21">
        <v>0.554941145943606</v>
      </c>
      <c r="O438" s="20">
        <f t="shared" si="24"/>
        <v>10492.0375</v>
      </c>
      <c r="P438" s="20">
        <f t="shared" si="25"/>
        <v>5822.463313533287</v>
      </c>
      <c r="Q438" s="20">
        <f t="shared" si="26"/>
        <v>4669.5741864667134</v>
      </c>
      <c r="R438" s="22">
        <f t="shared" si="27"/>
        <v>0.445058854056394</v>
      </c>
    </row>
    <row r="439" spans="1:18">
      <c r="A439" s="18">
        <v>1438</v>
      </c>
      <c r="B439" s="19" t="s">
        <v>235</v>
      </c>
      <c r="C439" s="18">
        <v>2024</v>
      </c>
      <c r="D439" s="18" t="s">
        <v>51</v>
      </c>
      <c r="E439" s="18" t="s">
        <v>85</v>
      </c>
      <c r="F439" s="18" t="s">
        <v>121</v>
      </c>
      <c r="G439" s="18" t="s">
        <v>41</v>
      </c>
      <c r="H439" s="18" t="s">
        <v>106</v>
      </c>
      <c r="I439" s="18" t="s">
        <v>49</v>
      </c>
      <c r="J439" s="18" t="s">
        <v>91</v>
      </c>
      <c r="K439" s="18">
        <v>9</v>
      </c>
      <c r="L439" s="20">
        <v>2395.59</v>
      </c>
      <c r="M439" s="21">
        <v>0</v>
      </c>
      <c r="N439" s="21">
        <v>0.58347896184269898</v>
      </c>
      <c r="O439" s="20">
        <f t="shared" si="24"/>
        <v>21560.31</v>
      </c>
      <c r="P439" s="20">
        <f t="shared" si="25"/>
        <v>12579.987295806763</v>
      </c>
      <c r="Q439" s="20">
        <f t="shared" si="26"/>
        <v>8980.3227041932387</v>
      </c>
      <c r="R439" s="22">
        <f t="shared" si="27"/>
        <v>0.41652103815730102</v>
      </c>
    </row>
    <row r="440" spans="1:18">
      <c r="A440" s="18">
        <v>1439</v>
      </c>
      <c r="B440" s="19" t="s">
        <v>235</v>
      </c>
      <c r="C440" s="18">
        <v>2024</v>
      </c>
      <c r="D440" s="18" t="s">
        <v>51</v>
      </c>
      <c r="E440" s="18" t="s">
        <v>79</v>
      </c>
      <c r="F440" s="18" t="s">
        <v>80</v>
      </c>
      <c r="G440" s="18" t="s">
        <v>41</v>
      </c>
      <c r="H440" s="18" t="s">
        <v>101</v>
      </c>
      <c r="I440" s="18" t="s">
        <v>49</v>
      </c>
      <c r="J440" s="18" t="s">
        <v>102</v>
      </c>
      <c r="K440" s="18">
        <v>7</v>
      </c>
      <c r="L440" s="20">
        <v>56846.16</v>
      </c>
      <c r="M440" s="21">
        <v>0</v>
      </c>
      <c r="N440" s="21">
        <v>0.657550842804832</v>
      </c>
      <c r="O440" s="20">
        <f t="shared" si="24"/>
        <v>397923.12</v>
      </c>
      <c r="P440" s="20">
        <f t="shared" si="25"/>
        <v>261654.68292752831</v>
      </c>
      <c r="Q440" s="20">
        <f t="shared" si="26"/>
        <v>136268.43707247169</v>
      </c>
      <c r="R440" s="22">
        <f t="shared" si="27"/>
        <v>0.342449157195168</v>
      </c>
    </row>
    <row r="441" spans="1:18">
      <c r="A441" s="18">
        <v>1440</v>
      </c>
      <c r="B441" s="19" t="s">
        <v>235</v>
      </c>
      <c r="C441" s="18">
        <v>2024</v>
      </c>
      <c r="D441" s="18" t="s">
        <v>51</v>
      </c>
      <c r="E441" s="18" t="s">
        <v>85</v>
      </c>
      <c r="F441" s="18" t="s">
        <v>94</v>
      </c>
      <c r="G441" s="18" t="s">
        <v>41</v>
      </c>
      <c r="H441" s="18" t="s">
        <v>101</v>
      </c>
      <c r="I441" s="18" t="s">
        <v>40</v>
      </c>
      <c r="J441" s="18" t="s">
        <v>91</v>
      </c>
      <c r="K441" s="18">
        <v>12</v>
      </c>
      <c r="L441" s="20">
        <v>54074.43</v>
      </c>
      <c r="M441" s="21">
        <v>0</v>
      </c>
      <c r="N441" s="21">
        <v>0.56464960583190305</v>
      </c>
      <c r="O441" s="20">
        <f t="shared" si="24"/>
        <v>648893.16</v>
      </c>
      <c r="P441" s="20">
        <f t="shared" si="25"/>
        <v>366397.26702101802</v>
      </c>
      <c r="Q441" s="20">
        <f t="shared" si="26"/>
        <v>282495.89297898201</v>
      </c>
      <c r="R441" s="22">
        <f t="shared" si="27"/>
        <v>0.43535039416809695</v>
      </c>
    </row>
    <row r="442" spans="1:18">
      <c r="A442" s="18">
        <v>1441</v>
      </c>
      <c r="B442" s="19" t="s">
        <v>235</v>
      </c>
      <c r="C442" s="18">
        <v>2024</v>
      </c>
      <c r="D442" s="18" t="s">
        <v>51</v>
      </c>
      <c r="E442" s="18" t="s">
        <v>88</v>
      </c>
      <c r="F442" s="18" t="s">
        <v>89</v>
      </c>
      <c r="G442" s="18" t="s">
        <v>41</v>
      </c>
      <c r="H442" s="18" t="s">
        <v>101</v>
      </c>
      <c r="I442" s="18" t="s">
        <v>52</v>
      </c>
      <c r="J442" s="18" t="s">
        <v>91</v>
      </c>
      <c r="K442" s="18">
        <v>7</v>
      </c>
      <c r="L442" s="20">
        <v>54731.19</v>
      </c>
      <c r="M442" s="21">
        <v>0.1</v>
      </c>
      <c r="N442" s="21">
        <v>0.63660500692785404</v>
      </c>
      <c r="O442" s="20">
        <f t="shared" si="24"/>
        <v>344806.49700000003</v>
      </c>
      <c r="P442" s="20">
        <f t="shared" si="25"/>
        <v>219505.54241145411</v>
      </c>
      <c r="Q442" s="20">
        <f t="shared" si="26"/>
        <v>125300.95458854592</v>
      </c>
      <c r="R442" s="22">
        <f t="shared" si="27"/>
        <v>0.36339499307214596</v>
      </c>
    </row>
    <row r="443" spans="1:18">
      <c r="A443" s="18">
        <v>1442</v>
      </c>
      <c r="B443" s="19" t="s">
        <v>236</v>
      </c>
      <c r="C443" s="18">
        <v>2024</v>
      </c>
      <c r="D443" s="18" t="s">
        <v>51</v>
      </c>
      <c r="E443" s="18" t="s">
        <v>85</v>
      </c>
      <c r="F443" s="18" t="s">
        <v>94</v>
      </c>
      <c r="G443" s="18" t="s">
        <v>41</v>
      </c>
      <c r="H443" s="18" t="s">
        <v>90</v>
      </c>
      <c r="I443" s="18" t="s">
        <v>62</v>
      </c>
      <c r="J443" s="18" t="s">
        <v>82</v>
      </c>
      <c r="K443" s="18">
        <v>12</v>
      </c>
      <c r="L443" s="20">
        <v>18154.09</v>
      </c>
      <c r="M443" s="21">
        <v>0.2</v>
      </c>
      <c r="N443" s="21">
        <v>0.71965024780122899</v>
      </c>
      <c r="O443" s="20">
        <f t="shared" si="24"/>
        <v>174279.26400000002</v>
      </c>
      <c r="P443" s="20">
        <f t="shared" si="25"/>
        <v>125420.11552421583</v>
      </c>
      <c r="Q443" s="20">
        <f t="shared" si="26"/>
        <v>48859.148475784197</v>
      </c>
      <c r="R443" s="22">
        <f t="shared" si="27"/>
        <v>0.28034975219877101</v>
      </c>
    </row>
    <row r="444" spans="1:18">
      <c r="A444" s="18">
        <v>1443</v>
      </c>
      <c r="B444" s="19" t="s">
        <v>236</v>
      </c>
      <c r="C444" s="18">
        <v>2024</v>
      </c>
      <c r="D444" s="18" t="s">
        <v>51</v>
      </c>
      <c r="E444" s="18" t="s">
        <v>98</v>
      </c>
      <c r="F444" s="18" t="s">
        <v>99</v>
      </c>
      <c r="G444" s="18" t="s">
        <v>41</v>
      </c>
      <c r="H444" s="18" t="s">
        <v>106</v>
      </c>
      <c r="I444" s="18" t="s">
        <v>52</v>
      </c>
      <c r="J444" s="18" t="s">
        <v>102</v>
      </c>
      <c r="K444" s="18">
        <v>2</v>
      </c>
      <c r="L444" s="20">
        <v>2445.38</v>
      </c>
      <c r="M444" s="21">
        <v>0.1</v>
      </c>
      <c r="N444" s="21">
        <v>0.62628271489607301</v>
      </c>
      <c r="O444" s="20">
        <f t="shared" si="24"/>
        <v>4401.6840000000002</v>
      </c>
      <c r="P444" s="20">
        <f t="shared" si="25"/>
        <v>2756.6986056346063</v>
      </c>
      <c r="Q444" s="20">
        <f t="shared" si="26"/>
        <v>1644.9853943653939</v>
      </c>
      <c r="R444" s="22">
        <f t="shared" si="27"/>
        <v>0.37371728510392699</v>
      </c>
    </row>
    <row r="445" spans="1:18">
      <c r="A445" s="18">
        <v>1444</v>
      </c>
      <c r="B445" s="19" t="s">
        <v>237</v>
      </c>
      <c r="C445" s="18">
        <v>2024</v>
      </c>
      <c r="D445" s="18" t="s">
        <v>51</v>
      </c>
      <c r="E445" s="18" t="s">
        <v>85</v>
      </c>
      <c r="F445" s="18" t="s">
        <v>86</v>
      </c>
      <c r="G445" s="18" t="s">
        <v>44</v>
      </c>
      <c r="H445" s="18" t="s">
        <v>119</v>
      </c>
      <c r="I445" s="18" t="s">
        <v>56</v>
      </c>
      <c r="J445" s="18" t="s">
        <v>102</v>
      </c>
      <c r="K445" s="18">
        <v>5</v>
      </c>
      <c r="L445" s="20">
        <v>7322.09</v>
      </c>
      <c r="M445" s="21">
        <v>0</v>
      </c>
      <c r="N445" s="21">
        <v>0.609611300643219</v>
      </c>
      <c r="O445" s="20">
        <f t="shared" si="24"/>
        <v>36610.449999999997</v>
      </c>
      <c r="P445" s="20">
        <f t="shared" si="25"/>
        <v>22318.144041633535</v>
      </c>
      <c r="Q445" s="20">
        <f t="shared" si="26"/>
        <v>14292.305958366462</v>
      </c>
      <c r="R445" s="22">
        <f t="shared" si="27"/>
        <v>0.390388699356781</v>
      </c>
    </row>
    <row r="446" spans="1:18">
      <c r="A446" s="18">
        <v>1445</v>
      </c>
      <c r="B446" s="19" t="s">
        <v>237</v>
      </c>
      <c r="C446" s="18">
        <v>2024</v>
      </c>
      <c r="D446" s="18" t="s">
        <v>51</v>
      </c>
      <c r="E446" s="18" t="s">
        <v>98</v>
      </c>
      <c r="F446" s="18" t="s">
        <v>117</v>
      </c>
      <c r="G446" s="18" t="s">
        <v>44</v>
      </c>
      <c r="H446" s="18" t="s">
        <v>119</v>
      </c>
      <c r="I446" s="18" t="s">
        <v>40</v>
      </c>
      <c r="J446" s="18" t="s">
        <v>82</v>
      </c>
      <c r="K446" s="18">
        <v>10</v>
      </c>
      <c r="L446" s="20">
        <v>7067.66</v>
      </c>
      <c r="M446" s="21">
        <v>0.15</v>
      </c>
      <c r="N446" s="21">
        <v>0.65950509003844804</v>
      </c>
      <c r="O446" s="20">
        <f t="shared" si="24"/>
        <v>60075.11</v>
      </c>
      <c r="P446" s="20">
        <f t="shared" si="25"/>
        <v>39619.840829619672</v>
      </c>
      <c r="Q446" s="20">
        <f t="shared" si="26"/>
        <v>20455.269170380328</v>
      </c>
      <c r="R446" s="22">
        <f t="shared" si="27"/>
        <v>0.34049490996155196</v>
      </c>
    </row>
    <row r="447" spans="1:18">
      <c r="A447" s="18">
        <v>1446</v>
      </c>
      <c r="B447" s="19" t="s">
        <v>238</v>
      </c>
      <c r="C447" s="18">
        <v>2024</v>
      </c>
      <c r="D447" s="18" t="s">
        <v>51</v>
      </c>
      <c r="E447" s="18" t="s">
        <v>98</v>
      </c>
      <c r="F447" s="18" t="s">
        <v>117</v>
      </c>
      <c r="G447" s="18" t="s">
        <v>47</v>
      </c>
      <c r="H447" s="18" t="s">
        <v>81</v>
      </c>
      <c r="I447" s="18" t="s">
        <v>56</v>
      </c>
      <c r="J447" s="18" t="s">
        <v>102</v>
      </c>
      <c r="K447" s="18">
        <v>9</v>
      </c>
      <c r="L447" s="20">
        <v>771.4</v>
      </c>
      <c r="M447" s="21">
        <v>0</v>
      </c>
      <c r="N447" s="21">
        <v>0.59415759387148204</v>
      </c>
      <c r="O447" s="20">
        <f t="shared" si="24"/>
        <v>6942.5999999999995</v>
      </c>
      <c r="P447" s="20">
        <f t="shared" si="25"/>
        <v>4124.9985112121512</v>
      </c>
      <c r="Q447" s="20">
        <f t="shared" si="26"/>
        <v>2817.6014887878482</v>
      </c>
      <c r="R447" s="22">
        <f t="shared" si="27"/>
        <v>0.40584240612851791</v>
      </c>
    </row>
    <row r="448" spans="1:18">
      <c r="A448" s="18">
        <v>1447</v>
      </c>
      <c r="B448" s="19" t="s">
        <v>238</v>
      </c>
      <c r="C448" s="18">
        <v>2024</v>
      </c>
      <c r="D448" s="18" t="s">
        <v>51</v>
      </c>
      <c r="E448" s="18" t="s">
        <v>98</v>
      </c>
      <c r="F448" s="18" t="s">
        <v>117</v>
      </c>
      <c r="G448" s="18" t="s">
        <v>41</v>
      </c>
      <c r="H448" s="18" t="s">
        <v>101</v>
      </c>
      <c r="I448" s="18" t="s">
        <v>62</v>
      </c>
      <c r="J448" s="18" t="s">
        <v>82</v>
      </c>
      <c r="K448" s="18">
        <v>9</v>
      </c>
      <c r="L448" s="20">
        <v>54786.96</v>
      </c>
      <c r="M448" s="21">
        <v>0.15</v>
      </c>
      <c r="N448" s="21">
        <v>0.56462891443171004</v>
      </c>
      <c r="O448" s="20">
        <f t="shared" si="24"/>
        <v>419120.24400000001</v>
      </c>
      <c r="P448" s="20">
        <f t="shared" si="25"/>
        <v>236647.40838607342</v>
      </c>
      <c r="Q448" s="20">
        <f t="shared" si="26"/>
        <v>182472.83561392658</v>
      </c>
      <c r="R448" s="22">
        <f t="shared" si="27"/>
        <v>0.43537108556828996</v>
      </c>
    </row>
    <row r="449" spans="1:18">
      <c r="A449" s="18">
        <v>1448</v>
      </c>
      <c r="B449" s="19" t="s">
        <v>239</v>
      </c>
      <c r="C449" s="18">
        <v>2024</v>
      </c>
      <c r="D449" s="18" t="s">
        <v>51</v>
      </c>
      <c r="E449" s="18" t="s">
        <v>98</v>
      </c>
      <c r="F449" s="18" t="s">
        <v>117</v>
      </c>
      <c r="G449" s="18" t="s">
        <v>44</v>
      </c>
      <c r="H449" s="18" t="s">
        <v>95</v>
      </c>
      <c r="I449" s="18" t="s">
        <v>62</v>
      </c>
      <c r="J449" s="18" t="s">
        <v>91</v>
      </c>
      <c r="K449" s="18">
        <v>6</v>
      </c>
      <c r="L449" s="20">
        <v>4435.71</v>
      </c>
      <c r="M449" s="21">
        <v>0.2</v>
      </c>
      <c r="N449" s="21">
        <v>0.68109459613939105</v>
      </c>
      <c r="O449" s="20">
        <f t="shared" si="24"/>
        <v>21291.408000000003</v>
      </c>
      <c r="P449" s="20">
        <f t="shared" si="25"/>
        <v>14501.462932999002</v>
      </c>
      <c r="Q449" s="20">
        <f t="shared" si="26"/>
        <v>6789.945067001001</v>
      </c>
      <c r="R449" s="22">
        <f t="shared" si="27"/>
        <v>0.31890540386060895</v>
      </c>
    </row>
    <row r="450" spans="1:18">
      <c r="A450" s="18">
        <v>1449</v>
      </c>
      <c r="B450" s="19" t="s">
        <v>239</v>
      </c>
      <c r="C450" s="18">
        <v>2024</v>
      </c>
      <c r="D450" s="18" t="s">
        <v>51</v>
      </c>
      <c r="E450" s="18" t="s">
        <v>79</v>
      </c>
      <c r="F450" s="18" t="s">
        <v>105</v>
      </c>
      <c r="G450" s="18" t="s">
        <v>41</v>
      </c>
      <c r="H450" s="18" t="s">
        <v>101</v>
      </c>
      <c r="I450" s="18" t="s">
        <v>54</v>
      </c>
      <c r="J450" s="18" t="s">
        <v>91</v>
      </c>
      <c r="K450" s="18">
        <v>8</v>
      </c>
      <c r="L450" s="20">
        <v>54055.9</v>
      </c>
      <c r="M450" s="21">
        <v>0.2</v>
      </c>
      <c r="N450" s="21">
        <v>0.61113509788134401</v>
      </c>
      <c r="O450" s="20">
        <f t="shared" ref="O450:O513" si="28">K450*L450*(1-M450)</f>
        <v>345957.76</v>
      </c>
      <c r="P450" s="20">
        <f t="shared" ref="P450:P513" si="29">O450*N450</f>
        <v>211426.92952041051</v>
      </c>
      <c r="Q450" s="20">
        <f t="shared" ref="Q450:Q513" si="30">O450-P450</f>
        <v>134530.83047958949</v>
      </c>
      <c r="R450" s="22">
        <f t="shared" ref="R450:R513" si="31">IF(O450=0,0,Q450/O450)</f>
        <v>0.38886490211865604</v>
      </c>
    </row>
    <row r="451" spans="1:18">
      <c r="A451" s="18">
        <v>1450</v>
      </c>
      <c r="B451" s="19" t="s">
        <v>240</v>
      </c>
      <c r="C451" s="18">
        <v>2024</v>
      </c>
      <c r="D451" s="18" t="s">
        <v>51</v>
      </c>
      <c r="E451" s="18" t="s">
        <v>98</v>
      </c>
      <c r="F451" s="18" t="s">
        <v>109</v>
      </c>
      <c r="G451" s="18" t="s">
        <v>50</v>
      </c>
      <c r="H451" s="18" t="s">
        <v>83</v>
      </c>
      <c r="I451" s="18" t="s">
        <v>40</v>
      </c>
      <c r="J451" s="18" t="s">
        <v>91</v>
      </c>
      <c r="K451" s="18">
        <v>4</v>
      </c>
      <c r="L451" s="20">
        <v>3599.98</v>
      </c>
      <c r="M451" s="21">
        <v>0.2</v>
      </c>
      <c r="N451" s="21">
        <v>0.69796324318772296</v>
      </c>
      <c r="O451" s="20">
        <f t="shared" si="28"/>
        <v>11519.936000000002</v>
      </c>
      <c r="P451" s="20">
        <f t="shared" si="29"/>
        <v>8040.4918918750054</v>
      </c>
      <c r="Q451" s="20">
        <f t="shared" si="30"/>
        <v>3479.4441081249961</v>
      </c>
      <c r="R451" s="22">
        <f t="shared" si="31"/>
        <v>0.30203675681227704</v>
      </c>
    </row>
    <row r="452" spans="1:18">
      <c r="A452" s="18">
        <v>1451</v>
      </c>
      <c r="B452" s="19" t="s">
        <v>240</v>
      </c>
      <c r="C452" s="18">
        <v>2024</v>
      </c>
      <c r="D452" s="18" t="s">
        <v>51</v>
      </c>
      <c r="E452" s="18" t="s">
        <v>85</v>
      </c>
      <c r="F452" s="18" t="s">
        <v>121</v>
      </c>
      <c r="G452" s="18" t="s">
        <v>47</v>
      </c>
      <c r="H452" s="18" t="s">
        <v>81</v>
      </c>
      <c r="I452" s="18" t="s">
        <v>54</v>
      </c>
      <c r="J452" s="18" t="s">
        <v>91</v>
      </c>
      <c r="K452" s="18">
        <v>8</v>
      </c>
      <c r="L452" s="20">
        <v>795.63</v>
      </c>
      <c r="M452" s="21">
        <v>0.05</v>
      </c>
      <c r="N452" s="21">
        <v>0.64739427648733805</v>
      </c>
      <c r="O452" s="20">
        <f t="shared" si="28"/>
        <v>6046.7879999999996</v>
      </c>
      <c r="P452" s="20">
        <f t="shared" si="29"/>
        <v>3914.6559423323174</v>
      </c>
      <c r="Q452" s="20">
        <f t="shared" si="30"/>
        <v>2132.1320576676821</v>
      </c>
      <c r="R452" s="22">
        <f t="shared" si="31"/>
        <v>0.35260572351266201</v>
      </c>
    </row>
    <row r="453" spans="1:18">
      <c r="A453" s="18">
        <v>1452</v>
      </c>
      <c r="B453" s="19" t="s">
        <v>240</v>
      </c>
      <c r="C453" s="18">
        <v>2024</v>
      </c>
      <c r="D453" s="18" t="s">
        <v>51</v>
      </c>
      <c r="E453" s="18" t="s">
        <v>79</v>
      </c>
      <c r="F453" s="18" t="s">
        <v>100</v>
      </c>
      <c r="G453" s="18" t="s">
        <v>41</v>
      </c>
      <c r="H453" s="18" t="s">
        <v>106</v>
      </c>
      <c r="I453" s="18" t="s">
        <v>46</v>
      </c>
      <c r="J453" s="18" t="s">
        <v>102</v>
      </c>
      <c r="K453" s="18">
        <v>4</v>
      </c>
      <c r="L453" s="20">
        <v>2440.81</v>
      </c>
      <c r="M453" s="21">
        <v>0.2</v>
      </c>
      <c r="N453" s="21">
        <v>0.56529247571144303</v>
      </c>
      <c r="O453" s="20">
        <f t="shared" si="28"/>
        <v>7810.5920000000006</v>
      </c>
      <c r="P453" s="20">
        <f t="shared" si="29"/>
        <v>4415.2688884519912</v>
      </c>
      <c r="Q453" s="20">
        <f t="shared" si="30"/>
        <v>3395.3231115480094</v>
      </c>
      <c r="R453" s="22">
        <f t="shared" si="31"/>
        <v>0.43470752428855702</v>
      </c>
    </row>
    <row r="454" spans="1:18">
      <c r="A454" s="18">
        <v>1453</v>
      </c>
      <c r="B454" s="19" t="s">
        <v>241</v>
      </c>
      <c r="C454" s="18">
        <v>2024</v>
      </c>
      <c r="D454" s="18" t="s">
        <v>51</v>
      </c>
      <c r="E454" s="18" t="s">
        <v>79</v>
      </c>
      <c r="F454" s="18" t="s">
        <v>80</v>
      </c>
      <c r="G454" s="18" t="s">
        <v>41</v>
      </c>
      <c r="H454" s="18" t="s">
        <v>112</v>
      </c>
      <c r="I454" s="18" t="s">
        <v>62</v>
      </c>
      <c r="J454" s="18" t="s">
        <v>82</v>
      </c>
      <c r="K454" s="18">
        <v>1</v>
      </c>
      <c r="L454" s="20">
        <v>6030.96</v>
      </c>
      <c r="M454" s="21">
        <v>0.15</v>
      </c>
      <c r="N454" s="21">
        <v>0.72879718690921103</v>
      </c>
      <c r="O454" s="20">
        <f t="shared" si="28"/>
        <v>5126.3159999999998</v>
      </c>
      <c r="P454" s="20">
        <f t="shared" si="29"/>
        <v>3736.0446800076788</v>
      </c>
      <c r="Q454" s="20">
        <f t="shared" si="30"/>
        <v>1390.271319992321</v>
      </c>
      <c r="R454" s="22">
        <f t="shared" si="31"/>
        <v>0.27120281309078897</v>
      </c>
    </row>
    <row r="455" spans="1:18">
      <c r="A455" s="18">
        <v>1454</v>
      </c>
      <c r="B455" s="19" t="s">
        <v>241</v>
      </c>
      <c r="C455" s="18">
        <v>2024</v>
      </c>
      <c r="D455" s="18" t="s">
        <v>51</v>
      </c>
      <c r="E455" s="18" t="s">
        <v>85</v>
      </c>
      <c r="F455" s="18" t="s">
        <v>94</v>
      </c>
      <c r="G455" s="18" t="s">
        <v>44</v>
      </c>
      <c r="H455" s="18" t="s">
        <v>114</v>
      </c>
      <c r="I455" s="18" t="s">
        <v>56</v>
      </c>
      <c r="J455" s="18" t="s">
        <v>82</v>
      </c>
      <c r="K455" s="18">
        <v>10</v>
      </c>
      <c r="L455" s="20">
        <v>9209.9</v>
      </c>
      <c r="M455" s="21">
        <v>0.05</v>
      </c>
      <c r="N455" s="21">
        <v>0.57677625188932002</v>
      </c>
      <c r="O455" s="20">
        <f t="shared" si="28"/>
        <v>87494.05</v>
      </c>
      <c r="P455" s="20">
        <f t="shared" si="29"/>
        <v>50464.490221616761</v>
      </c>
      <c r="Q455" s="20">
        <f t="shared" si="30"/>
        <v>37029.559778383242</v>
      </c>
      <c r="R455" s="22">
        <f t="shared" si="31"/>
        <v>0.42322374811067998</v>
      </c>
    </row>
    <row r="456" spans="1:18">
      <c r="A456" s="18">
        <v>1455</v>
      </c>
      <c r="B456" s="19" t="s">
        <v>242</v>
      </c>
      <c r="C456" s="18">
        <v>2024</v>
      </c>
      <c r="D456" s="18" t="s">
        <v>51</v>
      </c>
      <c r="E456" s="18" t="s">
        <v>85</v>
      </c>
      <c r="F456" s="18" t="s">
        <v>121</v>
      </c>
      <c r="G456" s="18" t="s">
        <v>41</v>
      </c>
      <c r="H456" s="18" t="s">
        <v>101</v>
      </c>
      <c r="I456" s="18" t="s">
        <v>62</v>
      </c>
      <c r="J456" s="18" t="s">
        <v>102</v>
      </c>
      <c r="K456" s="18">
        <v>3</v>
      </c>
      <c r="L456" s="20">
        <v>56414.63</v>
      </c>
      <c r="M456" s="21">
        <v>0</v>
      </c>
      <c r="N456" s="21">
        <v>0.63924408876780003</v>
      </c>
      <c r="O456" s="20">
        <f t="shared" si="28"/>
        <v>169243.88999999998</v>
      </c>
      <c r="P456" s="20">
        <f t="shared" si="29"/>
        <v>108188.15624256777</v>
      </c>
      <c r="Q456" s="20">
        <f t="shared" si="30"/>
        <v>61055.733757432215</v>
      </c>
      <c r="R456" s="22">
        <f t="shared" si="31"/>
        <v>0.36075591123220002</v>
      </c>
    </row>
    <row r="457" spans="1:18">
      <c r="A457" s="18">
        <v>1456</v>
      </c>
      <c r="B457" s="19" t="s">
        <v>242</v>
      </c>
      <c r="C457" s="18">
        <v>2024</v>
      </c>
      <c r="D457" s="18" t="s">
        <v>51</v>
      </c>
      <c r="E457" s="18" t="s">
        <v>88</v>
      </c>
      <c r="F457" s="18" t="s">
        <v>93</v>
      </c>
      <c r="G457" s="18" t="s">
        <v>44</v>
      </c>
      <c r="H457" s="18" t="s">
        <v>95</v>
      </c>
      <c r="I457" s="18" t="s">
        <v>58</v>
      </c>
      <c r="J457" s="18" t="s">
        <v>91</v>
      </c>
      <c r="K457" s="18">
        <v>1</v>
      </c>
      <c r="L457" s="20">
        <v>4373.47</v>
      </c>
      <c r="M457" s="21">
        <v>0.1</v>
      </c>
      <c r="N457" s="21">
        <v>0.59634998152086305</v>
      </c>
      <c r="O457" s="20">
        <f t="shared" si="28"/>
        <v>3936.1230000000005</v>
      </c>
      <c r="P457" s="20">
        <f t="shared" si="29"/>
        <v>2347.3068783138442</v>
      </c>
      <c r="Q457" s="20">
        <f t="shared" si="30"/>
        <v>1588.8161216861563</v>
      </c>
      <c r="R457" s="22">
        <f t="shared" si="31"/>
        <v>0.40365001847913701</v>
      </c>
    </row>
    <row r="458" spans="1:18">
      <c r="A458" s="18">
        <v>1457</v>
      </c>
      <c r="B458" s="19" t="s">
        <v>243</v>
      </c>
      <c r="C458" s="18">
        <v>2024</v>
      </c>
      <c r="D458" s="18" t="s">
        <v>51</v>
      </c>
      <c r="E458" s="18" t="s">
        <v>98</v>
      </c>
      <c r="F458" s="18" t="s">
        <v>117</v>
      </c>
      <c r="G458" s="18" t="s">
        <v>41</v>
      </c>
      <c r="H458" s="18" t="s">
        <v>101</v>
      </c>
      <c r="I458" s="18" t="s">
        <v>60</v>
      </c>
      <c r="J458" s="18" t="s">
        <v>91</v>
      </c>
      <c r="K458" s="18">
        <v>7</v>
      </c>
      <c r="L458" s="20">
        <v>54833.21</v>
      </c>
      <c r="M458" s="21">
        <v>0.1</v>
      </c>
      <c r="N458" s="21">
        <v>0.72631039626365501</v>
      </c>
      <c r="O458" s="20">
        <f t="shared" si="28"/>
        <v>345449.223</v>
      </c>
      <c r="P458" s="20">
        <f t="shared" si="29"/>
        <v>250903.36204610171</v>
      </c>
      <c r="Q458" s="20">
        <f t="shared" si="30"/>
        <v>94545.860953898286</v>
      </c>
      <c r="R458" s="22">
        <f t="shared" si="31"/>
        <v>0.27368960373634504</v>
      </c>
    </row>
    <row r="459" spans="1:18">
      <c r="A459" s="18">
        <v>1458</v>
      </c>
      <c r="B459" s="19" t="s">
        <v>243</v>
      </c>
      <c r="C459" s="18">
        <v>2024</v>
      </c>
      <c r="D459" s="18" t="s">
        <v>51</v>
      </c>
      <c r="E459" s="18" t="s">
        <v>79</v>
      </c>
      <c r="F459" s="18" t="s">
        <v>80</v>
      </c>
      <c r="G459" s="18" t="s">
        <v>47</v>
      </c>
      <c r="H459" s="18" t="s">
        <v>81</v>
      </c>
      <c r="I459" s="18" t="s">
        <v>60</v>
      </c>
      <c r="J459" s="18" t="s">
        <v>102</v>
      </c>
      <c r="K459" s="18">
        <v>5</v>
      </c>
      <c r="L459" s="20">
        <v>826.79</v>
      </c>
      <c r="M459" s="21">
        <v>0.05</v>
      </c>
      <c r="N459" s="21">
        <v>0.66572628698401204</v>
      </c>
      <c r="O459" s="20">
        <f t="shared" si="28"/>
        <v>3927.2524999999996</v>
      </c>
      <c r="P459" s="20">
        <f t="shared" si="29"/>
        <v>2614.4752248736786</v>
      </c>
      <c r="Q459" s="20">
        <f t="shared" si="30"/>
        <v>1312.777275126321</v>
      </c>
      <c r="R459" s="22">
        <f t="shared" si="31"/>
        <v>0.33427371301598791</v>
      </c>
    </row>
    <row r="460" spans="1:18">
      <c r="A460" s="18">
        <v>1459</v>
      </c>
      <c r="B460" s="19" t="s">
        <v>243</v>
      </c>
      <c r="C460" s="18">
        <v>2024</v>
      </c>
      <c r="D460" s="18" t="s">
        <v>51</v>
      </c>
      <c r="E460" s="18" t="s">
        <v>88</v>
      </c>
      <c r="F460" s="18" t="s">
        <v>89</v>
      </c>
      <c r="G460" s="18" t="s">
        <v>50</v>
      </c>
      <c r="H460" s="18" t="s">
        <v>97</v>
      </c>
      <c r="I460" s="18" t="s">
        <v>62</v>
      </c>
      <c r="J460" s="18" t="s">
        <v>102</v>
      </c>
      <c r="K460" s="18">
        <v>2</v>
      </c>
      <c r="L460" s="20">
        <v>12020</v>
      </c>
      <c r="M460" s="21">
        <v>0.1</v>
      </c>
      <c r="N460" s="21">
        <v>0.74453482167011897</v>
      </c>
      <c r="O460" s="20">
        <f t="shared" si="28"/>
        <v>21636</v>
      </c>
      <c r="P460" s="20">
        <f t="shared" si="29"/>
        <v>16108.755401654695</v>
      </c>
      <c r="Q460" s="20">
        <f t="shared" si="30"/>
        <v>5527.2445983453053</v>
      </c>
      <c r="R460" s="22">
        <f t="shared" si="31"/>
        <v>0.25546517832988103</v>
      </c>
    </row>
    <row r="461" spans="1:18">
      <c r="A461" s="18">
        <v>1460</v>
      </c>
      <c r="B461" s="19" t="s">
        <v>243</v>
      </c>
      <c r="C461" s="18">
        <v>2024</v>
      </c>
      <c r="D461" s="18" t="s">
        <v>51</v>
      </c>
      <c r="E461" s="18" t="s">
        <v>88</v>
      </c>
      <c r="F461" s="18" t="s">
        <v>93</v>
      </c>
      <c r="G461" s="18" t="s">
        <v>50</v>
      </c>
      <c r="H461" s="18" t="s">
        <v>97</v>
      </c>
      <c r="I461" s="18" t="s">
        <v>54</v>
      </c>
      <c r="J461" s="18" t="s">
        <v>91</v>
      </c>
      <c r="K461" s="18">
        <v>8</v>
      </c>
      <c r="L461" s="20">
        <v>12464.61</v>
      </c>
      <c r="M461" s="21">
        <v>0</v>
      </c>
      <c r="N461" s="21">
        <v>0.65036739689414802</v>
      </c>
      <c r="O461" s="20">
        <f t="shared" si="28"/>
        <v>99716.88</v>
      </c>
      <c r="P461" s="20">
        <f t="shared" si="29"/>
        <v>64852.607672006132</v>
      </c>
      <c r="Q461" s="20">
        <f t="shared" si="30"/>
        <v>34864.272327993873</v>
      </c>
      <c r="R461" s="22">
        <f t="shared" si="31"/>
        <v>0.34963260310585198</v>
      </c>
    </row>
    <row r="462" spans="1:18">
      <c r="A462" s="18">
        <v>1461</v>
      </c>
      <c r="B462" s="19" t="s">
        <v>244</v>
      </c>
      <c r="C462" s="18">
        <v>2024</v>
      </c>
      <c r="D462" s="18" t="s">
        <v>51</v>
      </c>
      <c r="E462" s="18" t="s">
        <v>85</v>
      </c>
      <c r="F462" s="18" t="s">
        <v>86</v>
      </c>
      <c r="G462" s="18" t="s">
        <v>44</v>
      </c>
      <c r="H462" s="18" t="s">
        <v>119</v>
      </c>
      <c r="I462" s="18" t="s">
        <v>60</v>
      </c>
      <c r="J462" s="18" t="s">
        <v>102</v>
      </c>
      <c r="K462" s="18">
        <v>5</v>
      </c>
      <c r="L462" s="20">
        <v>6798.06</v>
      </c>
      <c r="M462" s="21">
        <v>0</v>
      </c>
      <c r="N462" s="21">
        <v>0.58147147053811399</v>
      </c>
      <c r="O462" s="20">
        <f t="shared" si="28"/>
        <v>33990.300000000003</v>
      </c>
      <c r="P462" s="20">
        <f t="shared" si="29"/>
        <v>19764.389725031659</v>
      </c>
      <c r="Q462" s="20">
        <f t="shared" si="30"/>
        <v>14225.910274968344</v>
      </c>
      <c r="R462" s="22">
        <f t="shared" si="31"/>
        <v>0.41852852946188596</v>
      </c>
    </row>
    <row r="463" spans="1:18">
      <c r="A463" s="18">
        <v>1462</v>
      </c>
      <c r="B463" s="19" t="s">
        <v>244</v>
      </c>
      <c r="C463" s="18">
        <v>2024</v>
      </c>
      <c r="D463" s="18" t="s">
        <v>51</v>
      </c>
      <c r="E463" s="18" t="s">
        <v>79</v>
      </c>
      <c r="F463" s="18" t="s">
        <v>80</v>
      </c>
      <c r="G463" s="18" t="s">
        <v>44</v>
      </c>
      <c r="H463" s="18" t="s">
        <v>114</v>
      </c>
      <c r="I463" s="18" t="s">
        <v>54</v>
      </c>
      <c r="J463" s="18" t="s">
        <v>102</v>
      </c>
      <c r="K463" s="18">
        <v>2</v>
      </c>
      <c r="L463" s="20">
        <v>8983.36</v>
      </c>
      <c r="M463" s="21">
        <v>0.1</v>
      </c>
      <c r="N463" s="21">
        <v>0.64580423267290599</v>
      </c>
      <c r="O463" s="20">
        <f t="shared" si="28"/>
        <v>16170.048000000001</v>
      </c>
      <c r="P463" s="20">
        <f t="shared" si="29"/>
        <v>10442.685440924059</v>
      </c>
      <c r="Q463" s="20">
        <f t="shared" si="30"/>
        <v>5727.362559075942</v>
      </c>
      <c r="R463" s="22">
        <f t="shared" si="31"/>
        <v>0.35419576732709401</v>
      </c>
    </row>
    <row r="464" spans="1:18">
      <c r="A464" s="18">
        <v>1463</v>
      </c>
      <c r="B464" s="19" t="s">
        <v>244</v>
      </c>
      <c r="C464" s="18">
        <v>2024</v>
      </c>
      <c r="D464" s="18" t="s">
        <v>51</v>
      </c>
      <c r="E464" s="18" t="s">
        <v>88</v>
      </c>
      <c r="F464" s="18" t="s">
        <v>93</v>
      </c>
      <c r="G464" s="18" t="s">
        <v>50</v>
      </c>
      <c r="H464" s="18" t="s">
        <v>83</v>
      </c>
      <c r="I464" s="18" t="s">
        <v>49</v>
      </c>
      <c r="J464" s="18" t="s">
        <v>82</v>
      </c>
      <c r="K464" s="18">
        <v>3</v>
      </c>
      <c r="L464" s="20">
        <v>3525.72</v>
      </c>
      <c r="M464" s="21">
        <v>0</v>
      </c>
      <c r="N464" s="21">
        <v>0.57694480960002603</v>
      </c>
      <c r="O464" s="20">
        <f t="shared" si="28"/>
        <v>10577.16</v>
      </c>
      <c r="P464" s="20">
        <f t="shared" si="29"/>
        <v>6102.4375623090109</v>
      </c>
      <c r="Q464" s="20">
        <f t="shared" si="30"/>
        <v>4474.722437690989</v>
      </c>
      <c r="R464" s="22">
        <f t="shared" si="31"/>
        <v>0.42305519039997402</v>
      </c>
    </row>
    <row r="465" spans="1:18">
      <c r="A465" s="18">
        <v>1464</v>
      </c>
      <c r="B465" s="19" t="s">
        <v>245</v>
      </c>
      <c r="C465" s="18">
        <v>2024</v>
      </c>
      <c r="D465" s="18" t="s">
        <v>51</v>
      </c>
      <c r="E465" s="18" t="s">
        <v>88</v>
      </c>
      <c r="F465" s="18" t="s">
        <v>110</v>
      </c>
      <c r="G465" s="18" t="s">
        <v>44</v>
      </c>
      <c r="H465" s="18" t="s">
        <v>114</v>
      </c>
      <c r="I465" s="18" t="s">
        <v>46</v>
      </c>
      <c r="J465" s="18" t="s">
        <v>102</v>
      </c>
      <c r="K465" s="18">
        <v>7</v>
      </c>
      <c r="L465" s="20">
        <v>9089.42</v>
      </c>
      <c r="M465" s="21">
        <v>0.15</v>
      </c>
      <c r="N465" s="21">
        <v>0.67752454134616302</v>
      </c>
      <c r="O465" s="20">
        <f t="shared" si="28"/>
        <v>54082.048999999999</v>
      </c>
      <c r="P465" s="20">
        <f t="shared" si="29"/>
        <v>36641.915443785714</v>
      </c>
      <c r="Q465" s="20">
        <f t="shared" si="30"/>
        <v>17440.133556214285</v>
      </c>
      <c r="R465" s="22">
        <f t="shared" si="31"/>
        <v>0.32247545865383698</v>
      </c>
    </row>
    <row r="466" spans="1:18">
      <c r="A466" s="18">
        <v>1465</v>
      </c>
      <c r="B466" s="19" t="s">
        <v>245</v>
      </c>
      <c r="C466" s="18">
        <v>2024</v>
      </c>
      <c r="D466" s="18" t="s">
        <v>51</v>
      </c>
      <c r="E466" s="18" t="s">
        <v>98</v>
      </c>
      <c r="F466" s="18" t="s">
        <v>117</v>
      </c>
      <c r="G466" s="18" t="s">
        <v>44</v>
      </c>
      <c r="H466" s="18" t="s">
        <v>114</v>
      </c>
      <c r="I466" s="18" t="s">
        <v>62</v>
      </c>
      <c r="J466" s="18" t="s">
        <v>91</v>
      </c>
      <c r="K466" s="18">
        <v>8</v>
      </c>
      <c r="L466" s="20">
        <v>8703.51</v>
      </c>
      <c r="M466" s="21">
        <v>0.1</v>
      </c>
      <c r="N466" s="21">
        <v>0.67016774288224001</v>
      </c>
      <c r="O466" s="20">
        <f t="shared" si="28"/>
        <v>62665.272000000004</v>
      </c>
      <c r="P466" s="20">
        <f t="shared" si="29"/>
        <v>41996.243893341634</v>
      </c>
      <c r="Q466" s="20">
        <f t="shared" si="30"/>
        <v>20669.02810665837</v>
      </c>
      <c r="R466" s="22">
        <f t="shared" si="31"/>
        <v>0.32983225711776004</v>
      </c>
    </row>
    <row r="467" spans="1:18">
      <c r="A467" s="18">
        <v>1466</v>
      </c>
      <c r="B467" s="19" t="s">
        <v>246</v>
      </c>
      <c r="C467" s="18">
        <v>2024</v>
      </c>
      <c r="D467" s="18" t="s">
        <v>51</v>
      </c>
      <c r="E467" s="18" t="s">
        <v>98</v>
      </c>
      <c r="F467" s="18" t="s">
        <v>117</v>
      </c>
      <c r="G467" s="18" t="s">
        <v>47</v>
      </c>
      <c r="H467" s="18" t="s">
        <v>107</v>
      </c>
      <c r="I467" s="18" t="s">
        <v>62</v>
      </c>
      <c r="J467" s="18" t="s">
        <v>102</v>
      </c>
      <c r="K467" s="18">
        <v>2</v>
      </c>
      <c r="L467" s="20">
        <v>2140.56</v>
      </c>
      <c r="M467" s="21">
        <v>0.1</v>
      </c>
      <c r="N467" s="21">
        <v>0.57644263969148701</v>
      </c>
      <c r="O467" s="20">
        <f t="shared" si="28"/>
        <v>3853.0079999999998</v>
      </c>
      <c r="P467" s="20">
        <f t="shared" si="29"/>
        <v>2221.0381022724168</v>
      </c>
      <c r="Q467" s="20">
        <f t="shared" si="30"/>
        <v>1631.969897727583</v>
      </c>
      <c r="R467" s="22">
        <f t="shared" si="31"/>
        <v>0.42355736030851299</v>
      </c>
    </row>
    <row r="468" spans="1:18">
      <c r="A468" s="18">
        <v>1467</v>
      </c>
      <c r="B468" s="19" t="s">
        <v>246</v>
      </c>
      <c r="C468" s="18">
        <v>2024</v>
      </c>
      <c r="D468" s="18" t="s">
        <v>51</v>
      </c>
      <c r="E468" s="18" t="s">
        <v>79</v>
      </c>
      <c r="F468" s="18" t="s">
        <v>100</v>
      </c>
      <c r="G468" s="18" t="s">
        <v>50</v>
      </c>
      <c r="H468" s="18" t="s">
        <v>83</v>
      </c>
      <c r="I468" s="18" t="s">
        <v>62</v>
      </c>
      <c r="J468" s="18" t="s">
        <v>82</v>
      </c>
      <c r="K468" s="18">
        <v>3</v>
      </c>
      <c r="L468" s="20">
        <v>3491.55</v>
      </c>
      <c r="M468" s="21">
        <v>0.15</v>
      </c>
      <c r="N468" s="21">
        <v>0.66996275937413696</v>
      </c>
      <c r="O468" s="20">
        <f t="shared" si="28"/>
        <v>8903.4525000000012</v>
      </c>
      <c r="P468" s="20">
        <f t="shared" si="29"/>
        <v>5964.981604856559</v>
      </c>
      <c r="Q468" s="20">
        <f t="shared" si="30"/>
        <v>2938.4708951434422</v>
      </c>
      <c r="R468" s="22">
        <f t="shared" si="31"/>
        <v>0.33003724062586304</v>
      </c>
    </row>
    <row r="469" spans="1:18">
      <c r="A469" s="18">
        <v>1468</v>
      </c>
      <c r="B469" s="19" t="s">
        <v>246</v>
      </c>
      <c r="C469" s="18">
        <v>2024</v>
      </c>
      <c r="D469" s="18" t="s">
        <v>51</v>
      </c>
      <c r="E469" s="18" t="s">
        <v>79</v>
      </c>
      <c r="F469" s="18" t="s">
        <v>100</v>
      </c>
      <c r="G469" s="18" t="s">
        <v>50</v>
      </c>
      <c r="H469" s="18" t="s">
        <v>87</v>
      </c>
      <c r="I469" s="18" t="s">
        <v>46</v>
      </c>
      <c r="J469" s="18" t="s">
        <v>102</v>
      </c>
      <c r="K469" s="18">
        <v>9</v>
      </c>
      <c r="L469" s="20">
        <v>9811.15</v>
      </c>
      <c r="M469" s="21">
        <v>0.2</v>
      </c>
      <c r="N469" s="21">
        <v>0.67984634702130697</v>
      </c>
      <c r="O469" s="20">
        <f t="shared" si="28"/>
        <v>70640.28</v>
      </c>
      <c r="P469" s="20">
        <f t="shared" si="29"/>
        <v>48024.536310562289</v>
      </c>
      <c r="Q469" s="20">
        <f t="shared" si="30"/>
        <v>22615.74368943771</v>
      </c>
      <c r="R469" s="22">
        <f t="shared" si="31"/>
        <v>0.32015365297869303</v>
      </c>
    </row>
    <row r="470" spans="1:18">
      <c r="A470" s="18">
        <v>1469</v>
      </c>
      <c r="B470" s="19" t="s">
        <v>247</v>
      </c>
      <c r="C470" s="18">
        <v>2024</v>
      </c>
      <c r="D470" s="18" t="s">
        <v>51</v>
      </c>
      <c r="E470" s="18" t="s">
        <v>98</v>
      </c>
      <c r="F470" s="18" t="s">
        <v>117</v>
      </c>
      <c r="G470" s="18" t="s">
        <v>50</v>
      </c>
      <c r="H470" s="18" t="s">
        <v>83</v>
      </c>
      <c r="I470" s="18" t="s">
        <v>58</v>
      </c>
      <c r="J470" s="18" t="s">
        <v>91</v>
      </c>
      <c r="K470" s="18">
        <v>6</v>
      </c>
      <c r="L470" s="20">
        <v>3531.17</v>
      </c>
      <c r="M470" s="21">
        <v>0.2</v>
      </c>
      <c r="N470" s="21">
        <v>0.73157177531948603</v>
      </c>
      <c r="O470" s="20">
        <f t="shared" si="28"/>
        <v>16949.616000000002</v>
      </c>
      <c r="P470" s="20">
        <f t="shared" si="29"/>
        <v>12399.860668103567</v>
      </c>
      <c r="Q470" s="20">
        <f t="shared" si="30"/>
        <v>4549.7553318964347</v>
      </c>
      <c r="R470" s="22">
        <f t="shared" si="31"/>
        <v>0.26842822468051397</v>
      </c>
    </row>
    <row r="471" spans="1:18">
      <c r="A471" s="18">
        <v>1470</v>
      </c>
      <c r="B471" s="19" t="s">
        <v>247</v>
      </c>
      <c r="C471" s="18">
        <v>2024</v>
      </c>
      <c r="D471" s="18" t="s">
        <v>51</v>
      </c>
      <c r="E471" s="18" t="s">
        <v>79</v>
      </c>
      <c r="F471" s="18" t="s">
        <v>105</v>
      </c>
      <c r="G471" s="18" t="s">
        <v>44</v>
      </c>
      <c r="H471" s="18" t="s">
        <v>114</v>
      </c>
      <c r="I471" s="18" t="s">
        <v>58</v>
      </c>
      <c r="J471" s="18" t="s">
        <v>82</v>
      </c>
      <c r="K471" s="18">
        <v>2</v>
      </c>
      <c r="L471" s="20">
        <v>8804.94</v>
      </c>
      <c r="M471" s="21">
        <v>0.15</v>
      </c>
      <c r="N471" s="21">
        <v>0.63172934093744304</v>
      </c>
      <c r="O471" s="20">
        <f t="shared" si="28"/>
        <v>14968.398000000001</v>
      </c>
      <c r="P471" s="20">
        <f t="shared" si="29"/>
        <v>9455.9762034293417</v>
      </c>
      <c r="Q471" s="20">
        <f t="shared" si="30"/>
        <v>5512.4217965706594</v>
      </c>
      <c r="R471" s="22">
        <f t="shared" si="31"/>
        <v>0.3682706590625569</v>
      </c>
    </row>
    <row r="472" spans="1:18">
      <c r="A472" s="18">
        <v>1471</v>
      </c>
      <c r="B472" s="19" t="s">
        <v>247</v>
      </c>
      <c r="C472" s="18">
        <v>2024</v>
      </c>
      <c r="D472" s="18" t="s">
        <v>51</v>
      </c>
      <c r="E472" s="18" t="s">
        <v>88</v>
      </c>
      <c r="F472" s="18" t="s">
        <v>110</v>
      </c>
      <c r="G472" s="18" t="s">
        <v>41</v>
      </c>
      <c r="H472" s="18" t="s">
        <v>90</v>
      </c>
      <c r="I472" s="18" t="s">
        <v>60</v>
      </c>
      <c r="J472" s="18" t="s">
        <v>82</v>
      </c>
      <c r="K472" s="18">
        <v>7</v>
      </c>
      <c r="L472" s="20">
        <v>18278.18</v>
      </c>
      <c r="M472" s="21">
        <v>0.2</v>
      </c>
      <c r="N472" s="21">
        <v>0.71085743057117101</v>
      </c>
      <c r="O472" s="20">
        <f t="shared" si="28"/>
        <v>102357.80800000002</v>
      </c>
      <c r="P472" s="20">
        <f t="shared" si="29"/>
        <v>72761.808393777261</v>
      </c>
      <c r="Q472" s="20">
        <f t="shared" si="30"/>
        <v>29595.999606222758</v>
      </c>
      <c r="R472" s="22">
        <f t="shared" si="31"/>
        <v>0.28914256942882904</v>
      </c>
    </row>
    <row r="473" spans="1:18">
      <c r="A473" s="18">
        <v>1472</v>
      </c>
      <c r="B473" s="19" t="s">
        <v>247</v>
      </c>
      <c r="C473" s="18">
        <v>2024</v>
      </c>
      <c r="D473" s="18" t="s">
        <v>51</v>
      </c>
      <c r="E473" s="18" t="s">
        <v>85</v>
      </c>
      <c r="F473" s="18" t="s">
        <v>121</v>
      </c>
      <c r="G473" s="18" t="s">
        <v>41</v>
      </c>
      <c r="H473" s="18" t="s">
        <v>101</v>
      </c>
      <c r="I473" s="18" t="s">
        <v>56</v>
      </c>
      <c r="J473" s="18" t="s">
        <v>102</v>
      </c>
      <c r="K473" s="18">
        <v>10</v>
      </c>
      <c r="L473" s="20">
        <v>53644.98</v>
      </c>
      <c r="M473" s="21">
        <v>0.15</v>
      </c>
      <c r="N473" s="21">
        <v>0.63471230948667301</v>
      </c>
      <c r="O473" s="20">
        <f t="shared" si="28"/>
        <v>455982.33</v>
      </c>
      <c r="P473" s="20">
        <f t="shared" si="29"/>
        <v>289417.59775941429</v>
      </c>
      <c r="Q473" s="20">
        <f t="shared" si="30"/>
        <v>166564.73224058573</v>
      </c>
      <c r="R473" s="22">
        <f t="shared" si="31"/>
        <v>0.36528769051332693</v>
      </c>
    </row>
    <row r="474" spans="1:18">
      <c r="A474" s="18">
        <v>1473</v>
      </c>
      <c r="B474" s="19" t="s">
        <v>247</v>
      </c>
      <c r="C474" s="18">
        <v>2024</v>
      </c>
      <c r="D474" s="18" t="s">
        <v>51</v>
      </c>
      <c r="E474" s="18" t="s">
        <v>98</v>
      </c>
      <c r="F474" s="18" t="s">
        <v>99</v>
      </c>
      <c r="G474" s="18" t="s">
        <v>47</v>
      </c>
      <c r="H474" s="18" t="s">
        <v>103</v>
      </c>
      <c r="I474" s="18" t="s">
        <v>56</v>
      </c>
      <c r="J474" s="18" t="s">
        <v>82</v>
      </c>
      <c r="K474" s="18">
        <v>7</v>
      </c>
      <c r="L474" s="20">
        <v>3216.67</v>
      </c>
      <c r="M474" s="21">
        <v>0.15</v>
      </c>
      <c r="N474" s="21">
        <v>0.64649355140137599</v>
      </c>
      <c r="O474" s="20">
        <f t="shared" si="28"/>
        <v>19139.1865</v>
      </c>
      <c r="P474" s="20">
        <f t="shared" si="29"/>
        <v>12373.360651318271</v>
      </c>
      <c r="Q474" s="20">
        <f t="shared" si="30"/>
        <v>6765.8258486817285</v>
      </c>
      <c r="R474" s="22">
        <f t="shared" si="31"/>
        <v>0.35350644859862401</v>
      </c>
    </row>
    <row r="475" spans="1:18">
      <c r="A475" s="18">
        <v>1474</v>
      </c>
      <c r="B475" s="19" t="s">
        <v>248</v>
      </c>
      <c r="C475" s="18">
        <v>2024</v>
      </c>
      <c r="D475" s="18" t="s">
        <v>51</v>
      </c>
      <c r="E475" s="18" t="s">
        <v>85</v>
      </c>
      <c r="F475" s="18" t="s">
        <v>121</v>
      </c>
      <c r="G475" s="18" t="s">
        <v>47</v>
      </c>
      <c r="H475" s="18" t="s">
        <v>103</v>
      </c>
      <c r="I475" s="18" t="s">
        <v>54</v>
      </c>
      <c r="J475" s="18" t="s">
        <v>102</v>
      </c>
      <c r="K475" s="18">
        <v>7</v>
      </c>
      <c r="L475" s="20">
        <v>3275.45</v>
      </c>
      <c r="M475" s="21">
        <v>0.2</v>
      </c>
      <c r="N475" s="21">
        <v>0.57381715289922697</v>
      </c>
      <c r="O475" s="20">
        <f t="shared" si="28"/>
        <v>18342.52</v>
      </c>
      <c r="P475" s="20">
        <f t="shared" si="29"/>
        <v>10525.252603397128</v>
      </c>
      <c r="Q475" s="20">
        <f t="shared" si="30"/>
        <v>7817.2673966028724</v>
      </c>
      <c r="R475" s="22">
        <f t="shared" si="31"/>
        <v>0.42618284710077309</v>
      </c>
    </row>
    <row r="476" spans="1:18">
      <c r="A476" s="18">
        <v>1475</v>
      </c>
      <c r="B476" s="19" t="s">
        <v>248</v>
      </c>
      <c r="C476" s="18">
        <v>2024</v>
      </c>
      <c r="D476" s="18" t="s">
        <v>51</v>
      </c>
      <c r="E476" s="18" t="s">
        <v>88</v>
      </c>
      <c r="F476" s="18" t="s">
        <v>89</v>
      </c>
      <c r="G476" s="18" t="s">
        <v>44</v>
      </c>
      <c r="H476" s="18" t="s">
        <v>119</v>
      </c>
      <c r="I476" s="18" t="s">
        <v>49</v>
      </c>
      <c r="J476" s="18" t="s">
        <v>102</v>
      </c>
      <c r="K476" s="18">
        <v>7</v>
      </c>
      <c r="L476" s="20">
        <v>7200.26</v>
      </c>
      <c r="M476" s="21">
        <v>0.15</v>
      </c>
      <c r="N476" s="21">
        <v>0.67280507340588802</v>
      </c>
      <c r="O476" s="20">
        <f t="shared" si="28"/>
        <v>42841.546999999999</v>
      </c>
      <c r="P476" s="20">
        <f t="shared" si="29"/>
        <v>28824.0101741568</v>
      </c>
      <c r="Q476" s="20">
        <f t="shared" si="30"/>
        <v>14017.536825843199</v>
      </c>
      <c r="R476" s="22">
        <f t="shared" si="31"/>
        <v>0.32719492659411203</v>
      </c>
    </row>
    <row r="477" spans="1:18">
      <c r="A477" s="18">
        <v>1476</v>
      </c>
      <c r="B477" s="19" t="s">
        <v>248</v>
      </c>
      <c r="C477" s="18">
        <v>2024</v>
      </c>
      <c r="D477" s="18" t="s">
        <v>51</v>
      </c>
      <c r="E477" s="18" t="s">
        <v>79</v>
      </c>
      <c r="F477" s="18" t="s">
        <v>100</v>
      </c>
      <c r="G477" s="18" t="s">
        <v>50</v>
      </c>
      <c r="H477" s="18" t="s">
        <v>87</v>
      </c>
      <c r="I477" s="18" t="s">
        <v>40</v>
      </c>
      <c r="J477" s="18" t="s">
        <v>82</v>
      </c>
      <c r="K477" s="18">
        <v>3</v>
      </c>
      <c r="L477" s="20">
        <v>9473.09</v>
      </c>
      <c r="M477" s="21">
        <v>0.15</v>
      </c>
      <c r="N477" s="21">
        <v>0.63707548691055305</v>
      </c>
      <c r="O477" s="20">
        <f t="shared" si="28"/>
        <v>24156.379499999999</v>
      </c>
      <c r="P477" s="20">
        <f t="shared" si="29"/>
        <v>15389.437231958602</v>
      </c>
      <c r="Q477" s="20">
        <f t="shared" si="30"/>
        <v>8766.9422680413973</v>
      </c>
      <c r="R477" s="22">
        <f t="shared" si="31"/>
        <v>0.36292451308944695</v>
      </c>
    </row>
    <row r="478" spans="1:18">
      <c r="A478" s="18">
        <v>1477</v>
      </c>
      <c r="B478" s="19" t="s">
        <v>248</v>
      </c>
      <c r="C478" s="18">
        <v>2024</v>
      </c>
      <c r="D478" s="18" t="s">
        <v>51</v>
      </c>
      <c r="E478" s="18" t="s">
        <v>79</v>
      </c>
      <c r="F478" s="18" t="s">
        <v>105</v>
      </c>
      <c r="G478" s="18" t="s">
        <v>44</v>
      </c>
      <c r="H478" s="18" t="s">
        <v>114</v>
      </c>
      <c r="I478" s="18" t="s">
        <v>43</v>
      </c>
      <c r="J478" s="18" t="s">
        <v>102</v>
      </c>
      <c r="K478" s="18">
        <v>1</v>
      </c>
      <c r="L478" s="20">
        <v>9202.0499999999993</v>
      </c>
      <c r="M478" s="21">
        <v>0.1</v>
      </c>
      <c r="N478" s="21">
        <v>0.67279311814334297</v>
      </c>
      <c r="O478" s="20">
        <f t="shared" si="28"/>
        <v>8281.8449999999993</v>
      </c>
      <c r="P478" s="20">
        <f t="shared" si="29"/>
        <v>5571.9683215298537</v>
      </c>
      <c r="Q478" s="20">
        <f t="shared" si="30"/>
        <v>2709.8766784701456</v>
      </c>
      <c r="R478" s="22">
        <f t="shared" si="31"/>
        <v>0.32720688185665703</v>
      </c>
    </row>
    <row r="479" spans="1:18">
      <c r="A479" s="18">
        <v>1478</v>
      </c>
      <c r="B479" s="19" t="s">
        <v>249</v>
      </c>
      <c r="C479" s="18">
        <v>2024</v>
      </c>
      <c r="D479" s="18" t="s">
        <v>51</v>
      </c>
      <c r="E479" s="18" t="s">
        <v>79</v>
      </c>
      <c r="F479" s="18" t="s">
        <v>100</v>
      </c>
      <c r="G479" s="18" t="s">
        <v>50</v>
      </c>
      <c r="H479" s="18" t="s">
        <v>97</v>
      </c>
      <c r="I479" s="18" t="s">
        <v>40</v>
      </c>
      <c r="J479" s="18" t="s">
        <v>82</v>
      </c>
      <c r="K479" s="18">
        <v>11</v>
      </c>
      <c r="L479" s="20">
        <v>12516.91</v>
      </c>
      <c r="M479" s="21">
        <v>0.15</v>
      </c>
      <c r="N479" s="21">
        <v>0.60720130234173897</v>
      </c>
      <c r="O479" s="20">
        <f t="shared" si="28"/>
        <v>117033.1085</v>
      </c>
      <c r="P479" s="20">
        <f t="shared" si="29"/>
        <v>71062.655898302037</v>
      </c>
      <c r="Q479" s="20">
        <f t="shared" si="30"/>
        <v>45970.452601697965</v>
      </c>
      <c r="R479" s="22">
        <f t="shared" si="31"/>
        <v>0.39279869765826109</v>
      </c>
    </row>
    <row r="480" spans="1:18">
      <c r="A480" s="18">
        <v>1479</v>
      </c>
      <c r="B480" s="19" t="s">
        <v>249</v>
      </c>
      <c r="C480" s="18">
        <v>2024</v>
      </c>
      <c r="D480" s="18" t="s">
        <v>51</v>
      </c>
      <c r="E480" s="18" t="s">
        <v>79</v>
      </c>
      <c r="F480" s="18" t="s">
        <v>80</v>
      </c>
      <c r="G480" s="18" t="s">
        <v>44</v>
      </c>
      <c r="H480" s="18" t="s">
        <v>95</v>
      </c>
      <c r="I480" s="18" t="s">
        <v>46</v>
      </c>
      <c r="J480" s="18" t="s">
        <v>102</v>
      </c>
      <c r="K480" s="18">
        <v>1</v>
      </c>
      <c r="L480" s="20">
        <v>4436.88</v>
      </c>
      <c r="M480" s="21">
        <v>0.2</v>
      </c>
      <c r="N480" s="21">
        <v>0.55005745437092501</v>
      </c>
      <c r="O480" s="20">
        <f t="shared" si="28"/>
        <v>3549.5040000000004</v>
      </c>
      <c r="P480" s="20">
        <f t="shared" si="29"/>
        <v>1952.431134519416</v>
      </c>
      <c r="Q480" s="20">
        <f t="shared" si="30"/>
        <v>1597.0728654805844</v>
      </c>
      <c r="R480" s="22">
        <f t="shared" si="31"/>
        <v>0.44994254562907499</v>
      </c>
    </row>
    <row r="481" spans="1:18">
      <c r="A481" s="18">
        <v>1480</v>
      </c>
      <c r="B481" s="19" t="s">
        <v>249</v>
      </c>
      <c r="C481" s="18">
        <v>2024</v>
      </c>
      <c r="D481" s="18" t="s">
        <v>51</v>
      </c>
      <c r="E481" s="18" t="s">
        <v>88</v>
      </c>
      <c r="F481" s="18" t="s">
        <v>110</v>
      </c>
      <c r="G481" s="18" t="s">
        <v>47</v>
      </c>
      <c r="H481" s="18" t="s">
        <v>107</v>
      </c>
      <c r="I481" s="18" t="s">
        <v>54</v>
      </c>
      <c r="J481" s="18" t="s">
        <v>102</v>
      </c>
      <c r="K481" s="18">
        <v>7</v>
      </c>
      <c r="L481" s="20">
        <v>2179.1999999999998</v>
      </c>
      <c r="M481" s="21">
        <v>0</v>
      </c>
      <c r="N481" s="21">
        <v>0.65354854019785902</v>
      </c>
      <c r="O481" s="20">
        <f t="shared" si="28"/>
        <v>15254.399999999998</v>
      </c>
      <c r="P481" s="20">
        <f t="shared" si="29"/>
        <v>9969.4908515942188</v>
      </c>
      <c r="Q481" s="20">
        <f t="shared" si="30"/>
        <v>5284.909148405779</v>
      </c>
      <c r="R481" s="22">
        <f t="shared" si="31"/>
        <v>0.34645145980214098</v>
      </c>
    </row>
    <row r="482" spans="1:18">
      <c r="A482" s="18">
        <v>1481</v>
      </c>
      <c r="B482" s="19" t="s">
        <v>249</v>
      </c>
      <c r="C482" s="18">
        <v>2024</v>
      </c>
      <c r="D482" s="18" t="s">
        <v>51</v>
      </c>
      <c r="E482" s="18" t="s">
        <v>79</v>
      </c>
      <c r="F482" s="18" t="s">
        <v>100</v>
      </c>
      <c r="G482" s="18" t="s">
        <v>47</v>
      </c>
      <c r="H482" s="18" t="s">
        <v>103</v>
      </c>
      <c r="I482" s="18" t="s">
        <v>60</v>
      </c>
      <c r="J482" s="18" t="s">
        <v>102</v>
      </c>
      <c r="K482" s="18">
        <v>6</v>
      </c>
      <c r="L482" s="20">
        <v>3151.19</v>
      </c>
      <c r="M482" s="21">
        <v>0.05</v>
      </c>
      <c r="N482" s="21">
        <v>0.59525910259241399</v>
      </c>
      <c r="O482" s="20">
        <f t="shared" si="28"/>
        <v>17961.782999999999</v>
      </c>
      <c r="P482" s="20">
        <f t="shared" si="29"/>
        <v>10691.914829539677</v>
      </c>
      <c r="Q482" s="20">
        <f t="shared" si="30"/>
        <v>7269.8681704603223</v>
      </c>
      <c r="R482" s="22">
        <f t="shared" si="31"/>
        <v>0.40474089740758601</v>
      </c>
    </row>
    <row r="483" spans="1:18">
      <c r="A483" s="18">
        <v>1482</v>
      </c>
      <c r="B483" s="19" t="s">
        <v>250</v>
      </c>
      <c r="C483" s="18">
        <v>2024</v>
      </c>
      <c r="D483" s="18" t="s">
        <v>51</v>
      </c>
      <c r="E483" s="18" t="s">
        <v>85</v>
      </c>
      <c r="F483" s="18" t="s">
        <v>121</v>
      </c>
      <c r="G483" s="18" t="s">
        <v>41</v>
      </c>
      <c r="H483" s="18" t="s">
        <v>106</v>
      </c>
      <c r="I483" s="18" t="s">
        <v>46</v>
      </c>
      <c r="J483" s="18" t="s">
        <v>91</v>
      </c>
      <c r="K483" s="18">
        <v>9</v>
      </c>
      <c r="L483" s="20">
        <v>2401.62</v>
      </c>
      <c r="M483" s="21">
        <v>0</v>
      </c>
      <c r="N483" s="21">
        <v>0.65063383325077895</v>
      </c>
      <c r="O483" s="20">
        <f t="shared" si="28"/>
        <v>21614.579999999998</v>
      </c>
      <c r="P483" s="20">
        <f t="shared" si="29"/>
        <v>14063.177039505621</v>
      </c>
      <c r="Q483" s="20">
        <f t="shared" si="30"/>
        <v>7551.4029604943771</v>
      </c>
      <c r="R483" s="22">
        <f t="shared" si="31"/>
        <v>0.34936616674922105</v>
      </c>
    </row>
    <row r="484" spans="1:18">
      <c r="A484" s="18">
        <v>1483</v>
      </c>
      <c r="B484" s="19" t="s">
        <v>250</v>
      </c>
      <c r="C484" s="18">
        <v>2024</v>
      </c>
      <c r="D484" s="18" t="s">
        <v>51</v>
      </c>
      <c r="E484" s="18" t="s">
        <v>98</v>
      </c>
      <c r="F484" s="18" t="s">
        <v>117</v>
      </c>
      <c r="G484" s="18" t="s">
        <v>47</v>
      </c>
      <c r="H484" s="18" t="s">
        <v>103</v>
      </c>
      <c r="I484" s="18" t="s">
        <v>62</v>
      </c>
      <c r="J484" s="18" t="s">
        <v>91</v>
      </c>
      <c r="K484" s="18">
        <v>12</v>
      </c>
      <c r="L484" s="20">
        <v>3181.69</v>
      </c>
      <c r="M484" s="21">
        <v>0.1</v>
      </c>
      <c r="N484" s="21">
        <v>0.66263372076098603</v>
      </c>
      <c r="O484" s="20">
        <f t="shared" si="28"/>
        <v>34362.252</v>
      </c>
      <c r="P484" s="20">
        <f t="shared" si="29"/>
        <v>22769.586896486635</v>
      </c>
      <c r="Q484" s="20">
        <f t="shared" si="30"/>
        <v>11592.665103513365</v>
      </c>
      <c r="R484" s="22">
        <f t="shared" si="31"/>
        <v>0.33736627923901397</v>
      </c>
    </row>
    <row r="485" spans="1:18">
      <c r="A485" s="18">
        <v>1484</v>
      </c>
      <c r="B485" s="19" t="s">
        <v>250</v>
      </c>
      <c r="C485" s="18">
        <v>2024</v>
      </c>
      <c r="D485" s="18" t="s">
        <v>51</v>
      </c>
      <c r="E485" s="18" t="s">
        <v>88</v>
      </c>
      <c r="F485" s="18" t="s">
        <v>89</v>
      </c>
      <c r="G485" s="18" t="s">
        <v>50</v>
      </c>
      <c r="H485" s="18" t="s">
        <v>87</v>
      </c>
      <c r="I485" s="18" t="s">
        <v>58</v>
      </c>
      <c r="J485" s="18" t="s">
        <v>102</v>
      </c>
      <c r="K485" s="18">
        <v>1</v>
      </c>
      <c r="L485" s="20">
        <v>9482.8700000000008</v>
      </c>
      <c r="M485" s="21">
        <v>0.05</v>
      </c>
      <c r="N485" s="21">
        <v>0.56351085213225105</v>
      </c>
      <c r="O485" s="20">
        <f t="shared" si="28"/>
        <v>9008.7265000000007</v>
      </c>
      <c r="P485" s="20">
        <f t="shared" si="29"/>
        <v>5076.5151466413918</v>
      </c>
      <c r="Q485" s="20">
        <f t="shared" si="30"/>
        <v>3932.2113533586089</v>
      </c>
      <c r="R485" s="22">
        <f t="shared" si="31"/>
        <v>0.43648914786774895</v>
      </c>
    </row>
    <row r="486" spans="1:18">
      <c r="A486" s="18">
        <v>1485</v>
      </c>
      <c r="B486" s="19" t="s">
        <v>251</v>
      </c>
      <c r="C486" s="18">
        <v>2024</v>
      </c>
      <c r="D486" s="18" t="s">
        <v>51</v>
      </c>
      <c r="E486" s="18" t="s">
        <v>88</v>
      </c>
      <c r="F486" s="18" t="s">
        <v>89</v>
      </c>
      <c r="G486" s="18" t="s">
        <v>50</v>
      </c>
      <c r="H486" s="18" t="s">
        <v>97</v>
      </c>
      <c r="I486" s="18" t="s">
        <v>60</v>
      </c>
      <c r="J486" s="18" t="s">
        <v>102</v>
      </c>
      <c r="K486" s="18">
        <v>1</v>
      </c>
      <c r="L486" s="20">
        <v>12240.98</v>
      </c>
      <c r="M486" s="21">
        <v>0.05</v>
      </c>
      <c r="N486" s="21">
        <v>0.59965152187241599</v>
      </c>
      <c r="O486" s="20">
        <f t="shared" si="28"/>
        <v>11628.930999999999</v>
      </c>
      <c r="P486" s="20">
        <f t="shared" si="29"/>
        <v>6973.3061718993158</v>
      </c>
      <c r="Q486" s="20">
        <f t="shared" si="30"/>
        <v>4655.6248281006829</v>
      </c>
      <c r="R486" s="22">
        <f t="shared" si="31"/>
        <v>0.40034847812758401</v>
      </c>
    </row>
    <row r="487" spans="1:18">
      <c r="A487" s="18">
        <v>1486</v>
      </c>
      <c r="B487" s="19" t="s">
        <v>251</v>
      </c>
      <c r="C487" s="18">
        <v>2024</v>
      </c>
      <c r="D487" s="18" t="s">
        <v>51</v>
      </c>
      <c r="E487" s="18" t="s">
        <v>79</v>
      </c>
      <c r="F487" s="18" t="s">
        <v>105</v>
      </c>
      <c r="G487" s="18" t="s">
        <v>47</v>
      </c>
      <c r="H487" s="18" t="s">
        <v>81</v>
      </c>
      <c r="I487" s="18" t="s">
        <v>60</v>
      </c>
      <c r="J487" s="18" t="s">
        <v>82</v>
      </c>
      <c r="K487" s="18">
        <v>8</v>
      </c>
      <c r="L487" s="20">
        <v>785.11</v>
      </c>
      <c r="M487" s="21">
        <v>0</v>
      </c>
      <c r="N487" s="21">
        <v>0.728863250574041</v>
      </c>
      <c r="O487" s="20">
        <f t="shared" si="28"/>
        <v>6280.88</v>
      </c>
      <c r="P487" s="20">
        <f t="shared" si="29"/>
        <v>4577.9026132654826</v>
      </c>
      <c r="Q487" s="20">
        <f t="shared" si="30"/>
        <v>1702.9773867345175</v>
      </c>
      <c r="R487" s="22">
        <f t="shared" si="31"/>
        <v>0.271136749425959</v>
      </c>
    </row>
    <row r="488" spans="1:18">
      <c r="A488" s="18">
        <v>1487</v>
      </c>
      <c r="B488" s="19" t="s">
        <v>251</v>
      </c>
      <c r="C488" s="18">
        <v>2024</v>
      </c>
      <c r="D488" s="18" t="s">
        <v>51</v>
      </c>
      <c r="E488" s="18" t="s">
        <v>98</v>
      </c>
      <c r="F488" s="18" t="s">
        <v>117</v>
      </c>
      <c r="G488" s="18" t="s">
        <v>44</v>
      </c>
      <c r="H488" s="18" t="s">
        <v>114</v>
      </c>
      <c r="I488" s="18" t="s">
        <v>49</v>
      </c>
      <c r="J488" s="18" t="s">
        <v>82</v>
      </c>
      <c r="K488" s="18">
        <v>12</v>
      </c>
      <c r="L488" s="20">
        <v>8767.85</v>
      </c>
      <c r="M488" s="21">
        <v>0.05</v>
      </c>
      <c r="N488" s="21">
        <v>0.59135572646440204</v>
      </c>
      <c r="O488" s="20">
        <f t="shared" si="28"/>
        <v>99953.49</v>
      </c>
      <c r="P488" s="20">
        <f t="shared" si="29"/>
        <v>59108.068691602348</v>
      </c>
      <c r="Q488" s="20">
        <f t="shared" si="30"/>
        <v>40845.421308397657</v>
      </c>
      <c r="R488" s="22">
        <f t="shared" si="31"/>
        <v>0.40864427353559796</v>
      </c>
    </row>
    <row r="489" spans="1:18">
      <c r="A489" s="18">
        <v>1488</v>
      </c>
      <c r="B489" s="19" t="s">
        <v>252</v>
      </c>
      <c r="C489" s="18">
        <v>2024</v>
      </c>
      <c r="D489" s="18" t="s">
        <v>51</v>
      </c>
      <c r="E489" s="18" t="s">
        <v>88</v>
      </c>
      <c r="F489" s="18" t="s">
        <v>93</v>
      </c>
      <c r="G489" s="18" t="s">
        <v>47</v>
      </c>
      <c r="H489" s="18" t="s">
        <v>81</v>
      </c>
      <c r="I489" s="18" t="s">
        <v>43</v>
      </c>
      <c r="J489" s="18" t="s">
        <v>82</v>
      </c>
      <c r="K489" s="18">
        <v>2</v>
      </c>
      <c r="L489" s="20">
        <v>814.06</v>
      </c>
      <c r="M489" s="21">
        <v>0.2</v>
      </c>
      <c r="N489" s="21">
        <v>0.64853297265444199</v>
      </c>
      <c r="O489" s="20">
        <f t="shared" si="28"/>
        <v>1302.4960000000001</v>
      </c>
      <c r="P489" s="20">
        <f t="shared" si="29"/>
        <v>844.71160275052011</v>
      </c>
      <c r="Q489" s="20">
        <f t="shared" si="30"/>
        <v>457.78439724947998</v>
      </c>
      <c r="R489" s="22">
        <f t="shared" si="31"/>
        <v>0.35146702734555801</v>
      </c>
    </row>
    <row r="490" spans="1:18">
      <c r="A490" s="18">
        <v>1489</v>
      </c>
      <c r="B490" s="19" t="s">
        <v>252</v>
      </c>
      <c r="C490" s="18">
        <v>2024</v>
      </c>
      <c r="D490" s="18" t="s">
        <v>51</v>
      </c>
      <c r="E490" s="18" t="s">
        <v>79</v>
      </c>
      <c r="F490" s="18" t="s">
        <v>80</v>
      </c>
      <c r="G490" s="18" t="s">
        <v>41</v>
      </c>
      <c r="H490" s="18" t="s">
        <v>112</v>
      </c>
      <c r="I490" s="18" t="s">
        <v>54</v>
      </c>
      <c r="J490" s="18" t="s">
        <v>102</v>
      </c>
      <c r="K490" s="18">
        <v>6</v>
      </c>
      <c r="L490" s="20">
        <v>5995.4</v>
      </c>
      <c r="M490" s="21">
        <v>0.15</v>
      </c>
      <c r="N490" s="21">
        <v>0.72375376712491102</v>
      </c>
      <c r="O490" s="20">
        <f t="shared" si="28"/>
        <v>30576.539999999994</v>
      </c>
      <c r="P490" s="20">
        <f t="shared" si="29"/>
        <v>22129.886010645521</v>
      </c>
      <c r="Q490" s="20">
        <f t="shared" si="30"/>
        <v>8446.6539893544723</v>
      </c>
      <c r="R490" s="22">
        <f t="shared" si="31"/>
        <v>0.27624623287508898</v>
      </c>
    </row>
    <row r="491" spans="1:18">
      <c r="A491" s="18">
        <v>1490</v>
      </c>
      <c r="B491" s="19" t="s">
        <v>252</v>
      </c>
      <c r="C491" s="18">
        <v>2024</v>
      </c>
      <c r="D491" s="18" t="s">
        <v>51</v>
      </c>
      <c r="E491" s="18" t="s">
        <v>85</v>
      </c>
      <c r="F491" s="18" t="s">
        <v>86</v>
      </c>
      <c r="G491" s="18" t="s">
        <v>47</v>
      </c>
      <c r="H491" s="18" t="s">
        <v>107</v>
      </c>
      <c r="I491" s="18" t="s">
        <v>49</v>
      </c>
      <c r="J491" s="18" t="s">
        <v>102</v>
      </c>
      <c r="K491" s="18">
        <v>3</v>
      </c>
      <c r="L491" s="20">
        <v>2101.91</v>
      </c>
      <c r="M491" s="21">
        <v>0.1</v>
      </c>
      <c r="N491" s="21">
        <v>0.64566401532240902</v>
      </c>
      <c r="O491" s="20">
        <f t="shared" si="28"/>
        <v>5675.1570000000002</v>
      </c>
      <c r="P491" s="20">
        <f t="shared" si="29"/>
        <v>3664.2446562050768</v>
      </c>
      <c r="Q491" s="20">
        <f t="shared" si="30"/>
        <v>2010.9123437949233</v>
      </c>
      <c r="R491" s="22">
        <f t="shared" si="31"/>
        <v>0.35433598467759098</v>
      </c>
    </row>
    <row r="492" spans="1:18">
      <c r="A492" s="18">
        <v>1491</v>
      </c>
      <c r="B492" s="19" t="s">
        <v>253</v>
      </c>
      <c r="C492" s="18">
        <v>2024</v>
      </c>
      <c r="D492" s="18" t="s">
        <v>51</v>
      </c>
      <c r="E492" s="18" t="s">
        <v>98</v>
      </c>
      <c r="F492" s="18" t="s">
        <v>109</v>
      </c>
      <c r="G492" s="18" t="s">
        <v>44</v>
      </c>
      <c r="H492" s="18" t="s">
        <v>114</v>
      </c>
      <c r="I492" s="18" t="s">
        <v>43</v>
      </c>
      <c r="J492" s="18" t="s">
        <v>102</v>
      </c>
      <c r="K492" s="18">
        <v>9</v>
      </c>
      <c r="L492" s="20">
        <v>8964.06</v>
      </c>
      <c r="M492" s="21">
        <v>0.2</v>
      </c>
      <c r="N492" s="21">
        <v>0.55168372096392504</v>
      </c>
      <c r="O492" s="20">
        <f t="shared" si="28"/>
        <v>64541.231999999996</v>
      </c>
      <c r="P492" s="20">
        <f t="shared" si="29"/>
        <v>35606.34702535595</v>
      </c>
      <c r="Q492" s="20">
        <f t="shared" si="30"/>
        <v>28934.884974644046</v>
      </c>
      <c r="R492" s="22">
        <f t="shared" si="31"/>
        <v>0.44831627903607491</v>
      </c>
    </row>
    <row r="493" spans="1:18">
      <c r="A493" s="18">
        <v>1492</v>
      </c>
      <c r="B493" s="19" t="s">
        <v>253</v>
      </c>
      <c r="C493" s="18">
        <v>2024</v>
      </c>
      <c r="D493" s="18" t="s">
        <v>51</v>
      </c>
      <c r="E493" s="18" t="s">
        <v>88</v>
      </c>
      <c r="F493" s="18" t="s">
        <v>89</v>
      </c>
      <c r="G493" s="18" t="s">
        <v>41</v>
      </c>
      <c r="H493" s="18" t="s">
        <v>106</v>
      </c>
      <c r="I493" s="18" t="s">
        <v>54</v>
      </c>
      <c r="J493" s="18" t="s">
        <v>102</v>
      </c>
      <c r="K493" s="18">
        <v>5</v>
      </c>
      <c r="L493" s="20">
        <v>2421.79</v>
      </c>
      <c r="M493" s="21">
        <v>0.05</v>
      </c>
      <c r="N493" s="21">
        <v>0.59742783050150905</v>
      </c>
      <c r="O493" s="20">
        <f t="shared" si="28"/>
        <v>11503.502500000001</v>
      </c>
      <c r="P493" s="20">
        <f t="shared" si="29"/>
        <v>6872.5125417436857</v>
      </c>
      <c r="Q493" s="20">
        <f t="shared" si="30"/>
        <v>4630.9899582563148</v>
      </c>
      <c r="R493" s="22">
        <f t="shared" si="31"/>
        <v>0.40257216949849095</v>
      </c>
    </row>
    <row r="494" spans="1:18">
      <c r="A494" s="18">
        <v>1493</v>
      </c>
      <c r="B494" s="19" t="s">
        <v>254</v>
      </c>
      <c r="C494" s="18">
        <v>2024</v>
      </c>
      <c r="D494" s="18" t="s">
        <v>51</v>
      </c>
      <c r="E494" s="18" t="s">
        <v>98</v>
      </c>
      <c r="F494" s="18" t="s">
        <v>109</v>
      </c>
      <c r="G494" s="18" t="s">
        <v>44</v>
      </c>
      <c r="H494" s="18" t="s">
        <v>114</v>
      </c>
      <c r="I494" s="18" t="s">
        <v>56</v>
      </c>
      <c r="J494" s="18" t="s">
        <v>82</v>
      </c>
      <c r="K494" s="18">
        <v>7</v>
      </c>
      <c r="L494" s="20">
        <v>9180.64</v>
      </c>
      <c r="M494" s="21">
        <v>0.05</v>
      </c>
      <c r="N494" s="21">
        <v>0.62301559724558297</v>
      </c>
      <c r="O494" s="20">
        <f t="shared" si="28"/>
        <v>61051.255999999994</v>
      </c>
      <c r="P494" s="20">
        <f t="shared" si="29"/>
        <v>38035.884719432979</v>
      </c>
      <c r="Q494" s="20">
        <f t="shared" si="30"/>
        <v>23015.371280567015</v>
      </c>
      <c r="R494" s="22">
        <f t="shared" si="31"/>
        <v>0.37698440275441697</v>
      </c>
    </row>
    <row r="495" spans="1:18">
      <c r="A495" s="18">
        <v>1494</v>
      </c>
      <c r="B495" s="19" t="s">
        <v>254</v>
      </c>
      <c r="C495" s="18">
        <v>2024</v>
      </c>
      <c r="D495" s="18" t="s">
        <v>51</v>
      </c>
      <c r="E495" s="18" t="s">
        <v>85</v>
      </c>
      <c r="F495" s="18" t="s">
        <v>121</v>
      </c>
      <c r="G495" s="18" t="s">
        <v>50</v>
      </c>
      <c r="H495" s="18" t="s">
        <v>83</v>
      </c>
      <c r="I495" s="18" t="s">
        <v>62</v>
      </c>
      <c r="J495" s="18" t="s">
        <v>82</v>
      </c>
      <c r="K495" s="18">
        <v>10</v>
      </c>
      <c r="L495" s="20">
        <v>3565.1</v>
      </c>
      <c r="M495" s="21">
        <v>0</v>
      </c>
      <c r="N495" s="21">
        <v>0.69416309188298797</v>
      </c>
      <c r="O495" s="20">
        <f t="shared" si="28"/>
        <v>35651</v>
      </c>
      <c r="P495" s="20">
        <f t="shared" si="29"/>
        <v>24747.608388720404</v>
      </c>
      <c r="Q495" s="20">
        <f t="shared" si="30"/>
        <v>10903.391611279596</v>
      </c>
      <c r="R495" s="22">
        <f t="shared" si="31"/>
        <v>0.30583690811701203</v>
      </c>
    </row>
    <row r="496" spans="1:18">
      <c r="A496" s="18">
        <v>1495</v>
      </c>
      <c r="B496" s="19" t="s">
        <v>254</v>
      </c>
      <c r="C496" s="18">
        <v>2024</v>
      </c>
      <c r="D496" s="18" t="s">
        <v>51</v>
      </c>
      <c r="E496" s="18" t="s">
        <v>88</v>
      </c>
      <c r="F496" s="18" t="s">
        <v>93</v>
      </c>
      <c r="G496" s="18" t="s">
        <v>50</v>
      </c>
      <c r="H496" s="18" t="s">
        <v>97</v>
      </c>
      <c r="I496" s="18" t="s">
        <v>49</v>
      </c>
      <c r="J496" s="18" t="s">
        <v>82</v>
      </c>
      <c r="K496" s="18">
        <v>12</v>
      </c>
      <c r="L496" s="20">
        <v>11579.46</v>
      </c>
      <c r="M496" s="21">
        <v>0</v>
      </c>
      <c r="N496" s="21">
        <v>0.58532145533192304</v>
      </c>
      <c r="O496" s="20">
        <f t="shared" si="28"/>
        <v>138953.51999999999</v>
      </c>
      <c r="P496" s="20">
        <f t="shared" si="29"/>
        <v>81332.476549893472</v>
      </c>
      <c r="Q496" s="20">
        <f t="shared" si="30"/>
        <v>57621.043450106517</v>
      </c>
      <c r="R496" s="22">
        <f t="shared" si="31"/>
        <v>0.41467854466807691</v>
      </c>
    </row>
    <row r="497" spans="1:18">
      <c r="A497" s="18">
        <v>1496</v>
      </c>
      <c r="B497" s="19" t="s">
        <v>254</v>
      </c>
      <c r="C497" s="18">
        <v>2024</v>
      </c>
      <c r="D497" s="18" t="s">
        <v>51</v>
      </c>
      <c r="E497" s="18" t="s">
        <v>85</v>
      </c>
      <c r="F497" s="18" t="s">
        <v>86</v>
      </c>
      <c r="G497" s="18" t="s">
        <v>47</v>
      </c>
      <c r="H497" s="18" t="s">
        <v>107</v>
      </c>
      <c r="I497" s="18" t="s">
        <v>52</v>
      </c>
      <c r="J497" s="18" t="s">
        <v>91</v>
      </c>
      <c r="K497" s="18">
        <v>9</v>
      </c>
      <c r="L497" s="20">
        <v>2278.87</v>
      </c>
      <c r="M497" s="21">
        <v>0</v>
      </c>
      <c r="N497" s="21">
        <v>0.62968038037266605</v>
      </c>
      <c r="O497" s="20">
        <f t="shared" si="28"/>
        <v>20509.829999999998</v>
      </c>
      <c r="P497" s="20">
        <f t="shared" si="29"/>
        <v>12914.637555778716</v>
      </c>
      <c r="Q497" s="20">
        <f t="shared" si="30"/>
        <v>7595.1924442212821</v>
      </c>
      <c r="R497" s="22">
        <f t="shared" si="31"/>
        <v>0.37031961962733395</v>
      </c>
    </row>
    <row r="498" spans="1:18">
      <c r="A498" s="18">
        <v>1497</v>
      </c>
      <c r="B498" s="19" t="s">
        <v>254</v>
      </c>
      <c r="C498" s="18">
        <v>2024</v>
      </c>
      <c r="D498" s="18" t="s">
        <v>51</v>
      </c>
      <c r="E498" s="18" t="s">
        <v>88</v>
      </c>
      <c r="F498" s="18" t="s">
        <v>110</v>
      </c>
      <c r="G498" s="18" t="s">
        <v>44</v>
      </c>
      <c r="H498" s="18" t="s">
        <v>114</v>
      </c>
      <c r="I498" s="18" t="s">
        <v>58</v>
      </c>
      <c r="J498" s="18" t="s">
        <v>102</v>
      </c>
      <c r="K498" s="18">
        <v>2</v>
      </c>
      <c r="L498" s="20">
        <v>8954.8700000000008</v>
      </c>
      <c r="M498" s="21">
        <v>0.05</v>
      </c>
      <c r="N498" s="21">
        <v>0.60195382440233502</v>
      </c>
      <c r="O498" s="20">
        <f t="shared" si="28"/>
        <v>17014.253000000001</v>
      </c>
      <c r="P498" s="20">
        <f t="shared" si="29"/>
        <v>10241.794662698901</v>
      </c>
      <c r="Q498" s="20">
        <f t="shared" si="30"/>
        <v>6772.4583373010992</v>
      </c>
      <c r="R498" s="22">
        <f t="shared" si="31"/>
        <v>0.39804617559766503</v>
      </c>
    </row>
    <row r="499" spans="1:18">
      <c r="A499" s="18">
        <v>1498</v>
      </c>
      <c r="B499" s="19" t="s">
        <v>255</v>
      </c>
      <c r="C499" s="18">
        <v>2024</v>
      </c>
      <c r="D499" s="18" t="s">
        <v>51</v>
      </c>
      <c r="E499" s="18" t="s">
        <v>98</v>
      </c>
      <c r="F499" s="18" t="s">
        <v>109</v>
      </c>
      <c r="G499" s="18" t="s">
        <v>41</v>
      </c>
      <c r="H499" s="18" t="s">
        <v>112</v>
      </c>
      <c r="I499" s="18" t="s">
        <v>43</v>
      </c>
      <c r="J499" s="18" t="s">
        <v>91</v>
      </c>
      <c r="K499" s="18">
        <v>11</v>
      </c>
      <c r="L499" s="20">
        <v>6277.87</v>
      </c>
      <c r="M499" s="21">
        <v>0</v>
      </c>
      <c r="N499" s="21">
        <v>0.66537075128539602</v>
      </c>
      <c r="O499" s="20">
        <f t="shared" si="28"/>
        <v>69056.569999999992</v>
      </c>
      <c r="P499" s="20">
        <f t="shared" si="29"/>
        <v>45948.221862092534</v>
      </c>
      <c r="Q499" s="20">
        <f t="shared" si="30"/>
        <v>23108.348137907458</v>
      </c>
      <c r="R499" s="22">
        <f t="shared" si="31"/>
        <v>0.33462924871460398</v>
      </c>
    </row>
    <row r="500" spans="1:18">
      <c r="A500" s="18">
        <v>1499</v>
      </c>
      <c r="B500" s="19" t="s">
        <v>255</v>
      </c>
      <c r="C500" s="18">
        <v>2024</v>
      </c>
      <c r="D500" s="18" t="s">
        <v>51</v>
      </c>
      <c r="E500" s="18" t="s">
        <v>88</v>
      </c>
      <c r="F500" s="18" t="s">
        <v>89</v>
      </c>
      <c r="G500" s="18" t="s">
        <v>47</v>
      </c>
      <c r="H500" s="18" t="s">
        <v>107</v>
      </c>
      <c r="I500" s="18" t="s">
        <v>60</v>
      </c>
      <c r="J500" s="18" t="s">
        <v>91</v>
      </c>
      <c r="K500" s="18">
        <v>12</v>
      </c>
      <c r="L500" s="20">
        <v>2188.3200000000002</v>
      </c>
      <c r="M500" s="21">
        <v>0</v>
      </c>
      <c r="N500" s="21">
        <v>0.62621419968256897</v>
      </c>
      <c r="O500" s="20">
        <f t="shared" si="28"/>
        <v>26259.840000000004</v>
      </c>
      <c r="P500" s="20">
        <f t="shared" si="29"/>
        <v>16444.284689392316</v>
      </c>
      <c r="Q500" s="20">
        <f t="shared" si="30"/>
        <v>9815.5553106076877</v>
      </c>
      <c r="R500" s="22">
        <f t="shared" si="31"/>
        <v>0.37378580031743097</v>
      </c>
    </row>
    <row r="501" spans="1:18">
      <c r="A501" s="18">
        <v>1500</v>
      </c>
      <c r="B501" s="19" t="s">
        <v>255</v>
      </c>
      <c r="C501" s="18">
        <v>2024</v>
      </c>
      <c r="D501" s="18" t="s">
        <v>51</v>
      </c>
      <c r="E501" s="18" t="s">
        <v>98</v>
      </c>
      <c r="F501" s="18" t="s">
        <v>109</v>
      </c>
      <c r="G501" s="18" t="s">
        <v>44</v>
      </c>
      <c r="H501" s="18" t="s">
        <v>119</v>
      </c>
      <c r="I501" s="18" t="s">
        <v>54</v>
      </c>
      <c r="J501" s="18" t="s">
        <v>91</v>
      </c>
      <c r="K501" s="18">
        <v>11</v>
      </c>
      <c r="L501" s="20">
        <v>7078.62</v>
      </c>
      <c r="M501" s="21">
        <v>0.1</v>
      </c>
      <c r="N501" s="21">
        <v>0.71978015438776199</v>
      </c>
      <c r="O501" s="20">
        <f t="shared" si="28"/>
        <v>70078.337999999989</v>
      </c>
      <c r="P501" s="20">
        <f t="shared" si="29"/>
        <v>50440.996944877763</v>
      </c>
      <c r="Q501" s="20">
        <f t="shared" si="30"/>
        <v>19637.341055122226</v>
      </c>
      <c r="R501" s="22">
        <f t="shared" si="31"/>
        <v>0.28021984561223795</v>
      </c>
    </row>
    <row r="502" spans="1:18">
      <c r="A502" s="18">
        <v>1501</v>
      </c>
      <c r="B502" s="19" t="s">
        <v>255</v>
      </c>
      <c r="C502" s="18">
        <v>2024</v>
      </c>
      <c r="D502" s="18" t="s">
        <v>51</v>
      </c>
      <c r="E502" s="18" t="s">
        <v>79</v>
      </c>
      <c r="F502" s="18" t="s">
        <v>100</v>
      </c>
      <c r="G502" s="18" t="s">
        <v>44</v>
      </c>
      <c r="H502" s="18" t="s">
        <v>114</v>
      </c>
      <c r="I502" s="18" t="s">
        <v>49</v>
      </c>
      <c r="J502" s="18" t="s">
        <v>91</v>
      </c>
      <c r="K502" s="18">
        <v>6</v>
      </c>
      <c r="L502" s="20">
        <v>9137.7099999999991</v>
      </c>
      <c r="M502" s="21">
        <v>0.2</v>
      </c>
      <c r="N502" s="21">
        <v>0.60349447817412805</v>
      </c>
      <c r="O502" s="20">
        <f t="shared" si="28"/>
        <v>43861.008000000002</v>
      </c>
      <c r="P502" s="20">
        <f t="shared" si="29"/>
        <v>26469.876135151255</v>
      </c>
      <c r="Q502" s="20">
        <f t="shared" si="30"/>
        <v>17391.131864848747</v>
      </c>
      <c r="R502" s="22">
        <f t="shared" si="31"/>
        <v>0.39650552182587201</v>
      </c>
    </row>
    <row r="503" spans="1:18">
      <c r="A503" s="18">
        <v>1502</v>
      </c>
      <c r="B503" s="19" t="s">
        <v>256</v>
      </c>
      <c r="C503" s="18">
        <v>2024</v>
      </c>
      <c r="D503" s="18" t="s">
        <v>51</v>
      </c>
      <c r="E503" s="18" t="s">
        <v>98</v>
      </c>
      <c r="F503" s="18" t="s">
        <v>109</v>
      </c>
      <c r="G503" s="18" t="s">
        <v>47</v>
      </c>
      <c r="H503" s="18" t="s">
        <v>103</v>
      </c>
      <c r="I503" s="18" t="s">
        <v>62</v>
      </c>
      <c r="J503" s="18" t="s">
        <v>102</v>
      </c>
      <c r="K503" s="18">
        <v>8</v>
      </c>
      <c r="L503" s="20">
        <v>3172.48</v>
      </c>
      <c r="M503" s="21">
        <v>0</v>
      </c>
      <c r="N503" s="21">
        <v>0.72084236893519904</v>
      </c>
      <c r="O503" s="20">
        <f t="shared" si="28"/>
        <v>25379.84</v>
      </c>
      <c r="P503" s="20">
        <f t="shared" si="29"/>
        <v>18294.863988796322</v>
      </c>
      <c r="Q503" s="20">
        <f t="shared" si="30"/>
        <v>7084.9760112036784</v>
      </c>
      <c r="R503" s="22">
        <f t="shared" si="31"/>
        <v>0.27915763106480096</v>
      </c>
    </row>
    <row r="504" spans="1:18">
      <c r="A504" s="18">
        <v>1503</v>
      </c>
      <c r="B504" s="19" t="s">
        <v>256</v>
      </c>
      <c r="C504" s="18">
        <v>2024</v>
      </c>
      <c r="D504" s="18" t="s">
        <v>51</v>
      </c>
      <c r="E504" s="18" t="s">
        <v>88</v>
      </c>
      <c r="F504" s="18" t="s">
        <v>93</v>
      </c>
      <c r="G504" s="18" t="s">
        <v>44</v>
      </c>
      <c r="H504" s="18" t="s">
        <v>95</v>
      </c>
      <c r="I504" s="18" t="s">
        <v>52</v>
      </c>
      <c r="J504" s="18" t="s">
        <v>102</v>
      </c>
      <c r="K504" s="18">
        <v>12</v>
      </c>
      <c r="L504" s="20">
        <v>4612.38</v>
      </c>
      <c r="M504" s="21">
        <v>0</v>
      </c>
      <c r="N504" s="21">
        <v>0.58338209300793098</v>
      </c>
      <c r="O504" s="20">
        <f t="shared" si="28"/>
        <v>55348.56</v>
      </c>
      <c r="P504" s="20">
        <f t="shared" si="29"/>
        <v>32289.358777775047</v>
      </c>
      <c r="Q504" s="20">
        <f t="shared" si="30"/>
        <v>23059.20122222495</v>
      </c>
      <c r="R504" s="22">
        <f t="shared" si="31"/>
        <v>0.41661790699206902</v>
      </c>
    </row>
    <row r="505" spans="1:18">
      <c r="A505" s="18">
        <v>1504</v>
      </c>
      <c r="B505" s="19" t="s">
        <v>256</v>
      </c>
      <c r="C505" s="18">
        <v>2024</v>
      </c>
      <c r="D505" s="18" t="s">
        <v>51</v>
      </c>
      <c r="E505" s="18" t="s">
        <v>79</v>
      </c>
      <c r="F505" s="18" t="s">
        <v>100</v>
      </c>
      <c r="G505" s="18" t="s">
        <v>41</v>
      </c>
      <c r="H505" s="18" t="s">
        <v>112</v>
      </c>
      <c r="I505" s="18" t="s">
        <v>60</v>
      </c>
      <c r="J505" s="18" t="s">
        <v>82</v>
      </c>
      <c r="K505" s="18">
        <v>1</v>
      </c>
      <c r="L505" s="20">
        <v>6162.56</v>
      </c>
      <c r="M505" s="21">
        <v>0.15</v>
      </c>
      <c r="N505" s="21">
        <v>0.70299927442671895</v>
      </c>
      <c r="O505" s="20">
        <f t="shared" si="28"/>
        <v>5238.1760000000004</v>
      </c>
      <c r="P505" s="20">
        <f t="shared" si="29"/>
        <v>3682.4339273194532</v>
      </c>
      <c r="Q505" s="20">
        <f t="shared" si="30"/>
        <v>1555.7420726805472</v>
      </c>
      <c r="R505" s="22">
        <f t="shared" si="31"/>
        <v>0.29700072557328105</v>
      </c>
    </row>
    <row r="506" spans="1:18">
      <c r="A506" s="18">
        <v>1505</v>
      </c>
      <c r="B506" s="19" t="s">
        <v>256</v>
      </c>
      <c r="C506" s="18">
        <v>2024</v>
      </c>
      <c r="D506" s="18" t="s">
        <v>51</v>
      </c>
      <c r="E506" s="18" t="s">
        <v>79</v>
      </c>
      <c r="F506" s="18" t="s">
        <v>100</v>
      </c>
      <c r="G506" s="18" t="s">
        <v>47</v>
      </c>
      <c r="H506" s="18" t="s">
        <v>103</v>
      </c>
      <c r="I506" s="18" t="s">
        <v>46</v>
      </c>
      <c r="J506" s="18" t="s">
        <v>82</v>
      </c>
      <c r="K506" s="18">
        <v>11</v>
      </c>
      <c r="L506" s="20">
        <v>3338.11</v>
      </c>
      <c r="M506" s="21">
        <v>0.1</v>
      </c>
      <c r="N506" s="21">
        <v>0.61187413070999996</v>
      </c>
      <c r="O506" s="20">
        <f t="shared" si="28"/>
        <v>33047.288999999997</v>
      </c>
      <c r="P506" s="20">
        <f t="shared" si="29"/>
        <v>20220.781229197142</v>
      </c>
      <c r="Q506" s="20">
        <f t="shared" si="30"/>
        <v>12826.507770802855</v>
      </c>
      <c r="R506" s="22">
        <f t="shared" si="31"/>
        <v>0.38812586929000004</v>
      </c>
    </row>
    <row r="507" spans="1:18">
      <c r="A507" s="18">
        <v>1506</v>
      </c>
      <c r="B507" s="19" t="s">
        <v>256</v>
      </c>
      <c r="C507" s="18">
        <v>2024</v>
      </c>
      <c r="D507" s="18" t="s">
        <v>51</v>
      </c>
      <c r="E507" s="18" t="s">
        <v>88</v>
      </c>
      <c r="F507" s="18" t="s">
        <v>93</v>
      </c>
      <c r="G507" s="18" t="s">
        <v>47</v>
      </c>
      <c r="H507" s="18" t="s">
        <v>107</v>
      </c>
      <c r="I507" s="18" t="s">
        <v>46</v>
      </c>
      <c r="J507" s="18" t="s">
        <v>82</v>
      </c>
      <c r="K507" s="18">
        <v>9</v>
      </c>
      <c r="L507" s="20">
        <v>2274.4699999999998</v>
      </c>
      <c r="M507" s="21">
        <v>0</v>
      </c>
      <c r="N507" s="21">
        <v>0.55703099617890905</v>
      </c>
      <c r="O507" s="20">
        <f t="shared" si="28"/>
        <v>20470.23</v>
      </c>
      <c r="P507" s="20">
        <f t="shared" si="29"/>
        <v>11402.55260891139</v>
      </c>
      <c r="Q507" s="20">
        <f t="shared" si="30"/>
        <v>9067.6773910886095</v>
      </c>
      <c r="R507" s="22">
        <f t="shared" si="31"/>
        <v>0.44296900382109089</v>
      </c>
    </row>
    <row r="508" spans="1:18">
      <c r="A508" s="18">
        <v>1507</v>
      </c>
      <c r="B508" s="19" t="s">
        <v>257</v>
      </c>
      <c r="C508" s="18">
        <v>2024</v>
      </c>
      <c r="D508" s="18" t="s">
        <v>51</v>
      </c>
      <c r="E508" s="18" t="s">
        <v>98</v>
      </c>
      <c r="F508" s="18" t="s">
        <v>109</v>
      </c>
      <c r="G508" s="18" t="s">
        <v>50</v>
      </c>
      <c r="H508" s="18" t="s">
        <v>87</v>
      </c>
      <c r="I508" s="18" t="s">
        <v>52</v>
      </c>
      <c r="J508" s="18" t="s">
        <v>102</v>
      </c>
      <c r="K508" s="18">
        <v>8</v>
      </c>
      <c r="L508" s="20">
        <v>9153.36</v>
      </c>
      <c r="M508" s="21">
        <v>0.2</v>
      </c>
      <c r="N508" s="21">
        <v>0.65785751369154</v>
      </c>
      <c r="O508" s="20">
        <f t="shared" si="28"/>
        <v>58581.504000000008</v>
      </c>
      <c r="P508" s="20">
        <f t="shared" si="29"/>
        <v>38538.282569751012</v>
      </c>
      <c r="Q508" s="20">
        <f t="shared" si="30"/>
        <v>20043.221430248996</v>
      </c>
      <c r="R508" s="22">
        <f t="shared" si="31"/>
        <v>0.34214248630845995</v>
      </c>
    </row>
    <row r="509" spans="1:18">
      <c r="A509" s="18">
        <v>1508</v>
      </c>
      <c r="B509" s="19" t="s">
        <v>257</v>
      </c>
      <c r="C509" s="18">
        <v>2024</v>
      </c>
      <c r="D509" s="18" t="s">
        <v>51</v>
      </c>
      <c r="E509" s="18" t="s">
        <v>85</v>
      </c>
      <c r="F509" s="18" t="s">
        <v>94</v>
      </c>
      <c r="G509" s="18" t="s">
        <v>50</v>
      </c>
      <c r="H509" s="18" t="s">
        <v>87</v>
      </c>
      <c r="I509" s="18" t="s">
        <v>60</v>
      </c>
      <c r="J509" s="18" t="s">
        <v>91</v>
      </c>
      <c r="K509" s="18">
        <v>6</v>
      </c>
      <c r="L509" s="20">
        <v>9482.57</v>
      </c>
      <c r="M509" s="21">
        <v>0</v>
      </c>
      <c r="N509" s="21">
        <v>0.71094155324929098</v>
      </c>
      <c r="O509" s="20">
        <f t="shared" si="28"/>
        <v>56895.42</v>
      </c>
      <c r="P509" s="20">
        <f t="shared" si="29"/>
        <v>40449.318267570772</v>
      </c>
      <c r="Q509" s="20">
        <f t="shared" si="30"/>
        <v>16446.101732429226</v>
      </c>
      <c r="R509" s="22">
        <f t="shared" si="31"/>
        <v>0.28905844675070907</v>
      </c>
    </row>
    <row r="510" spans="1:18">
      <c r="A510" s="18">
        <v>1509</v>
      </c>
      <c r="B510" s="19" t="s">
        <v>257</v>
      </c>
      <c r="C510" s="18">
        <v>2024</v>
      </c>
      <c r="D510" s="18" t="s">
        <v>51</v>
      </c>
      <c r="E510" s="18" t="s">
        <v>85</v>
      </c>
      <c r="F510" s="18" t="s">
        <v>121</v>
      </c>
      <c r="G510" s="18" t="s">
        <v>47</v>
      </c>
      <c r="H510" s="18" t="s">
        <v>107</v>
      </c>
      <c r="I510" s="18" t="s">
        <v>52</v>
      </c>
      <c r="J510" s="18" t="s">
        <v>82</v>
      </c>
      <c r="K510" s="18">
        <v>5</v>
      </c>
      <c r="L510" s="20">
        <v>2092.3200000000002</v>
      </c>
      <c r="M510" s="21">
        <v>0.15</v>
      </c>
      <c r="N510" s="21">
        <v>0.71307595783217803</v>
      </c>
      <c r="O510" s="20">
        <f t="shared" si="28"/>
        <v>8892.36</v>
      </c>
      <c r="P510" s="20">
        <f t="shared" si="29"/>
        <v>6340.9281243885471</v>
      </c>
      <c r="Q510" s="20">
        <f t="shared" si="30"/>
        <v>2551.4318756114535</v>
      </c>
      <c r="R510" s="22">
        <f t="shared" si="31"/>
        <v>0.28692404216782197</v>
      </c>
    </row>
    <row r="511" spans="1:18">
      <c r="A511" s="18">
        <v>1510</v>
      </c>
      <c r="B511" s="19" t="s">
        <v>257</v>
      </c>
      <c r="C511" s="18">
        <v>2024</v>
      </c>
      <c r="D511" s="18" t="s">
        <v>51</v>
      </c>
      <c r="E511" s="18" t="s">
        <v>88</v>
      </c>
      <c r="F511" s="18" t="s">
        <v>89</v>
      </c>
      <c r="G511" s="18" t="s">
        <v>47</v>
      </c>
      <c r="H511" s="18" t="s">
        <v>107</v>
      </c>
      <c r="I511" s="18" t="s">
        <v>60</v>
      </c>
      <c r="J511" s="18" t="s">
        <v>82</v>
      </c>
      <c r="K511" s="18">
        <v>12</v>
      </c>
      <c r="L511" s="20">
        <v>2292.86</v>
      </c>
      <c r="M511" s="21">
        <v>0.1</v>
      </c>
      <c r="N511" s="21">
        <v>0.60992210359742105</v>
      </c>
      <c r="O511" s="20">
        <f t="shared" si="28"/>
        <v>24762.887999999999</v>
      </c>
      <c r="P511" s="20">
        <f t="shared" si="29"/>
        <v>15103.432740107333</v>
      </c>
      <c r="Q511" s="20">
        <f t="shared" si="30"/>
        <v>9659.4552598926657</v>
      </c>
      <c r="R511" s="22">
        <f t="shared" si="31"/>
        <v>0.39007789640257895</v>
      </c>
    </row>
    <row r="512" spans="1:18">
      <c r="A512" s="18">
        <v>1511</v>
      </c>
      <c r="B512" s="19" t="s">
        <v>258</v>
      </c>
      <c r="C512" s="18">
        <v>2024</v>
      </c>
      <c r="D512" s="18" t="s">
        <v>51</v>
      </c>
      <c r="E512" s="18" t="s">
        <v>98</v>
      </c>
      <c r="F512" s="18" t="s">
        <v>99</v>
      </c>
      <c r="G512" s="18" t="s">
        <v>44</v>
      </c>
      <c r="H512" s="18" t="s">
        <v>119</v>
      </c>
      <c r="I512" s="18" t="s">
        <v>60</v>
      </c>
      <c r="J512" s="18" t="s">
        <v>91</v>
      </c>
      <c r="K512" s="18">
        <v>4</v>
      </c>
      <c r="L512" s="20">
        <v>6938.22</v>
      </c>
      <c r="M512" s="21">
        <v>0.15</v>
      </c>
      <c r="N512" s="21">
        <v>0.63742127328329101</v>
      </c>
      <c r="O512" s="20">
        <f t="shared" si="28"/>
        <v>23589.948</v>
      </c>
      <c r="P512" s="20">
        <f t="shared" si="29"/>
        <v>15036.734690846624</v>
      </c>
      <c r="Q512" s="20">
        <f t="shared" si="30"/>
        <v>8553.213309153376</v>
      </c>
      <c r="R512" s="22">
        <f t="shared" si="31"/>
        <v>0.36257872671670899</v>
      </c>
    </row>
    <row r="513" spans="1:18">
      <c r="A513" s="18">
        <v>1512</v>
      </c>
      <c r="B513" s="19" t="s">
        <v>258</v>
      </c>
      <c r="C513" s="18">
        <v>2024</v>
      </c>
      <c r="D513" s="18" t="s">
        <v>51</v>
      </c>
      <c r="E513" s="18" t="s">
        <v>88</v>
      </c>
      <c r="F513" s="18" t="s">
        <v>110</v>
      </c>
      <c r="G513" s="18" t="s">
        <v>50</v>
      </c>
      <c r="H513" s="18" t="s">
        <v>97</v>
      </c>
      <c r="I513" s="18" t="s">
        <v>49</v>
      </c>
      <c r="J513" s="18" t="s">
        <v>91</v>
      </c>
      <c r="K513" s="18">
        <v>2</v>
      </c>
      <c r="L513" s="20">
        <v>11906.69</v>
      </c>
      <c r="M513" s="21">
        <v>0</v>
      </c>
      <c r="N513" s="21">
        <v>0.65332201237162701</v>
      </c>
      <c r="O513" s="20">
        <f t="shared" si="28"/>
        <v>23813.38</v>
      </c>
      <c r="P513" s="20">
        <f t="shared" si="29"/>
        <v>15557.805342970256</v>
      </c>
      <c r="Q513" s="20">
        <f t="shared" si="30"/>
        <v>8255.5746570297451</v>
      </c>
      <c r="R513" s="22">
        <f t="shared" si="31"/>
        <v>0.34667798762837299</v>
      </c>
    </row>
    <row r="514" spans="1:18">
      <c r="A514" s="18">
        <v>1513</v>
      </c>
      <c r="B514" s="19" t="s">
        <v>258</v>
      </c>
      <c r="C514" s="18">
        <v>2024</v>
      </c>
      <c r="D514" s="18" t="s">
        <v>51</v>
      </c>
      <c r="E514" s="18" t="s">
        <v>98</v>
      </c>
      <c r="F514" s="18" t="s">
        <v>109</v>
      </c>
      <c r="G514" s="18" t="s">
        <v>47</v>
      </c>
      <c r="H514" s="18" t="s">
        <v>107</v>
      </c>
      <c r="I514" s="18" t="s">
        <v>49</v>
      </c>
      <c r="J514" s="18" t="s">
        <v>82</v>
      </c>
      <c r="K514" s="18">
        <v>3</v>
      </c>
      <c r="L514" s="20">
        <v>2120.06</v>
      </c>
      <c r="M514" s="21">
        <v>0</v>
      </c>
      <c r="N514" s="21">
        <v>0.67737854190966895</v>
      </c>
      <c r="O514" s="20">
        <f t="shared" ref="O514:O577" si="32">K514*L514*(1-M514)</f>
        <v>6360.18</v>
      </c>
      <c r="P514" s="20">
        <f t="shared" ref="P514:P577" si="33">O514*N514</f>
        <v>4308.2494546830385</v>
      </c>
      <c r="Q514" s="20">
        <f t="shared" ref="Q514:Q577" si="34">O514-P514</f>
        <v>2051.9305453169618</v>
      </c>
      <c r="R514" s="22">
        <f t="shared" ref="R514:R577" si="35">IF(O514=0,0,Q514/O514)</f>
        <v>0.32262145809033105</v>
      </c>
    </row>
    <row r="515" spans="1:18">
      <c r="A515" s="18">
        <v>1514</v>
      </c>
      <c r="B515" s="19" t="s">
        <v>258</v>
      </c>
      <c r="C515" s="18">
        <v>2024</v>
      </c>
      <c r="D515" s="18" t="s">
        <v>51</v>
      </c>
      <c r="E515" s="18" t="s">
        <v>85</v>
      </c>
      <c r="F515" s="18" t="s">
        <v>121</v>
      </c>
      <c r="G515" s="18" t="s">
        <v>50</v>
      </c>
      <c r="H515" s="18" t="s">
        <v>83</v>
      </c>
      <c r="I515" s="18" t="s">
        <v>54</v>
      </c>
      <c r="J515" s="18" t="s">
        <v>82</v>
      </c>
      <c r="K515" s="18">
        <v>3</v>
      </c>
      <c r="L515" s="20">
        <v>3342.37</v>
      </c>
      <c r="M515" s="21">
        <v>0.15</v>
      </c>
      <c r="N515" s="21">
        <v>0.55442617712309605</v>
      </c>
      <c r="O515" s="20">
        <f t="shared" si="32"/>
        <v>8523.0434999999998</v>
      </c>
      <c r="P515" s="20">
        <f t="shared" si="33"/>
        <v>4725.3984251588527</v>
      </c>
      <c r="Q515" s="20">
        <f t="shared" si="34"/>
        <v>3797.6450748411471</v>
      </c>
      <c r="R515" s="22">
        <f t="shared" si="35"/>
        <v>0.44557382287690389</v>
      </c>
    </row>
    <row r="516" spans="1:18">
      <c r="A516" s="18">
        <v>1515</v>
      </c>
      <c r="B516" s="19" t="s">
        <v>258</v>
      </c>
      <c r="C516" s="18">
        <v>2024</v>
      </c>
      <c r="D516" s="18" t="s">
        <v>51</v>
      </c>
      <c r="E516" s="18" t="s">
        <v>79</v>
      </c>
      <c r="F516" s="18" t="s">
        <v>105</v>
      </c>
      <c r="G516" s="18" t="s">
        <v>47</v>
      </c>
      <c r="H516" s="18" t="s">
        <v>81</v>
      </c>
      <c r="I516" s="18" t="s">
        <v>58</v>
      </c>
      <c r="J516" s="18" t="s">
        <v>102</v>
      </c>
      <c r="K516" s="18">
        <v>1</v>
      </c>
      <c r="L516" s="20">
        <v>778.62</v>
      </c>
      <c r="M516" s="21">
        <v>0</v>
      </c>
      <c r="N516" s="21">
        <v>0.552944969376295</v>
      </c>
      <c r="O516" s="20">
        <f t="shared" si="32"/>
        <v>778.62</v>
      </c>
      <c r="P516" s="20">
        <f t="shared" si="33"/>
        <v>430.5340120557708</v>
      </c>
      <c r="Q516" s="20">
        <f t="shared" si="34"/>
        <v>348.0859879442292</v>
      </c>
      <c r="R516" s="22">
        <f t="shared" si="35"/>
        <v>0.447055030623705</v>
      </c>
    </row>
    <row r="517" spans="1:18">
      <c r="A517" s="18">
        <v>1516</v>
      </c>
      <c r="B517" s="19" t="s">
        <v>259</v>
      </c>
      <c r="C517" s="18">
        <v>2024</v>
      </c>
      <c r="D517" s="18" t="s">
        <v>51</v>
      </c>
      <c r="E517" s="18" t="s">
        <v>98</v>
      </c>
      <c r="F517" s="18" t="s">
        <v>109</v>
      </c>
      <c r="G517" s="18" t="s">
        <v>47</v>
      </c>
      <c r="H517" s="18" t="s">
        <v>107</v>
      </c>
      <c r="I517" s="18" t="s">
        <v>54</v>
      </c>
      <c r="J517" s="18" t="s">
        <v>91</v>
      </c>
      <c r="K517" s="18">
        <v>12</v>
      </c>
      <c r="L517" s="20">
        <v>2264.11</v>
      </c>
      <c r="M517" s="21">
        <v>0.05</v>
      </c>
      <c r="N517" s="21">
        <v>0.56604461944631701</v>
      </c>
      <c r="O517" s="20">
        <f t="shared" si="32"/>
        <v>25810.853999999999</v>
      </c>
      <c r="P517" s="20">
        <f t="shared" si="33"/>
        <v>14610.095030014449</v>
      </c>
      <c r="Q517" s="20">
        <f t="shared" si="34"/>
        <v>11200.758969985551</v>
      </c>
      <c r="R517" s="22">
        <f t="shared" si="35"/>
        <v>0.43395538055368299</v>
      </c>
    </row>
    <row r="518" spans="1:18">
      <c r="A518" s="18">
        <v>1517</v>
      </c>
      <c r="B518" s="19" t="s">
        <v>259</v>
      </c>
      <c r="C518" s="18">
        <v>2024</v>
      </c>
      <c r="D518" s="18" t="s">
        <v>51</v>
      </c>
      <c r="E518" s="18" t="s">
        <v>88</v>
      </c>
      <c r="F518" s="18" t="s">
        <v>110</v>
      </c>
      <c r="G518" s="18" t="s">
        <v>47</v>
      </c>
      <c r="H518" s="18" t="s">
        <v>107</v>
      </c>
      <c r="I518" s="18" t="s">
        <v>43</v>
      </c>
      <c r="J518" s="18" t="s">
        <v>102</v>
      </c>
      <c r="K518" s="18">
        <v>8</v>
      </c>
      <c r="L518" s="20">
        <v>2129.9499999999998</v>
      </c>
      <c r="M518" s="21">
        <v>0.05</v>
      </c>
      <c r="N518" s="21">
        <v>0.71345014479991398</v>
      </c>
      <c r="O518" s="20">
        <f t="shared" si="32"/>
        <v>16187.619999999997</v>
      </c>
      <c r="P518" s="20">
        <f t="shared" si="33"/>
        <v>11549.059832965981</v>
      </c>
      <c r="Q518" s="20">
        <f t="shared" si="34"/>
        <v>4638.5601670340166</v>
      </c>
      <c r="R518" s="22">
        <f t="shared" si="35"/>
        <v>0.28654985520008608</v>
      </c>
    </row>
    <row r="519" spans="1:18">
      <c r="A519" s="18">
        <v>1518</v>
      </c>
      <c r="B519" s="19" t="s">
        <v>259</v>
      </c>
      <c r="C519" s="18">
        <v>2024</v>
      </c>
      <c r="D519" s="18" t="s">
        <v>51</v>
      </c>
      <c r="E519" s="18" t="s">
        <v>79</v>
      </c>
      <c r="F519" s="18" t="s">
        <v>100</v>
      </c>
      <c r="G519" s="18" t="s">
        <v>44</v>
      </c>
      <c r="H519" s="18" t="s">
        <v>114</v>
      </c>
      <c r="I519" s="18" t="s">
        <v>58</v>
      </c>
      <c r="J519" s="18" t="s">
        <v>82</v>
      </c>
      <c r="K519" s="18">
        <v>12</v>
      </c>
      <c r="L519" s="20">
        <v>9445.08</v>
      </c>
      <c r="M519" s="21">
        <v>0</v>
      </c>
      <c r="N519" s="21">
        <v>0.64216692706245604</v>
      </c>
      <c r="O519" s="20">
        <f t="shared" si="32"/>
        <v>113340.95999999999</v>
      </c>
      <c r="P519" s="20">
        <f t="shared" si="33"/>
        <v>72783.815993508746</v>
      </c>
      <c r="Q519" s="20">
        <f t="shared" si="34"/>
        <v>40557.144006491246</v>
      </c>
      <c r="R519" s="22">
        <f t="shared" si="35"/>
        <v>0.35783307293754391</v>
      </c>
    </row>
    <row r="520" spans="1:18">
      <c r="A520" s="18">
        <v>1519</v>
      </c>
      <c r="B520" s="19" t="s">
        <v>260</v>
      </c>
      <c r="C520" s="18">
        <v>2024</v>
      </c>
      <c r="D520" s="18" t="s">
        <v>51</v>
      </c>
      <c r="E520" s="18" t="s">
        <v>88</v>
      </c>
      <c r="F520" s="18" t="s">
        <v>89</v>
      </c>
      <c r="G520" s="18" t="s">
        <v>50</v>
      </c>
      <c r="H520" s="18" t="s">
        <v>87</v>
      </c>
      <c r="I520" s="18" t="s">
        <v>52</v>
      </c>
      <c r="J520" s="18" t="s">
        <v>91</v>
      </c>
      <c r="K520" s="18">
        <v>3</v>
      </c>
      <c r="L520" s="20">
        <v>9622.7099999999991</v>
      </c>
      <c r="M520" s="21">
        <v>0</v>
      </c>
      <c r="N520" s="21">
        <v>0.69894491573783901</v>
      </c>
      <c r="O520" s="20">
        <f t="shared" si="32"/>
        <v>28868.129999999997</v>
      </c>
      <c r="P520" s="20">
        <f t="shared" si="33"/>
        <v>20177.232690358982</v>
      </c>
      <c r="Q520" s="20">
        <f t="shared" si="34"/>
        <v>8690.8973096410155</v>
      </c>
      <c r="R520" s="22">
        <f t="shared" si="35"/>
        <v>0.30105508426216093</v>
      </c>
    </row>
    <row r="521" spans="1:18">
      <c r="A521" s="18">
        <v>1520</v>
      </c>
      <c r="B521" s="19" t="s">
        <v>260</v>
      </c>
      <c r="C521" s="18">
        <v>2024</v>
      </c>
      <c r="D521" s="18" t="s">
        <v>51</v>
      </c>
      <c r="E521" s="18" t="s">
        <v>79</v>
      </c>
      <c r="F521" s="18" t="s">
        <v>105</v>
      </c>
      <c r="G521" s="18" t="s">
        <v>50</v>
      </c>
      <c r="H521" s="18" t="s">
        <v>87</v>
      </c>
      <c r="I521" s="18" t="s">
        <v>52</v>
      </c>
      <c r="J521" s="18" t="s">
        <v>82</v>
      </c>
      <c r="K521" s="18">
        <v>6</v>
      </c>
      <c r="L521" s="20">
        <v>9868.14</v>
      </c>
      <c r="M521" s="21">
        <v>0.2</v>
      </c>
      <c r="N521" s="21">
        <v>0.59355764981102099</v>
      </c>
      <c r="O521" s="20">
        <f t="shared" si="32"/>
        <v>47367.072</v>
      </c>
      <c r="P521" s="20">
        <f t="shared" si="33"/>
        <v>28115.087934749419</v>
      </c>
      <c r="Q521" s="20">
        <f t="shared" si="34"/>
        <v>19251.984065250581</v>
      </c>
      <c r="R521" s="22">
        <f t="shared" si="35"/>
        <v>0.40644235018897895</v>
      </c>
    </row>
    <row r="522" spans="1:18">
      <c r="A522" s="18">
        <v>1521</v>
      </c>
      <c r="B522" s="19" t="s">
        <v>261</v>
      </c>
      <c r="C522" s="18">
        <v>2024</v>
      </c>
      <c r="D522" s="18" t="s">
        <v>51</v>
      </c>
      <c r="E522" s="18" t="s">
        <v>88</v>
      </c>
      <c r="F522" s="18" t="s">
        <v>93</v>
      </c>
      <c r="G522" s="18" t="s">
        <v>50</v>
      </c>
      <c r="H522" s="18" t="s">
        <v>97</v>
      </c>
      <c r="I522" s="18" t="s">
        <v>40</v>
      </c>
      <c r="J522" s="18" t="s">
        <v>82</v>
      </c>
      <c r="K522" s="18">
        <v>5</v>
      </c>
      <c r="L522" s="20">
        <v>12101.64</v>
      </c>
      <c r="M522" s="21">
        <v>0.1</v>
      </c>
      <c r="N522" s="21">
        <v>0.70782875603897799</v>
      </c>
      <c r="O522" s="20">
        <f t="shared" si="32"/>
        <v>54457.38</v>
      </c>
      <c r="P522" s="20">
        <f t="shared" si="33"/>
        <v>38546.499542541918</v>
      </c>
      <c r="Q522" s="20">
        <f t="shared" si="34"/>
        <v>15910.880457458079</v>
      </c>
      <c r="R522" s="22">
        <f t="shared" si="35"/>
        <v>0.29217124396102201</v>
      </c>
    </row>
    <row r="523" spans="1:18">
      <c r="A523" s="18">
        <v>1522</v>
      </c>
      <c r="B523" s="19" t="s">
        <v>261</v>
      </c>
      <c r="C523" s="18">
        <v>2024</v>
      </c>
      <c r="D523" s="18" t="s">
        <v>51</v>
      </c>
      <c r="E523" s="18" t="s">
        <v>79</v>
      </c>
      <c r="F523" s="18" t="s">
        <v>100</v>
      </c>
      <c r="G523" s="18" t="s">
        <v>50</v>
      </c>
      <c r="H523" s="18" t="s">
        <v>87</v>
      </c>
      <c r="I523" s="18" t="s">
        <v>62</v>
      </c>
      <c r="J523" s="18" t="s">
        <v>82</v>
      </c>
      <c r="K523" s="18">
        <v>6</v>
      </c>
      <c r="L523" s="20">
        <v>9757.26</v>
      </c>
      <c r="M523" s="21">
        <v>0</v>
      </c>
      <c r="N523" s="21">
        <v>0.58153969123947502</v>
      </c>
      <c r="O523" s="20">
        <f t="shared" si="32"/>
        <v>58543.56</v>
      </c>
      <c r="P523" s="20">
        <f t="shared" si="33"/>
        <v>34045.403806459675</v>
      </c>
      <c r="Q523" s="20">
        <f t="shared" si="34"/>
        <v>24498.156193540322</v>
      </c>
      <c r="R523" s="22">
        <f t="shared" si="35"/>
        <v>0.41846030876052503</v>
      </c>
    </row>
    <row r="524" spans="1:18">
      <c r="A524" s="18">
        <v>1523</v>
      </c>
      <c r="B524" s="19" t="s">
        <v>262</v>
      </c>
      <c r="C524" s="18">
        <v>2024</v>
      </c>
      <c r="D524" s="18" t="s">
        <v>53</v>
      </c>
      <c r="E524" s="18" t="s">
        <v>98</v>
      </c>
      <c r="F524" s="18" t="s">
        <v>99</v>
      </c>
      <c r="G524" s="18" t="s">
        <v>41</v>
      </c>
      <c r="H524" s="18" t="s">
        <v>90</v>
      </c>
      <c r="I524" s="18" t="s">
        <v>54</v>
      </c>
      <c r="J524" s="18" t="s">
        <v>102</v>
      </c>
      <c r="K524" s="18">
        <v>3</v>
      </c>
      <c r="L524" s="20">
        <v>18362.39</v>
      </c>
      <c r="M524" s="21">
        <v>0</v>
      </c>
      <c r="N524" s="21">
        <v>0.57516549153304497</v>
      </c>
      <c r="O524" s="20">
        <f t="shared" si="32"/>
        <v>55087.17</v>
      </c>
      <c r="P524" s="20">
        <f t="shared" si="33"/>
        <v>31684.239210214408</v>
      </c>
      <c r="Q524" s="20">
        <f t="shared" si="34"/>
        <v>23402.930789785591</v>
      </c>
      <c r="R524" s="22">
        <f t="shared" si="35"/>
        <v>0.42483450846695503</v>
      </c>
    </row>
    <row r="525" spans="1:18">
      <c r="A525" s="18">
        <v>1524</v>
      </c>
      <c r="B525" s="19" t="s">
        <v>262</v>
      </c>
      <c r="C525" s="18">
        <v>2024</v>
      </c>
      <c r="D525" s="18" t="s">
        <v>53</v>
      </c>
      <c r="E525" s="18" t="s">
        <v>88</v>
      </c>
      <c r="F525" s="18" t="s">
        <v>89</v>
      </c>
      <c r="G525" s="18" t="s">
        <v>47</v>
      </c>
      <c r="H525" s="18" t="s">
        <v>107</v>
      </c>
      <c r="I525" s="18" t="s">
        <v>49</v>
      </c>
      <c r="J525" s="18" t="s">
        <v>82</v>
      </c>
      <c r="K525" s="18">
        <v>12</v>
      </c>
      <c r="L525" s="20">
        <v>2173.11</v>
      </c>
      <c r="M525" s="21">
        <v>0.2</v>
      </c>
      <c r="N525" s="21">
        <v>0.57694643475219098</v>
      </c>
      <c r="O525" s="20">
        <f t="shared" si="32"/>
        <v>20861.856</v>
      </c>
      <c r="P525" s="20">
        <f t="shared" si="33"/>
        <v>12036.173441513603</v>
      </c>
      <c r="Q525" s="20">
        <f t="shared" si="34"/>
        <v>8825.6825584863964</v>
      </c>
      <c r="R525" s="22">
        <f t="shared" si="35"/>
        <v>0.42305356524780902</v>
      </c>
    </row>
    <row r="526" spans="1:18">
      <c r="A526" s="18">
        <v>1525</v>
      </c>
      <c r="B526" s="19" t="s">
        <v>263</v>
      </c>
      <c r="C526" s="18">
        <v>2024</v>
      </c>
      <c r="D526" s="18" t="s">
        <v>53</v>
      </c>
      <c r="E526" s="18" t="s">
        <v>85</v>
      </c>
      <c r="F526" s="18" t="s">
        <v>94</v>
      </c>
      <c r="G526" s="18" t="s">
        <v>50</v>
      </c>
      <c r="H526" s="18" t="s">
        <v>87</v>
      </c>
      <c r="I526" s="18" t="s">
        <v>52</v>
      </c>
      <c r="J526" s="18" t="s">
        <v>102</v>
      </c>
      <c r="K526" s="18">
        <v>12</v>
      </c>
      <c r="L526" s="20">
        <v>9490.59</v>
      </c>
      <c r="M526" s="21">
        <v>0.15</v>
      </c>
      <c r="N526" s="21">
        <v>0.58732534578982099</v>
      </c>
      <c r="O526" s="20">
        <f t="shared" si="32"/>
        <v>96804.017999999996</v>
      </c>
      <c r="P526" s="20">
        <f t="shared" si="33"/>
        <v>56855.453345694055</v>
      </c>
      <c r="Q526" s="20">
        <f t="shared" si="34"/>
        <v>39948.564654305941</v>
      </c>
      <c r="R526" s="22">
        <f t="shared" si="35"/>
        <v>0.41267465421017901</v>
      </c>
    </row>
    <row r="527" spans="1:18">
      <c r="A527" s="18">
        <v>1526</v>
      </c>
      <c r="B527" s="19" t="s">
        <v>263</v>
      </c>
      <c r="C527" s="18">
        <v>2024</v>
      </c>
      <c r="D527" s="18" t="s">
        <v>53</v>
      </c>
      <c r="E527" s="18" t="s">
        <v>98</v>
      </c>
      <c r="F527" s="18" t="s">
        <v>109</v>
      </c>
      <c r="G527" s="18" t="s">
        <v>50</v>
      </c>
      <c r="H527" s="18" t="s">
        <v>97</v>
      </c>
      <c r="I527" s="18" t="s">
        <v>62</v>
      </c>
      <c r="J527" s="18" t="s">
        <v>102</v>
      </c>
      <c r="K527" s="18">
        <v>3</v>
      </c>
      <c r="L527" s="20">
        <v>11482.65</v>
      </c>
      <c r="M527" s="21">
        <v>0</v>
      </c>
      <c r="N527" s="21">
        <v>0.63987683995913403</v>
      </c>
      <c r="O527" s="20">
        <f t="shared" si="32"/>
        <v>34447.949999999997</v>
      </c>
      <c r="P527" s="20">
        <f t="shared" si="33"/>
        <v>22042.44538907025</v>
      </c>
      <c r="Q527" s="20">
        <f t="shared" si="34"/>
        <v>12405.504610929747</v>
      </c>
      <c r="R527" s="22">
        <f t="shared" si="35"/>
        <v>0.36012316004086597</v>
      </c>
    </row>
    <row r="528" spans="1:18">
      <c r="A528" s="18">
        <v>1527</v>
      </c>
      <c r="B528" s="19" t="s">
        <v>264</v>
      </c>
      <c r="C528" s="18">
        <v>2024</v>
      </c>
      <c r="D528" s="18" t="s">
        <v>53</v>
      </c>
      <c r="E528" s="18" t="s">
        <v>98</v>
      </c>
      <c r="F528" s="18" t="s">
        <v>109</v>
      </c>
      <c r="G528" s="18" t="s">
        <v>41</v>
      </c>
      <c r="H528" s="18" t="s">
        <v>112</v>
      </c>
      <c r="I528" s="18" t="s">
        <v>46</v>
      </c>
      <c r="J528" s="18" t="s">
        <v>82</v>
      </c>
      <c r="K528" s="18">
        <v>10</v>
      </c>
      <c r="L528" s="20">
        <v>6214.1</v>
      </c>
      <c r="M528" s="21">
        <v>0.15</v>
      </c>
      <c r="N528" s="21">
        <v>0.597757311643204</v>
      </c>
      <c r="O528" s="20">
        <f t="shared" si="32"/>
        <v>52819.85</v>
      </c>
      <c r="P528" s="20">
        <f t="shared" si="33"/>
        <v>31573.451537397286</v>
      </c>
      <c r="Q528" s="20">
        <f t="shared" si="34"/>
        <v>21246.398462602712</v>
      </c>
      <c r="R528" s="22">
        <f t="shared" si="35"/>
        <v>0.40224268835679605</v>
      </c>
    </row>
    <row r="529" spans="1:18">
      <c r="A529" s="18">
        <v>1528</v>
      </c>
      <c r="B529" s="19" t="s">
        <v>264</v>
      </c>
      <c r="C529" s="18">
        <v>2024</v>
      </c>
      <c r="D529" s="18" t="s">
        <v>53</v>
      </c>
      <c r="E529" s="18" t="s">
        <v>79</v>
      </c>
      <c r="F529" s="18" t="s">
        <v>80</v>
      </c>
      <c r="G529" s="18" t="s">
        <v>50</v>
      </c>
      <c r="H529" s="18" t="s">
        <v>83</v>
      </c>
      <c r="I529" s="18" t="s">
        <v>60</v>
      </c>
      <c r="J529" s="18" t="s">
        <v>102</v>
      </c>
      <c r="K529" s="18">
        <v>8</v>
      </c>
      <c r="L529" s="20">
        <v>3593.01</v>
      </c>
      <c r="M529" s="21">
        <v>0</v>
      </c>
      <c r="N529" s="21">
        <v>0.67260784847010502</v>
      </c>
      <c r="O529" s="20">
        <f t="shared" si="32"/>
        <v>28744.080000000002</v>
      </c>
      <c r="P529" s="20">
        <f t="shared" si="33"/>
        <v>19333.493805052578</v>
      </c>
      <c r="Q529" s="20">
        <f t="shared" si="34"/>
        <v>9410.5861949474238</v>
      </c>
      <c r="R529" s="22">
        <f t="shared" si="35"/>
        <v>0.32739215152989498</v>
      </c>
    </row>
    <row r="530" spans="1:18">
      <c r="A530" s="18">
        <v>1529</v>
      </c>
      <c r="B530" s="19" t="s">
        <v>264</v>
      </c>
      <c r="C530" s="18">
        <v>2024</v>
      </c>
      <c r="D530" s="18" t="s">
        <v>53</v>
      </c>
      <c r="E530" s="18" t="s">
        <v>98</v>
      </c>
      <c r="F530" s="18" t="s">
        <v>109</v>
      </c>
      <c r="G530" s="18" t="s">
        <v>47</v>
      </c>
      <c r="H530" s="18" t="s">
        <v>81</v>
      </c>
      <c r="I530" s="18" t="s">
        <v>43</v>
      </c>
      <c r="J530" s="18" t="s">
        <v>102</v>
      </c>
      <c r="K530" s="18">
        <v>11</v>
      </c>
      <c r="L530" s="20">
        <v>765.33</v>
      </c>
      <c r="M530" s="21">
        <v>0</v>
      </c>
      <c r="N530" s="21">
        <v>0.58572776000722204</v>
      </c>
      <c r="O530" s="20">
        <f t="shared" si="32"/>
        <v>8418.630000000001</v>
      </c>
      <c r="P530" s="20">
        <f t="shared" si="33"/>
        <v>4931.0252922296004</v>
      </c>
      <c r="Q530" s="20">
        <f t="shared" si="34"/>
        <v>3487.6047077704006</v>
      </c>
      <c r="R530" s="22">
        <f t="shared" si="35"/>
        <v>0.41427223999277796</v>
      </c>
    </row>
    <row r="531" spans="1:18">
      <c r="A531" s="18">
        <v>1530</v>
      </c>
      <c r="B531" s="19" t="s">
        <v>264</v>
      </c>
      <c r="C531" s="18">
        <v>2024</v>
      </c>
      <c r="D531" s="18" t="s">
        <v>53</v>
      </c>
      <c r="E531" s="18" t="s">
        <v>79</v>
      </c>
      <c r="F531" s="18" t="s">
        <v>100</v>
      </c>
      <c r="G531" s="18" t="s">
        <v>41</v>
      </c>
      <c r="H531" s="18" t="s">
        <v>112</v>
      </c>
      <c r="I531" s="18" t="s">
        <v>49</v>
      </c>
      <c r="J531" s="18" t="s">
        <v>82</v>
      </c>
      <c r="K531" s="18">
        <v>1</v>
      </c>
      <c r="L531" s="20">
        <v>6042.61</v>
      </c>
      <c r="M531" s="21">
        <v>0.1</v>
      </c>
      <c r="N531" s="21">
        <v>0.68158425165699399</v>
      </c>
      <c r="O531" s="20">
        <f t="shared" si="32"/>
        <v>5438.3490000000002</v>
      </c>
      <c r="P531" s="20">
        <f t="shared" si="33"/>
        <v>3706.6930334145618</v>
      </c>
      <c r="Q531" s="20">
        <f t="shared" si="34"/>
        <v>1731.6559665854384</v>
      </c>
      <c r="R531" s="22">
        <f t="shared" si="35"/>
        <v>0.31841574834300601</v>
      </c>
    </row>
    <row r="532" spans="1:18">
      <c r="A532" s="18">
        <v>1531</v>
      </c>
      <c r="B532" s="19" t="s">
        <v>265</v>
      </c>
      <c r="C532" s="18">
        <v>2024</v>
      </c>
      <c r="D532" s="18" t="s">
        <v>53</v>
      </c>
      <c r="E532" s="18" t="s">
        <v>79</v>
      </c>
      <c r="F532" s="18" t="s">
        <v>105</v>
      </c>
      <c r="G532" s="18" t="s">
        <v>44</v>
      </c>
      <c r="H532" s="18" t="s">
        <v>95</v>
      </c>
      <c r="I532" s="18" t="s">
        <v>43</v>
      </c>
      <c r="J532" s="18" t="s">
        <v>82</v>
      </c>
      <c r="K532" s="18">
        <v>4</v>
      </c>
      <c r="L532" s="20">
        <v>4570.09</v>
      </c>
      <c r="M532" s="21">
        <v>0</v>
      </c>
      <c r="N532" s="21">
        <v>0.64361182868632705</v>
      </c>
      <c r="O532" s="20">
        <f t="shared" si="32"/>
        <v>18280.36</v>
      </c>
      <c r="P532" s="20">
        <f t="shared" si="33"/>
        <v>11765.455928644385</v>
      </c>
      <c r="Q532" s="20">
        <f t="shared" si="34"/>
        <v>6514.9040713556151</v>
      </c>
      <c r="R532" s="22">
        <f t="shared" si="35"/>
        <v>0.35638817131367295</v>
      </c>
    </row>
    <row r="533" spans="1:18">
      <c r="A533" s="18">
        <v>1532</v>
      </c>
      <c r="B533" s="19" t="s">
        <v>265</v>
      </c>
      <c r="C533" s="18">
        <v>2024</v>
      </c>
      <c r="D533" s="18" t="s">
        <v>53</v>
      </c>
      <c r="E533" s="18" t="s">
        <v>79</v>
      </c>
      <c r="F533" s="18" t="s">
        <v>105</v>
      </c>
      <c r="G533" s="18" t="s">
        <v>50</v>
      </c>
      <c r="H533" s="18" t="s">
        <v>97</v>
      </c>
      <c r="I533" s="18" t="s">
        <v>40</v>
      </c>
      <c r="J533" s="18" t="s">
        <v>102</v>
      </c>
      <c r="K533" s="18">
        <v>5</v>
      </c>
      <c r="L533" s="20">
        <v>12034.82</v>
      </c>
      <c r="M533" s="21">
        <v>0.2</v>
      </c>
      <c r="N533" s="21">
        <v>0.56407762592204902</v>
      </c>
      <c r="O533" s="20">
        <f t="shared" si="32"/>
        <v>48139.28</v>
      </c>
      <c r="P533" s="20">
        <f t="shared" si="33"/>
        <v>27154.290775996775</v>
      </c>
      <c r="Q533" s="20">
        <f t="shared" si="34"/>
        <v>20984.989224003224</v>
      </c>
      <c r="R533" s="22">
        <f t="shared" si="35"/>
        <v>0.43592237407795098</v>
      </c>
    </row>
    <row r="534" spans="1:18">
      <c r="A534" s="18">
        <v>1533</v>
      </c>
      <c r="B534" s="19" t="s">
        <v>265</v>
      </c>
      <c r="C534" s="18">
        <v>2024</v>
      </c>
      <c r="D534" s="18" t="s">
        <v>53</v>
      </c>
      <c r="E534" s="18" t="s">
        <v>98</v>
      </c>
      <c r="F534" s="18" t="s">
        <v>117</v>
      </c>
      <c r="G534" s="18" t="s">
        <v>44</v>
      </c>
      <c r="H534" s="18" t="s">
        <v>95</v>
      </c>
      <c r="I534" s="18" t="s">
        <v>43</v>
      </c>
      <c r="J534" s="18" t="s">
        <v>82</v>
      </c>
      <c r="K534" s="18">
        <v>12</v>
      </c>
      <c r="L534" s="20">
        <v>4378.96</v>
      </c>
      <c r="M534" s="21">
        <v>0.1</v>
      </c>
      <c r="N534" s="21">
        <v>0.58789208262133497</v>
      </c>
      <c r="O534" s="20">
        <f t="shared" si="32"/>
        <v>47292.768000000004</v>
      </c>
      <c r="P534" s="20">
        <f t="shared" si="33"/>
        <v>27803.04387244763</v>
      </c>
      <c r="Q534" s="20">
        <f t="shared" si="34"/>
        <v>19489.724127552374</v>
      </c>
      <c r="R534" s="22">
        <f t="shared" si="35"/>
        <v>0.41210791737866503</v>
      </c>
    </row>
    <row r="535" spans="1:18">
      <c r="A535" s="18">
        <v>1534</v>
      </c>
      <c r="B535" s="19" t="s">
        <v>265</v>
      </c>
      <c r="C535" s="18">
        <v>2024</v>
      </c>
      <c r="D535" s="18" t="s">
        <v>53</v>
      </c>
      <c r="E535" s="18" t="s">
        <v>88</v>
      </c>
      <c r="F535" s="18" t="s">
        <v>93</v>
      </c>
      <c r="G535" s="18" t="s">
        <v>44</v>
      </c>
      <c r="H535" s="18" t="s">
        <v>95</v>
      </c>
      <c r="I535" s="18" t="s">
        <v>60</v>
      </c>
      <c r="J535" s="18" t="s">
        <v>91</v>
      </c>
      <c r="K535" s="18">
        <v>12</v>
      </c>
      <c r="L535" s="20">
        <v>4322.4799999999996</v>
      </c>
      <c r="M535" s="21">
        <v>0.2</v>
      </c>
      <c r="N535" s="21">
        <v>0.66531273179942896</v>
      </c>
      <c r="O535" s="20">
        <f t="shared" si="32"/>
        <v>41495.807999999997</v>
      </c>
      <c r="P535" s="20">
        <f t="shared" si="33"/>
        <v>27607.689378704596</v>
      </c>
      <c r="Q535" s="20">
        <f t="shared" si="34"/>
        <v>13888.118621295402</v>
      </c>
      <c r="R535" s="22">
        <f t="shared" si="35"/>
        <v>0.33468726820057104</v>
      </c>
    </row>
    <row r="536" spans="1:18">
      <c r="A536" s="18">
        <v>1535</v>
      </c>
      <c r="B536" s="19" t="s">
        <v>266</v>
      </c>
      <c r="C536" s="18">
        <v>2024</v>
      </c>
      <c r="D536" s="18" t="s">
        <v>53</v>
      </c>
      <c r="E536" s="18" t="s">
        <v>85</v>
      </c>
      <c r="F536" s="18" t="s">
        <v>86</v>
      </c>
      <c r="G536" s="18" t="s">
        <v>44</v>
      </c>
      <c r="H536" s="18" t="s">
        <v>119</v>
      </c>
      <c r="I536" s="18" t="s">
        <v>60</v>
      </c>
      <c r="J536" s="18" t="s">
        <v>91</v>
      </c>
      <c r="K536" s="18">
        <v>9</v>
      </c>
      <c r="L536" s="20">
        <v>6886.26</v>
      </c>
      <c r="M536" s="21">
        <v>0</v>
      </c>
      <c r="N536" s="21">
        <v>0.65678009539609195</v>
      </c>
      <c r="O536" s="20">
        <f t="shared" si="32"/>
        <v>61976.340000000004</v>
      </c>
      <c r="P536" s="20">
        <f t="shared" si="33"/>
        <v>40704.826497500631</v>
      </c>
      <c r="Q536" s="20">
        <f t="shared" si="34"/>
        <v>21271.513502499372</v>
      </c>
      <c r="R536" s="22">
        <f t="shared" si="35"/>
        <v>0.34321990460390805</v>
      </c>
    </row>
    <row r="537" spans="1:18">
      <c r="A537" s="18">
        <v>1536</v>
      </c>
      <c r="B537" s="19" t="s">
        <v>266</v>
      </c>
      <c r="C537" s="18">
        <v>2024</v>
      </c>
      <c r="D537" s="18" t="s">
        <v>53</v>
      </c>
      <c r="E537" s="18" t="s">
        <v>85</v>
      </c>
      <c r="F537" s="18" t="s">
        <v>121</v>
      </c>
      <c r="G537" s="18" t="s">
        <v>47</v>
      </c>
      <c r="H537" s="18" t="s">
        <v>103</v>
      </c>
      <c r="I537" s="18" t="s">
        <v>54</v>
      </c>
      <c r="J537" s="18" t="s">
        <v>91</v>
      </c>
      <c r="K537" s="18">
        <v>7</v>
      </c>
      <c r="L537" s="20">
        <v>3284.54</v>
      </c>
      <c r="M537" s="21">
        <v>0.1</v>
      </c>
      <c r="N537" s="21">
        <v>0.71523099500815202</v>
      </c>
      <c r="O537" s="20">
        <f t="shared" si="32"/>
        <v>20692.601999999999</v>
      </c>
      <c r="P537" s="20">
        <f t="shared" si="33"/>
        <v>14799.990317767675</v>
      </c>
      <c r="Q537" s="20">
        <f t="shared" si="34"/>
        <v>5892.6116822323238</v>
      </c>
      <c r="R537" s="22">
        <f t="shared" si="35"/>
        <v>0.28476900499184798</v>
      </c>
    </row>
    <row r="538" spans="1:18">
      <c r="A538" s="18">
        <v>1537</v>
      </c>
      <c r="B538" s="19" t="s">
        <v>266</v>
      </c>
      <c r="C538" s="18">
        <v>2024</v>
      </c>
      <c r="D538" s="18" t="s">
        <v>53</v>
      </c>
      <c r="E538" s="18" t="s">
        <v>98</v>
      </c>
      <c r="F538" s="18" t="s">
        <v>99</v>
      </c>
      <c r="G538" s="18" t="s">
        <v>44</v>
      </c>
      <c r="H538" s="18" t="s">
        <v>95</v>
      </c>
      <c r="I538" s="18" t="s">
        <v>60</v>
      </c>
      <c r="J538" s="18" t="s">
        <v>82</v>
      </c>
      <c r="K538" s="18">
        <v>7</v>
      </c>
      <c r="L538" s="20">
        <v>4619.57</v>
      </c>
      <c r="M538" s="21">
        <v>0.2</v>
      </c>
      <c r="N538" s="21">
        <v>0.600817825436605</v>
      </c>
      <c r="O538" s="20">
        <f t="shared" si="32"/>
        <v>25869.592000000001</v>
      </c>
      <c r="P538" s="20">
        <f t="shared" si="33"/>
        <v>15542.912010372194</v>
      </c>
      <c r="Q538" s="20">
        <f t="shared" si="34"/>
        <v>10326.679989627806</v>
      </c>
      <c r="R538" s="22">
        <f t="shared" si="35"/>
        <v>0.39918217456339494</v>
      </c>
    </row>
    <row r="539" spans="1:18">
      <c r="A539" s="18">
        <v>1538</v>
      </c>
      <c r="B539" s="19" t="s">
        <v>266</v>
      </c>
      <c r="C539" s="18">
        <v>2024</v>
      </c>
      <c r="D539" s="18" t="s">
        <v>53</v>
      </c>
      <c r="E539" s="18" t="s">
        <v>85</v>
      </c>
      <c r="F539" s="18" t="s">
        <v>121</v>
      </c>
      <c r="G539" s="18" t="s">
        <v>50</v>
      </c>
      <c r="H539" s="18" t="s">
        <v>83</v>
      </c>
      <c r="I539" s="18" t="s">
        <v>40</v>
      </c>
      <c r="J539" s="18" t="s">
        <v>91</v>
      </c>
      <c r="K539" s="18">
        <v>10</v>
      </c>
      <c r="L539" s="20">
        <v>3330.71</v>
      </c>
      <c r="M539" s="21">
        <v>0</v>
      </c>
      <c r="N539" s="21">
        <v>0.74868240191090796</v>
      </c>
      <c r="O539" s="20">
        <f t="shared" si="32"/>
        <v>33307.1</v>
      </c>
      <c r="P539" s="20">
        <f t="shared" si="33"/>
        <v>24936.4396286868</v>
      </c>
      <c r="Q539" s="20">
        <f t="shared" si="34"/>
        <v>8370.660371313199</v>
      </c>
      <c r="R539" s="22">
        <f t="shared" si="35"/>
        <v>0.2513175980890921</v>
      </c>
    </row>
    <row r="540" spans="1:18">
      <c r="A540" s="18">
        <v>1539</v>
      </c>
      <c r="B540" s="19" t="s">
        <v>266</v>
      </c>
      <c r="C540" s="18">
        <v>2024</v>
      </c>
      <c r="D540" s="18" t="s">
        <v>53</v>
      </c>
      <c r="E540" s="18" t="s">
        <v>98</v>
      </c>
      <c r="F540" s="18" t="s">
        <v>117</v>
      </c>
      <c r="G540" s="18" t="s">
        <v>47</v>
      </c>
      <c r="H540" s="18" t="s">
        <v>81</v>
      </c>
      <c r="I540" s="18" t="s">
        <v>49</v>
      </c>
      <c r="J540" s="18" t="s">
        <v>91</v>
      </c>
      <c r="K540" s="18">
        <v>1</v>
      </c>
      <c r="L540" s="20">
        <v>821.72</v>
      </c>
      <c r="M540" s="21">
        <v>0.2</v>
      </c>
      <c r="N540" s="21">
        <v>0.71446749162071499</v>
      </c>
      <c r="O540" s="20">
        <f t="shared" si="32"/>
        <v>657.37600000000009</v>
      </c>
      <c r="P540" s="20">
        <f t="shared" si="33"/>
        <v>469.67378177165921</v>
      </c>
      <c r="Q540" s="20">
        <f t="shared" si="34"/>
        <v>187.70221822834088</v>
      </c>
      <c r="R540" s="22">
        <f t="shared" si="35"/>
        <v>0.28553250837928501</v>
      </c>
    </row>
    <row r="541" spans="1:18">
      <c r="A541" s="18">
        <v>1540</v>
      </c>
      <c r="B541" s="19" t="s">
        <v>267</v>
      </c>
      <c r="C541" s="18">
        <v>2024</v>
      </c>
      <c r="D541" s="18" t="s">
        <v>53</v>
      </c>
      <c r="E541" s="18" t="s">
        <v>79</v>
      </c>
      <c r="F541" s="18" t="s">
        <v>100</v>
      </c>
      <c r="G541" s="18" t="s">
        <v>50</v>
      </c>
      <c r="H541" s="18" t="s">
        <v>97</v>
      </c>
      <c r="I541" s="18" t="s">
        <v>46</v>
      </c>
      <c r="J541" s="18" t="s">
        <v>82</v>
      </c>
      <c r="K541" s="18">
        <v>5</v>
      </c>
      <c r="L541" s="20">
        <v>11840.5</v>
      </c>
      <c r="M541" s="21">
        <v>0.15</v>
      </c>
      <c r="N541" s="21">
        <v>0.599971381176999</v>
      </c>
      <c r="O541" s="20">
        <f t="shared" si="32"/>
        <v>50322.125</v>
      </c>
      <c r="P541" s="20">
        <f t="shared" si="33"/>
        <v>30191.83484001159</v>
      </c>
      <c r="Q541" s="20">
        <f t="shared" si="34"/>
        <v>20130.29015998841</v>
      </c>
      <c r="R541" s="22">
        <f t="shared" si="35"/>
        <v>0.400028618823001</v>
      </c>
    </row>
    <row r="542" spans="1:18">
      <c r="A542" s="18">
        <v>1541</v>
      </c>
      <c r="B542" s="19" t="s">
        <v>267</v>
      </c>
      <c r="C542" s="18">
        <v>2024</v>
      </c>
      <c r="D542" s="18" t="s">
        <v>53</v>
      </c>
      <c r="E542" s="18" t="s">
        <v>98</v>
      </c>
      <c r="F542" s="18" t="s">
        <v>109</v>
      </c>
      <c r="G542" s="18" t="s">
        <v>41</v>
      </c>
      <c r="H542" s="18" t="s">
        <v>112</v>
      </c>
      <c r="I542" s="18" t="s">
        <v>62</v>
      </c>
      <c r="J542" s="18" t="s">
        <v>82</v>
      </c>
      <c r="K542" s="18">
        <v>12</v>
      </c>
      <c r="L542" s="20">
        <v>5746.32</v>
      </c>
      <c r="M542" s="21">
        <v>0.05</v>
      </c>
      <c r="N542" s="21">
        <v>0.70858083886285606</v>
      </c>
      <c r="O542" s="20">
        <f t="shared" si="32"/>
        <v>65508.047999999995</v>
      </c>
      <c r="P542" s="20">
        <f t="shared" si="33"/>
        <v>46417.747604108234</v>
      </c>
      <c r="Q542" s="20">
        <f t="shared" si="34"/>
        <v>19090.300395891762</v>
      </c>
      <c r="R542" s="22">
        <f t="shared" si="35"/>
        <v>0.291419161137144</v>
      </c>
    </row>
    <row r="543" spans="1:18">
      <c r="A543" s="18">
        <v>1542</v>
      </c>
      <c r="B543" s="19" t="s">
        <v>267</v>
      </c>
      <c r="C543" s="18">
        <v>2024</v>
      </c>
      <c r="D543" s="18" t="s">
        <v>53</v>
      </c>
      <c r="E543" s="18" t="s">
        <v>88</v>
      </c>
      <c r="F543" s="18" t="s">
        <v>89</v>
      </c>
      <c r="G543" s="18" t="s">
        <v>41</v>
      </c>
      <c r="H543" s="18" t="s">
        <v>106</v>
      </c>
      <c r="I543" s="18" t="s">
        <v>40</v>
      </c>
      <c r="J543" s="18" t="s">
        <v>102</v>
      </c>
      <c r="K543" s="18">
        <v>10</v>
      </c>
      <c r="L543" s="20">
        <v>2470.39</v>
      </c>
      <c r="M543" s="21">
        <v>0</v>
      </c>
      <c r="N543" s="21">
        <v>0.73437429930404097</v>
      </c>
      <c r="O543" s="20">
        <f t="shared" si="32"/>
        <v>24703.899999999998</v>
      </c>
      <c r="P543" s="20">
        <f t="shared" si="33"/>
        <v>18141.909252577098</v>
      </c>
      <c r="Q543" s="20">
        <f t="shared" si="34"/>
        <v>6561.9907474229003</v>
      </c>
      <c r="R543" s="22">
        <f t="shared" si="35"/>
        <v>0.26562570069595898</v>
      </c>
    </row>
    <row r="544" spans="1:18">
      <c r="A544" s="18">
        <v>1543</v>
      </c>
      <c r="B544" s="19" t="s">
        <v>268</v>
      </c>
      <c r="C544" s="18">
        <v>2024</v>
      </c>
      <c r="D544" s="18" t="s">
        <v>53</v>
      </c>
      <c r="E544" s="18" t="s">
        <v>98</v>
      </c>
      <c r="F544" s="18" t="s">
        <v>109</v>
      </c>
      <c r="G544" s="18" t="s">
        <v>50</v>
      </c>
      <c r="H544" s="18" t="s">
        <v>83</v>
      </c>
      <c r="I544" s="18" t="s">
        <v>49</v>
      </c>
      <c r="J544" s="18" t="s">
        <v>102</v>
      </c>
      <c r="K544" s="18">
        <v>11</v>
      </c>
      <c r="L544" s="20">
        <v>3622.32</v>
      </c>
      <c r="M544" s="21">
        <v>0</v>
      </c>
      <c r="N544" s="21">
        <v>0.67677742060634305</v>
      </c>
      <c r="O544" s="20">
        <f t="shared" si="32"/>
        <v>39845.520000000004</v>
      </c>
      <c r="P544" s="20">
        <f t="shared" si="33"/>
        <v>26966.548248318457</v>
      </c>
      <c r="Q544" s="20">
        <f t="shared" si="34"/>
        <v>12878.971751681547</v>
      </c>
      <c r="R544" s="22">
        <f t="shared" si="35"/>
        <v>0.32322257939365695</v>
      </c>
    </row>
    <row r="545" spans="1:18">
      <c r="A545" s="18">
        <v>1544</v>
      </c>
      <c r="B545" s="19" t="s">
        <v>268</v>
      </c>
      <c r="C545" s="18">
        <v>2024</v>
      </c>
      <c r="D545" s="18" t="s">
        <v>53</v>
      </c>
      <c r="E545" s="18" t="s">
        <v>85</v>
      </c>
      <c r="F545" s="18" t="s">
        <v>86</v>
      </c>
      <c r="G545" s="18" t="s">
        <v>47</v>
      </c>
      <c r="H545" s="18" t="s">
        <v>103</v>
      </c>
      <c r="I545" s="18" t="s">
        <v>40</v>
      </c>
      <c r="J545" s="18" t="s">
        <v>91</v>
      </c>
      <c r="K545" s="18">
        <v>9</v>
      </c>
      <c r="L545" s="20">
        <v>3220.77</v>
      </c>
      <c r="M545" s="21">
        <v>0.05</v>
      </c>
      <c r="N545" s="21">
        <v>0.65048032208944695</v>
      </c>
      <c r="O545" s="20">
        <f t="shared" si="32"/>
        <v>27537.583500000001</v>
      </c>
      <c r="P545" s="20">
        <f t="shared" si="33"/>
        <v>17912.656184645039</v>
      </c>
      <c r="Q545" s="20">
        <f t="shared" si="34"/>
        <v>9624.927315354962</v>
      </c>
      <c r="R545" s="22">
        <f t="shared" si="35"/>
        <v>0.34951967791055311</v>
      </c>
    </row>
    <row r="546" spans="1:18">
      <c r="A546" s="18">
        <v>1545</v>
      </c>
      <c r="B546" s="19" t="s">
        <v>268</v>
      </c>
      <c r="C546" s="18">
        <v>2024</v>
      </c>
      <c r="D546" s="18" t="s">
        <v>53</v>
      </c>
      <c r="E546" s="18" t="s">
        <v>88</v>
      </c>
      <c r="F546" s="18" t="s">
        <v>110</v>
      </c>
      <c r="G546" s="18" t="s">
        <v>41</v>
      </c>
      <c r="H546" s="18" t="s">
        <v>112</v>
      </c>
      <c r="I546" s="18" t="s">
        <v>58</v>
      </c>
      <c r="J546" s="18" t="s">
        <v>102</v>
      </c>
      <c r="K546" s="18">
        <v>10</v>
      </c>
      <c r="L546" s="20">
        <v>6002.84</v>
      </c>
      <c r="M546" s="21">
        <v>0</v>
      </c>
      <c r="N546" s="21">
        <v>0.63638713403013802</v>
      </c>
      <c r="O546" s="20">
        <f t="shared" si="32"/>
        <v>60028.4</v>
      </c>
      <c r="P546" s="20">
        <f t="shared" si="33"/>
        <v>38201.301436414738</v>
      </c>
      <c r="Q546" s="20">
        <f t="shared" si="34"/>
        <v>21827.098563585263</v>
      </c>
      <c r="R546" s="22">
        <f t="shared" si="35"/>
        <v>0.36361286596986198</v>
      </c>
    </row>
    <row r="547" spans="1:18">
      <c r="A547" s="18">
        <v>1546</v>
      </c>
      <c r="B547" s="19" t="s">
        <v>268</v>
      </c>
      <c r="C547" s="18">
        <v>2024</v>
      </c>
      <c r="D547" s="18" t="s">
        <v>53</v>
      </c>
      <c r="E547" s="18" t="s">
        <v>85</v>
      </c>
      <c r="F547" s="18" t="s">
        <v>86</v>
      </c>
      <c r="G547" s="18" t="s">
        <v>44</v>
      </c>
      <c r="H547" s="18" t="s">
        <v>114</v>
      </c>
      <c r="I547" s="18" t="s">
        <v>43</v>
      </c>
      <c r="J547" s="18" t="s">
        <v>91</v>
      </c>
      <c r="K547" s="18">
        <v>10</v>
      </c>
      <c r="L547" s="20">
        <v>9220.7800000000007</v>
      </c>
      <c r="M547" s="21">
        <v>0.15</v>
      </c>
      <c r="N547" s="21">
        <v>0.62983825990938802</v>
      </c>
      <c r="O547" s="20">
        <f t="shared" si="32"/>
        <v>78376.63</v>
      </c>
      <c r="P547" s="20">
        <f t="shared" si="33"/>
        <v>49364.600256761943</v>
      </c>
      <c r="Q547" s="20">
        <f t="shared" si="34"/>
        <v>29012.029743238061</v>
      </c>
      <c r="R547" s="22">
        <f t="shared" si="35"/>
        <v>0.37016174009061198</v>
      </c>
    </row>
    <row r="548" spans="1:18">
      <c r="A548" s="18">
        <v>1547</v>
      </c>
      <c r="B548" s="19" t="s">
        <v>269</v>
      </c>
      <c r="C548" s="18">
        <v>2024</v>
      </c>
      <c r="D548" s="18" t="s">
        <v>53</v>
      </c>
      <c r="E548" s="18" t="s">
        <v>85</v>
      </c>
      <c r="F548" s="18" t="s">
        <v>94</v>
      </c>
      <c r="G548" s="18" t="s">
        <v>50</v>
      </c>
      <c r="H548" s="18" t="s">
        <v>87</v>
      </c>
      <c r="I548" s="18" t="s">
        <v>46</v>
      </c>
      <c r="J548" s="18" t="s">
        <v>82</v>
      </c>
      <c r="K548" s="18">
        <v>8</v>
      </c>
      <c r="L548" s="20">
        <v>9556.33</v>
      </c>
      <c r="M548" s="21">
        <v>0.1</v>
      </c>
      <c r="N548" s="21">
        <v>0.62906376071609305</v>
      </c>
      <c r="O548" s="20">
        <f t="shared" si="32"/>
        <v>68805.576000000001</v>
      </c>
      <c r="P548" s="20">
        <f t="shared" si="33"/>
        <v>43283.094396796958</v>
      </c>
      <c r="Q548" s="20">
        <f t="shared" si="34"/>
        <v>25522.481603203043</v>
      </c>
      <c r="R548" s="22">
        <f t="shared" si="35"/>
        <v>0.3709362392839069</v>
      </c>
    </row>
    <row r="549" spans="1:18">
      <c r="A549" s="18">
        <v>1548</v>
      </c>
      <c r="B549" s="19" t="s">
        <v>269</v>
      </c>
      <c r="C549" s="18">
        <v>2024</v>
      </c>
      <c r="D549" s="18" t="s">
        <v>53</v>
      </c>
      <c r="E549" s="18" t="s">
        <v>88</v>
      </c>
      <c r="F549" s="18" t="s">
        <v>93</v>
      </c>
      <c r="G549" s="18" t="s">
        <v>44</v>
      </c>
      <c r="H549" s="18" t="s">
        <v>119</v>
      </c>
      <c r="I549" s="18" t="s">
        <v>43</v>
      </c>
      <c r="J549" s="18" t="s">
        <v>91</v>
      </c>
      <c r="K549" s="18">
        <v>7</v>
      </c>
      <c r="L549" s="20">
        <v>6876.39</v>
      </c>
      <c r="M549" s="21">
        <v>0.15</v>
      </c>
      <c r="N549" s="21">
        <v>0.56791892962534696</v>
      </c>
      <c r="O549" s="20">
        <f t="shared" si="32"/>
        <v>40914.520499999999</v>
      </c>
      <c r="P549" s="20">
        <f t="shared" si="33"/>
        <v>23236.130688494315</v>
      </c>
      <c r="Q549" s="20">
        <f t="shared" si="34"/>
        <v>17678.389811505684</v>
      </c>
      <c r="R549" s="22">
        <f t="shared" si="35"/>
        <v>0.43208107037465304</v>
      </c>
    </row>
    <row r="550" spans="1:18">
      <c r="A550" s="18">
        <v>1549</v>
      </c>
      <c r="B550" s="19" t="s">
        <v>270</v>
      </c>
      <c r="C550" s="18">
        <v>2024</v>
      </c>
      <c r="D550" s="18" t="s">
        <v>53</v>
      </c>
      <c r="E550" s="18" t="s">
        <v>85</v>
      </c>
      <c r="F550" s="18" t="s">
        <v>121</v>
      </c>
      <c r="G550" s="18" t="s">
        <v>47</v>
      </c>
      <c r="H550" s="18" t="s">
        <v>81</v>
      </c>
      <c r="I550" s="18" t="s">
        <v>54</v>
      </c>
      <c r="J550" s="18" t="s">
        <v>91</v>
      </c>
      <c r="K550" s="18">
        <v>10</v>
      </c>
      <c r="L550" s="20">
        <v>812.43</v>
      </c>
      <c r="M550" s="21">
        <v>0.05</v>
      </c>
      <c r="N550" s="21">
        <v>0.583851052802282</v>
      </c>
      <c r="O550" s="20">
        <f t="shared" si="32"/>
        <v>7718.0849999999991</v>
      </c>
      <c r="P550" s="20">
        <f t="shared" si="33"/>
        <v>4506.2120528675005</v>
      </c>
      <c r="Q550" s="20">
        <f t="shared" si="34"/>
        <v>3211.8729471324987</v>
      </c>
      <c r="R550" s="22">
        <f t="shared" si="35"/>
        <v>0.41614894719771794</v>
      </c>
    </row>
    <row r="551" spans="1:18">
      <c r="A551" s="18">
        <v>1550</v>
      </c>
      <c r="B551" s="19" t="s">
        <v>270</v>
      </c>
      <c r="C551" s="18">
        <v>2024</v>
      </c>
      <c r="D551" s="18" t="s">
        <v>53</v>
      </c>
      <c r="E551" s="18" t="s">
        <v>98</v>
      </c>
      <c r="F551" s="18" t="s">
        <v>99</v>
      </c>
      <c r="G551" s="18" t="s">
        <v>50</v>
      </c>
      <c r="H551" s="18" t="s">
        <v>87</v>
      </c>
      <c r="I551" s="18" t="s">
        <v>46</v>
      </c>
      <c r="J551" s="18" t="s">
        <v>91</v>
      </c>
      <c r="K551" s="18">
        <v>1</v>
      </c>
      <c r="L551" s="20">
        <v>9903</v>
      </c>
      <c r="M551" s="21">
        <v>0</v>
      </c>
      <c r="N551" s="21">
        <v>0.58993704272115099</v>
      </c>
      <c r="O551" s="20">
        <f t="shared" si="32"/>
        <v>9903</v>
      </c>
      <c r="P551" s="20">
        <f t="shared" si="33"/>
        <v>5842.1465340675586</v>
      </c>
      <c r="Q551" s="20">
        <f t="shared" si="34"/>
        <v>4060.8534659324414</v>
      </c>
      <c r="R551" s="22">
        <f t="shared" si="35"/>
        <v>0.41006295727884895</v>
      </c>
    </row>
    <row r="552" spans="1:18">
      <c r="A552" s="18">
        <v>1551</v>
      </c>
      <c r="B552" s="19" t="s">
        <v>270</v>
      </c>
      <c r="C552" s="18">
        <v>2024</v>
      </c>
      <c r="D552" s="18" t="s">
        <v>53</v>
      </c>
      <c r="E552" s="18" t="s">
        <v>98</v>
      </c>
      <c r="F552" s="18" t="s">
        <v>117</v>
      </c>
      <c r="G552" s="18" t="s">
        <v>41</v>
      </c>
      <c r="H552" s="18" t="s">
        <v>90</v>
      </c>
      <c r="I552" s="18" t="s">
        <v>40</v>
      </c>
      <c r="J552" s="18" t="s">
        <v>82</v>
      </c>
      <c r="K552" s="18">
        <v>10</v>
      </c>
      <c r="L552" s="20">
        <v>18768.11</v>
      </c>
      <c r="M552" s="21">
        <v>0.05</v>
      </c>
      <c r="N552" s="21">
        <v>0.55274665853868599</v>
      </c>
      <c r="O552" s="20">
        <f t="shared" si="32"/>
        <v>178297.04499999998</v>
      </c>
      <c r="P552" s="20">
        <f t="shared" si="33"/>
        <v>98553.095851071717</v>
      </c>
      <c r="Q552" s="20">
        <f t="shared" si="34"/>
        <v>79743.949148928266</v>
      </c>
      <c r="R552" s="22">
        <f t="shared" si="35"/>
        <v>0.44725334146131401</v>
      </c>
    </row>
    <row r="553" spans="1:18">
      <c r="A553" s="18">
        <v>1552</v>
      </c>
      <c r="B553" s="19" t="s">
        <v>270</v>
      </c>
      <c r="C553" s="18">
        <v>2024</v>
      </c>
      <c r="D553" s="18" t="s">
        <v>53</v>
      </c>
      <c r="E553" s="18" t="s">
        <v>79</v>
      </c>
      <c r="F553" s="18" t="s">
        <v>105</v>
      </c>
      <c r="G553" s="18" t="s">
        <v>50</v>
      </c>
      <c r="H553" s="18" t="s">
        <v>97</v>
      </c>
      <c r="I553" s="18" t="s">
        <v>40</v>
      </c>
      <c r="J553" s="18" t="s">
        <v>91</v>
      </c>
      <c r="K553" s="18">
        <v>4</v>
      </c>
      <c r="L553" s="20">
        <v>12288.02</v>
      </c>
      <c r="M553" s="21">
        <v>0</v>
      </c>
      <c r="N553" s="21">
        <v>0.59076027057532099</v>
      </c>
      <c r="O553" s="20">
        <f t="shared" si="32"/>
        <v>49152.08</v>
      </c>
      <c r="P553" s="20">
        <f t="shared" si="33"/>
        <v>29037.096080139825</v>
      </c>
      <c r="Q553" s="20">
        <f t="shared" si="34"/>
        <v>20114.983919860177</v>
      </c>
      <c r="R553" s="22">
        <f t="shared" si="35"/>
        <v>0.40923972942467901</v>
      </c>
    </row>
    <row r="554" spans="1:18">
      <c r="A554" s="18">
        <v>1553</v>
      </c>
      <c r="B554" s="19" t="s">
        <v>270</v>
      </c>
      <c r="C554" s="18">
        <v>2024</v>
      </c>
      <c r="D554" s="18" t="s">
        <v>53</v>
      </c>
      <c r="E554" s="18" t="s">
        <v>98</v>
      </c>
      <c r="F554" s="18" t="s">
        <v>99</v>
      </c>
      <c r="G554" s="18" t="s">
        <v>50</v>
      </c>
      <c r="H554" s="18" t="s">
        <v>87</v>
      </c>
      <c r="I554" s="18" t="s">
        <v>46</v>
      </c>
      <c r="J554" s="18" t="s">
        <v>102</v>
      </c>
      <c r="K554" s="18">
        <v>12</v>
      </c>
      <c r="L554" s="20">
        <v>9659.85</v>
      </c>
      <c r="M554" s="21">
        <v>0.1</v>
      </c>
      <c r="N554" s="21">
        <v>0.66660098866528295</v>
      </c>
      <c r="O554" s="20">
        <f t="shared" si="32"/>
        <v>104326.38000000002</v>
      </c>
      <c r="P554" s="20">
        <f t="shared" si="33"/>
        <v>69544.06805187001</v>
      </c>
      <c r="Q554" s="20">
        <f t="shared" si="34"/>
        <v>34782.311948130009</v>
      </c>
      <c r="R554" s="22">
        <f t="shared" si="35"/>
        <v>0.33339901133471711</v>
      </c>
    </row>
    <row r="555" spans="1:18">
      <c r="A555" s="18">
        <v>1554</v>
      </c>
      <c r="B555" s="19" t="s">
        <v>271</v>
      </c>
      <c r="C555" s="18">
        <v>2024</v>
      </c>
      <c r="D555" s="18" t="s">
        <v>53</v>
      </c>
      <c r="E555" s="18" t="s">
        <v>98</v>
      </c>
      <c r="F555" s="18" t="s">
        <v>117</v>
      </c>
      <c r="G555" s="18" t="s">
        <v>41</v>
      </c>
      <c r="H555" s="18" t="s">
        <v>106</v>
      </c>
      <c r="I555" s="18" t="s">
        <v>49</v>
      </c>
      <c r="J555" s="18" t="s">
        <v>102</v>
      </c>
      <c r="K555" s="18">
        <v>10</v>
      </c>
      <c r="L555" s="20">
        <v>2442.8200000000002</v>
      </c>
      <c r="M555" s="21">
        <v>0.1</v>
      </c>
      <c r="N555" s="21">
        <v>0.68095157436307696</v>
      </c>
      <c r="O555" s="20">
        <f t="shared" si="32"/>
        <v>21985.38</v>
      </c>
      <c r="P555" s="20">
        <f t="shared" si="33"/>
        <v>14970.979123970506</v>
      </c>
      <c r="Q555" s="20">
        <f t="shared" si="34"/>
        <v>7014.4008760294946</v>
      </c>
      <c r="R555" s="22">
        <f t="shared" si="35"/>
        <v>0.31904842563692298</v>
      </c>
    </row>
    <row r="556" spans="1:18">
      <c r="A556" s="18">
        <v>1555</v>
      </c>
      <c r="B556" s="19" t="s">
        <v>271</v>
      </c>
      <c r="C556" s="18">
        <v>2024</v>
      </c>
      <c r="D556" s="18" t="s">
        <v>53</v>
      </c>
      <c r="E556" s="18" t="s">
        <v>79</v>
      </c>
      <c r="F556" s="18" t="s">
        <v>100</v>
      </c>
      <c r="G556" s="18" t="s">
        <v>50</v>
      </c>
      <c r="H556" s="18" t="s">
        <v>87</v>
      </c>
      <c r="I556" s="18" t="s">
        <v>52</v>
      </c>
      <c r="J556" s="18" t="s">
        <v>102</v>
      </c>
      <c r="K556" s="18">
        <v>11</v>
      </c>
      <c r="L556" s="20">
        <v>9367.2099999999991</v>
      </c>
      <c r="M556" s="21">
        <v>0</v>
      </c>
      <c r="N556" s="21">
        <v>0.55381566478683897</v>
      </c>
      <c r="O556" s="20">
        <f t="shared" si="32"/>
        <v>103039.31</v>
      </c>
      <c r="P556" s="20">
        <f t="shared" si="33"/>
        <v>57064.783966827184</v>
      </c>
      <c r="Q556" s="20">
        <f t="shared" si="34"/>
        <v>45974.526033172813</v>
      </c>
      <c r="R556" s="22">
        <f t="shared" si="35"/>
        <v>0.44618433521316103</v>
      </c>
    </row>
    <row r="557" spans="1:18">
      <c r="A557" s="18">
        <v>1556</v>
      </c>
      <c r="B557" s="19" t="s">
        <v>272</v>
      </c>
      <c r="C557" s="18">
        <v>2024</v>
      </c>
      <c r="D557" s="18" t="s">
        <v>53</v>
      </c>
      <c r="E557" s="18" t="s">
        <v>88</v>
      </c>
      <c r="F557" s="18" t="s">
        <v>89</v>
      </c>
      <c r="G557" s="18" t="s">
        <v>41</v>
      </c>
      <c r="H557" s="18" t="s">
        <v>106</v>
      </c>
      <c r="I557" s="18" t="s">
        <v>58</v>
      </c>
      <c r="J557" s="18" t="s">
        <v>102</v>
      </c>
      <c r="K557" s="18">
        <v>9</v>
      </c>
      <c r="L557" s="20">
        <v>2397.0100000000002</v>
      </c>
      <c r="M557" s="21">
        <v>0</v>
      </c>
      <c r="N557" s="21">
        <v>0.65013016457377604</v>
      </c>
      <c r="O557" s="20">
        <f t="shared" si="32"/>
        <v>21573.090000000004</v>
      </c>
      <c r="P557" s="20">
        <f t="shared" si="33"/>
        <v>14025.316552064885</v>
      </c>
      <c r="Q557" s="20">
        <f t="shared" si="34"/>
        <v>7547.7734479351184</v>
      </c>
      <c r="R557" s="22">
        <f t="shared" si="35"/>
        <v>0.34986983542622391</v>
      </c>
    </row>
    <row r="558" spans="1:18">
      <c r="A558" s="18">
        <v>1557</v>
      </c>
      <c r="B558" s="19" t="s">
        <v>272</v>
      </c>
      <c r="C558" s="18">
        <v>2024</v>
      </c>
      <c r="D558" s="18" t="s">
        <v>53</v>
      </c>
      <c r="E558" s="18" t="s">
        <v>85</v>
      </c>
      <c r="F558" s="18" t="s">
        <v>94</v>
      </c>
      <c r="G558" s="18" t="s">
        <v>41</v>
      </c>
      <c r="H558" s="18" t="s">
        <v>90</v>
      </c>
      <c r="I558" s="18" t="s">
        <v>49</v>
      </c>
      <c r="J558" s="18" t="s">
        <v>102</v>
      </c>
      <c r="K558" s="18">
        <v>5</v>
      </c>
      <c r="L558" s="20">
        <v>17700.43</v>
      </c>
      <c r="M558" s="21">
        <v>0.1</v>
      </c>
      <c r="N558" s="21">
        <v>0.69887814396173498</v>
      </c>
      <c r="O558" s="20">
        <f t="shared" si="32"/>
        <v>79651.934999999998</v>
      </c>
      <c r="P558" s="20">
        <f t="shared" si="33"/>
        <v>55666.996495760752</v>
      </c>
      <c r="Q558" s="20">
        <f t="shared" si="34"/>
        <v>23984.938504239246</v>
      </c>
      <c r="R558" s="22">
        <f t="shared" si="35"/>
        <v>0.30112185603826508</v>
      </c>
    </row>
    <row r="559" spans="1:18">
      <c r="A559" s="18">
        <v>1558</v>
      </c>
      <c r="B559" s="19" t="s">
        <v>272</v>
      </c>
      <c r="C559" s="18">
        <v>2024</v>
      </c>
      <c r="D559" s="18" t="s">
        <v>53</v>
      </c>
      <c r="E559" s="18" t="s">
        <v>79</v>
      </c>
      <c r="F559" s="18" t="s">
        <v>105</v>
      </c>
      <c r="G559" s="18" t="s">
        <v>47</v>
      </c>
      <c r="H559" s="18" t="s">
        <v>107</v>
      </c>
      <c r="I559" s="18" t="s">
        <v>52</v>
      </c>
      <c r="J559" s="18" t="s">
        <v>82</v>
      </c>
      <c r="K559" s="18">
        <v>9</v>
      </c>
      <c r="L559" s="20">
        <v>2150.69</v>
      </c>
      <c r="M559" s="21">
        <v>0</v>
      </c>
      <c r="N559" s="21">
        <v>0.67515847274315299</v>
      </c>
      <c r="O559" s="20">
        <f t="shared" si="32"/>
        <v>19356.21</v>
      </c>
      <c r="P559" s="20">
        <f t="shared" si="33"/>
        <v>13068.509181695745</v>
      </c>
      <c r="Q559" s="20">
        <f t="shared" si="34"/>
        <v>6287.7008183042544</v>
      </c>
      <c r="R559" s="22">
        <f t="shared" si="35"/>
        <v>0.32484152725684701</v>
      </c>
    </row>
    <row r="560" spans="1:18">
      <c r="A560" s="18">
        <v>1559</v>
      </c>
      <c r="B560" s="19" t="s">
        <v>272</v>
      </c>
      <c r="C560" s="18">
        <v>2024</v>
      </c>
      <c r="D560" s="18" t="s">
        <v>53</v>
      </c>
      <c r="E560" s="18" t="s">
        <v>85</v>
      </c>
      <c r="F560" s="18" t="s">
        <v>86</v>
      </c>
      <c r="G560" s="18" t="s">
        <v>47</v>
      </c>
      <c r="H560" s="18" t="s">
        <v>81</v>
      </c>
      <c r="I560" s="18" t="s">
        <v>46</v>
      </c>
      <c r="J560" s="18" t="s">
        <v>91</v>
      </c>
      <c r="K560" s="18">
        <v>7</v>
      </c>
      <c r="L560" s="20">
        <v>812.55</v>
      </c>
      <c r="M560" s="21">
        <v>0</v>
      </c>
      <c r="N560" s="21">
        <v>0.69597793278427</v>
      </c>
      <c r="O560" s="20">
        <f t="shared" si="32"/>
        <v>5687.8499999999995</v>
      </c>
      <c r="P560" s="20">
        <f t="shared" si="33"/>
        <v>3958.6180849870098</v>
      </c>
      <c r="Q560" s="20">
        <f t="shared" si="34"/>
        <v>1729.2319150129897</v>
      </c>
      <c r="R560" s="22">
        <f t="shared" si="35"/>
        <v>0.30402206721573</v>
      </c>
    </row>
    <row r="561" spans="1:18">
      <c r="A561" s="18">
        <v>1560</v>
      </c>
      <c r="B561" s="19" t="s">
        <v>272</v>
      </c>
      <c r="C561" s="18">
        <v>2024</v>
      </c>
      <c r="D561" s="18" t="s">
        <v>53</v>
      </c>
      <c r="E561" s="18" t="s">
        <v>88</v>
      </c>
      <c r="F561" s="18" t="s">
        <v>89</v>
      </c>
      <c r="G561" s="18" t="s">
        <v>44</v>
      </c>
      <c r="H561" s="18" t="s">
        <v>95</v>
      </c>
      <c r="I561" s="18" t="s">
        <v>46</v>
      </c>
      <c r="J561" s="18" t="s">
        <v>91</v>
      </c>
      <c r="K561" s="18">
        <v>5</v>
      </c>
      <c r="L561" s="20">
        <v>4684.38</v>
      </c>
      <c r="M561" s="21">
        <v>0.05</v>
      </c>
      <c r="N561" s="21">
        <v>0.63983383706544905</v>
      </c>
      <c r="O561" s="20">
        <f t="shared" si="32"/>
        <v>22250.805</v>
      </c>
      <c r="P561" s="20">
        <f t="shared" si="33"/>
        <v>14236.817940945079</v>
      </c>
      <c r="Q561" s="20">
        <f t="shared" si="34"/>
        <v>8013.9870590549217</v>
      </c>
      <c r="R561" s="22">
        <f t="shared" si="35"/>
        <v>0.360166162934551</v>
      </c>
    </row>
    <row r="562" spans="1:18">
      <c r="A562" s="18">
        <v>1561</v>
      </c>
      <c r="B562" s="19" t="s">
        <v>273</v>
      </c>
      <c r="C562" s="18">
        <v>2024</v>
      </c>
      <c r="D562" s="18" t="s">
        <v>53</v>
      </c>
      <c r="E562" s="18" t="s">
        <v>88</v>
      </c>
      <c r="F562" s="18" t="s">
        <v>93</v>
      </c>
      <c r="G562" s="18" t="s">
        <v>44</v>
      </c>
      <c r="H562" s="18" t="s">
        <v>95</v>
      </c>
      <c r="I562" s="18" t="s">
        <v>60</v>
      </c>
      <c r="J562" s="18" t="s">
        <v>102</v>
      </c>
      <c r="K562" s="18">
        <v>4</v>
      </c>
      <c r="L562" s="20">
        <v>4663.16</v>
      </c>
      <c r="M562" s="21">
        <v>0.05</v>
      </c>
      <c r="N562" s="21">
        <v>0.68770641789605702</v>
      </c>
      <c r="O562" s="20">
        <f t="shared" si="32"/>
        <v>17720.007999999998</v>
      </c>
      <c r="P562" s="20">
        <f t="shared" si="33"/>
        <v>12186.163226769471</v>
      </c>
      <c r="Q562" s="20">
        <f t="shared" si="34"/>
        <v>5533.8447732305267</v>
      </c>
      <c r="R562" s="22">
        <f t="shared" si="35"/>
        <v>0.31229358210394303</v>
      </c>
    </row>
    <row r="563" spans="1:18">
      <c r="A563" s="18">
        <v>1562</v>
      </c>
      <c r="B563" s="19" t="s">
        <v>273</v>
      </c>
      <c r="C563" s="18">
        <v>2024</v>
      </c>
      <c r="D563" s="18" t="s">
        <v>53</v>
      </c>
      <c r="E563" s="18" t="s">
        <v>88</v>
      </c>
      <c r="F563" s="18" t="s">
        <v>89</v>
      </c>
      <c r="G563" s="18" t="s">
        <v>44</v>
      </c>
      <c r="H563" s="18" t="s">
        <v>95</v>
      </c>
      <c r="I563" s="18" t="s">
        <v>62</v>
      </c>
      <c r="J563" s="18" t="s">
        <v>82</v>
      </c>
      <c r="K563" s="18">
        <v>6</v>
      </c>
      <c r="L563" s="20">
        <v>4305.5200000000004</v>
      </c>
      <c r="M563" s="21">
        <v>0.15</v>
      </c>
      <c r="N563" s="21">
        <v>0.73972031283295203</v>
      </c>
      <c r="O563" s="20">
        <f t="shared" si="32"/>
        <v>21958.152000000002</v>
      </c>
      <c r="P563" s="20">
        <f t="shared" si="33"/>
        <v>16242.891066673512</v>
      </c>
      <c r="Q563" s="20">
        <f t="shared" si="34"/>
        <v>5715.26093332649</v>
      </c>
      <c r="R563" s="22">
        <f t="shared" si="35"/>
        <v>0.26027968716704802</v>
      </c>
    </row>
    <row r="564" spans="1:18">
      <c r="A564" s="18">
        <v>1563</v>
      </c>
      <c r="B564" s="19" t="s">
        <v>273</v>
      </c>
      <c r="C564" s="18">
        <v>2024</v>
      </c>
      <c r="D564" s="18" t="s">
        <v>53</v>
      </c>
      <c r="E564" s="18" t="s">
        <v>79</v>
      </c>
      <c r="F564" s="18" t="s">
        <v>100</v>
      </c>
      <c r="G564" s="18" t="s">
        <v>47</v>
      </c>
      <c r="H564" s="18" t="s">
        <v>81</v>
      </c>
      <c r="I564" s="18" t="s">
        <v>40</v>
      </c>
      <c r="J564" s="18" t="s">
        <v>91</v>
      </c>
      <c r="K564" s="18">
        <v>7</v>
      </c>
      <c r="L564" s="20">
        <v>836.9</v>
      </c>
      <c r="M564" s="21">
        <v>0.05</v>
      </c>
      <c r="N564" s="21">
        <v>0.63860089740992998</v>
      </c>
      <c r="O564" s="20">
        <f t="shared" si="32"/>
        <v>5565.3850000000002</v>
      </c>
      <c r="P564" s="20">
        <f t="shared" si="33"/>
        <v>3554.0598554317635</v>
      </c>
      <c r="Q564" s="20">
        <f t="shared" si="34"/>
        <v>2011.3251445682367</v>
      </c>
      <c r="R564" s="22">
        <f t="shared" si="35"/>
        <v>0.36139910259006996</v>
      </c>
    </row>
    <row r="565" spans="1:18">
      <c r="A565" s="18">
        <v>1564</v>
      </c>
      <c r="B565" s="19" t="s">
        <v>274</v>
      </c>
      <c r="C565" s="18">
        <v>2024</v>
      </c>
      <c r="D565" s="18" t="s">
        <v>53</v>
      </c>
      <c r="E565" s="18" t="s">
        <v>88</v>
      </c>
      <c r="F565" s="18" t="s">
        <v>110</v>
      </c>
      <c r="G565" s="18" t="s">
        <v>41</v>
      </c>
      <c r="H565" s="18" t="s">
        <v>101</v>
      </c>
      <c r="I565" s="18" t="s">
        <v>46</v>
      </c>
      <c r="J565" s="18" t="s">
        <v>82</v>
      </c>
      <c r="K565" s="18">
        <v>10</v>
      </c>
      <c r="L565" s="20">
        <v>55643.21</v>
      </c>
      <c r="M565" s="21">
        <v>0.15</v>
      </c>
      <c r="N565" s="21">
        <v>0.66340861858779498</v>
      </c>
      <c r="O565" s="20">
        <f t="shared" si="32"/>
        <v>472967.28499999997</v>
      </c>
      <c r="P565" s="20">
        <f t="shared" si="33"/>
        <v>313770.57317906991</v>
      </c>
      <c r="Q565" s="20">
        <f t="shared" si="34"/>
        <v>159196.71182093007</v>
      </c>
      <c r="R565" s="22">
        <f t="shared" si="35"/>
        <v>0.33659138141220502</v>
      </c>
    </row>
    <row r="566" spans="1:18">
      <c r="A566" s="18">
        <v>1565</v>
      </c>
      <c r="B566" s="19" t="s">
        <v>274</v>
      </c>
      <c r="C566" s="18">
        <v>2024</v>
      </c>
      <c r="D566" s="18" t="s">
        <v>53</v>
      </c>
      <c r="E566" s="18" t="s">
        <v>88</v>
      </c>
      <c r="F566" s="18" t="s">
        <v>93</v>
      </c>
      <c r="G566" s="18" t="s">
        <v>44</v>
      </c>
      <c r="H566" s="18" t="s">
        <v>119</v>
      </c>
      <c r="I566" s="18" t="s">
        <v>40</v>
      </c>
      <c r="J566" s="18" t="s">
        <v>91</v>
      </c>
      <c r="K566" s="18">
        <v>2</v>
      </c>
      <c r="L566" s="20">
        <v>7131.7</v>
      </c>
      <c r="M566" s="21">
        <v>0.1</v>
      </c>
      <c r="N566" s="21">
        <v>0.57681732550609799</v>
      </c>
      <c r="O566" s="20">
        <f t="shared" si="32"/>
        <v>12837.06</v>
      </c>
      <c r="P566" s="20">
        <f t="shared" si="33"/>
        <v>7404.6386165613103</v>
      </c>
      <c r="Q566" s="20">
        <f t="shared" si="34"/>
        <v>5432.4213834386892</v>
      </c>
      <c r="R566" s="22">
        <f t="shared" si="35"/>
        <v>0.42318267449390201</v>
      </c>
    </row>
    <row r="567" spans="1:18">
      <c r="A567" s="18">
        <v>1566</v>
      </c>
      <c r="B567" s="19" t="s">
        <v>274</v>
      </c>
      <c r="C567" s="18">
        <v>2024</v>
      </c>
      <c r="D567" s="18" t="s">
        <v>53</v>
      </c>
      <c r="E567" s="18" t="s">
        <v>85</v>
      </c>
      <c r="F567" s="18" t="s">
        <v>94</v>
      </c>
      <c r="G567" s="18" t="s">
        <v>47</v>
      </c>
      <c r="H567" s="18" t="s">
        <v>81</v>
      </c>
      <c r="I567" s="18" t="s">
        <v>56</v>
      </c>
      <c r="J567" s="18" t="s">
        <v>91</v>
      </c>
      <c r="K567" s="18">
        <v>8</v>
      </c>
      <c r="L567" s="20">
        <v>771</v>
      </c>
      <c r="M567" s="21">
        <v>0</v>
      </c>
      <c r="N567" s="21">
        <v>0.59525461201702001</v>
      </c>
      <c r="O567" s="20">
        <f t="shared" si="32"/>
        <v>6168</v>
      </c>
      <c r="P567" s="20">
        <f t="shared" si="33"/>
        <v>3671.5304469209796</v>
      </c>
      <c r="Q567" s="20">
        <f t="shared" si="34"/>
        <v>2496.4695530790204</v>
      </c>
      <c r="R567" s="22">
        <f t="shared" si="35"/>
        <v>0.40474538798297999</v>
      </c>
    </row>
    <row r="568" spans="1:18">
      <c r="A568" s="18">
        <v>1567</v>
      </c>
      <c r="B568" s="19" t="s">
        <v>274</v>
      </c>
      <c r="C568" s="18">
        <v>2024</v>
      </c>
      <c r="D568" s="18" t="s">
        <v>53</v>
      </c>
      <c r="E568" s="18" t="s">
        <v>85</v>
      </c>
      <c r="F568" s="18" t="s">
        <v>86</v>
      </c>
      <c r="G568" s="18" t="s">
        <v>47</v>
      </c>
      <c r="H568" s="18" t="s">
        <v>107</v>
      </c>
      <c r="I568" s="18" t="s">
        <v>49</v>
      </c>
      <c r="J568" s="18" t="s">
        <v>102</v>
      </c>
      <c r="K568" s="18">
        <v>11</v>
      </c>
      <c r="L568" s="20">
        <v>2307.41</v>
      </c>
      <c r="M568" s="21">
        <v>0</v>
      </c>
      <c r="N568" s="21">
        <v>0.56322726484697805</v>
      </c>
      <c r="O568" s="20">
        <f t="shared" si="32"/>
        <v>25381.51</v>
      </c>
      <c r="P568" s="20">
        <f t="shared" si="33"/>
        <v>14295.558454986221</v>
      </c>
      <c r="Q568" s="20">
        <f t="shared" si="34"/>
        <v>11085.951545013777</v>
      </c>
      <c r="R568" s="22">
        <f t="shared" si="35"/>
        <v>0.43677273515302195</v>
      </c>
    </row>
    <row r="569" spans="1:18">
      <c r="A569" s="18">
        <v>1568</v>
      </c>
      <c r="B569" s="19" t="s">
        <v>275</v>
      </c>
      <c r="C569" s="18">
        <v>2024</v>
      </c>
      <c r="D569" s="18" t="s">
        <v>53</v>
      </c>
      <c r="E569" s="18" t="s">
        <v>85</v>
      </c>
      <c r="F569" s="18" t="s">
        <v>94</v>
      </c>
      <c r="G569" s="18" t="s">
        <v>47</v>
      </c>
      <c r="H569" s="18" t="s">
        <v>107</v>
      </c>
      <c r="I569" s="18" t="s">
        <v>49</v>
      </c>
      <c r="J569" s="18" t="s">
        <v>91</v>
      </c>
      <c r="K569" s="18">
        <v>7</v>
      </c>
      <c r="L569" s="20">
        <v>2260.77</v>
      </c>
      <c r="M569" s="21">
        <v>0.15</v>
      </c>
      <c r="N569" s="21">
        <v>0.69706635597993205</v>
      </c>
      <c r="O569" s="20">
        <f t="shared" si="32"/>
        <v>13451.581499999998</v>
      </c>
      <c r="P569" s="20">
        <f t="shared" si="33"/>
        <v>9376.6448983720675</v>
      </c>
      <c r="Q569" s="20">
        <f t="shared" si="34"/>
        <v>4074.9366016279309</v>
      </c>
      <c r="R569" s="22">
        <f t="shared" si="35"/>
        <v>0.30293364402006795</v>
      </c>
    </row>
    <row r="570" spans="1:18">
      <c r="A570" s="18">
        <v>1569</v>
      </c>
      <c r="B570" s="19" t="s">
        <v>275</v>
      </c>
      <c r="C570" s="18">
        <v>2024</v>
      </c>
      <c r="D570" s="18" t="s">
        <v>53</v>
      </c>
      <c r="E570" s="18" t="s">
        <v>85</v>
      </c>
      <c r="F570" s="18" t="s">
        <v>94</v>
      </c>
      <c r="G570" s="18" t="s">
        <v>47</v>
      </c>
      <c r="H570" s="18" t="s">
        <v>107</v>
      </c>
      <c r="I570" s="18" t="s">
        <v>62</v>
      </c>
      <c r="J570" s="18" t="s">
        <v>102</v>
      </c>
      <c r="K570" s="18">
        <v>10</v>
      </c>
      <c r="L570" s="20">
        <v>2220.64</v>
      </c>
      <c r="M570" s="21">
        <v>0.15</v>
      </c>
      <c r="N570" s="21">
        <v>0.67827876489726202</v>
      </c>
      <c r="O570" s="20">
        <f t="shared" si="32"/>
        <v>18875.439999999999</v>
      </c>
      <c r="P570" s="20">
        <f t="shared" si="33"/>
        <v>12802.810130092375</v>
      </c>
      <c r="Q570" s="20">
        <f t="shared" si="34"/>
        <v>6072.6298699076233</v>
      </c>
      <c r="R570" s="22">
        <f t="shared" si="35"/>
        <v>0.32172123510273792</v>
      </c>
    </row>
    <row r="571" spans="1:18">
      <c r="A571" s="18">
        <v>1570</v>
      </c>
      <c r="B571" s="19" t="s">
        <v>275</v>
      </c>
      <c r="C571" s="18">
        <v>2024</v>
      </c>
      <c r="D571" s="18" t="s">
        <v>53</v>
      </c>
      <c r="E571" s="18" t="s">
        <v>79</v>
      </c>
      <c r="F571" s="18" t="s">
        <v>80</v>
      </c>
      <c r="G571" s="18" t="s">
        <v>41</v>
      </c>
      <c r="H571" s="18" t="s">
        <v>112</v>
      </c>
      <c r="I571" s="18" t="s">
        <v>58</v>
      </c>
      <c r="J571" s="18" t="s">
        <v>82</v>
      </c>
      <c r="K571" s="18">
        <v>4</v>
      </c>
      <c r="L571" s="20">
        <v>6011.22</v>
      </c>
      <c r="M571" s="21">
        <v>0.1</v>
      </c>
      <c r="N571" s="21">
        <v>0.74676612874145798</v>
      </c>
      <c r="O571" s="20">
        <f t="shared" si="32"/>
        <v>21640.392</v>
      </c>
      <c r="P571" s="20">
        <f t="shared" si="33"/>
        <v>16160.311758287617</v>
      </c>
      <c r="Q571" s="20">
        <f t="shared" si="34"/>
        <v>5480.0802417123832</v>
      </c>
      <c r="R571" s="22">
        <f t="shared" si="35"/>
        <v>0.25323387125854202</v>
      </c>
    </row>
    <row r="572" spans="1:18">
      <c r="A572" s="18">
        <v>1571</v>
      </c>
      <c r="B572" s="19" t="s">
        <v>275</v>
      </c>
      <c r="C572" s="18">
        <v>2024</v>
      </c>
      <c r="D572" s="18" t="s">
        <v>53</v>
      </c>
      <c r="E572" s="18" t="s">
        <v>79</v>
      </c>
      <c r="F572" s="18" t="s">
        <v>80</v>
      </c>
      <c r="G572" s="18" t="s">
        <v>50</v>
      </c>
      <c r="H572" s="18" t="s">
        <v>87</v>
      </c>
      <c r="I572" s="18" t="s">
        <v>40</v>
      </c>
      <c r="J572" s="18" t="s">
        <v>82</v>
      </c>
      <c r="K572" s="18">
        <v>5</v>
      </c>
      <c r="L572" s="20">
        <v>9442.58</v>
      </c>
      <c r="M572" s="21">
        <v>0.05</v>
      </c>
      <c r="N572" s="21">
        <v>0.70473540250602495</v>
      </c>
      <c r="O572" s="20">
        <f t="shared" si="32"/>
        <v>44852.254999999997</v>
      </c>
      <c r="P572" s="20">
        <f t="shared" si="33"/>
        <v>31608.971980727867</v>
      </c>
      <c r="Q572" s="20">
        <f t="shared" si="34"/>
        <v>13243.28301927213</v>
      </c>
      <c r="R572" s="22">
        <f t="shared" si="35"/>
        <v>0.2952645974939751</v>
      </c>
    </row>
    <row r="573" spans="1:18">
      <c r="A573" s="18">
        <v>1572</v>
      </c>
      <c r="B573" s="19" t="s">
        <v>275</v>
      </c>
      <c r="C573" s="18">
        <v>2024</v>
      </c>
      <c r="D573" s="18" t="s">
        <v>53</v>
      </c>
      <c r="E573" s="18" t="s">
        <v>98</v>
      </c>
      <c r="F573" s="18" t="s">
        <v>109</v>
      </c>
      <c r="G573" s="18" t="s">
        <v>44</v>
      </c>
      <c r="H573" s="18" t="s">
        <v>114</v>
      </c>
      <c r="I573" s="18" t="s">
        <v>52</v>
      </c>
      <c r="J573" s="18" t="s">
        <v>102</v>
      </c>
      <c r="K573" s="18">
        <v>1</v>
      </c>
      <c r="L573" s="20">
        <v>9170.9599999999991</v>
      </c>
      <c r="M573" s="21">
        <v>0</v>
      </c>
      <c r="N573" s="21">
        <v>0.64271579061432704</v>
      </c>
      <c r="O573" s="20">
        <f t="shared" si="32"/>
        <v>9170.9599999999991</v>
      </c>
      <c r="P573" s="20">
        <f t="shared" si="33"/>
        <v>5894.3208070923683</v>
      </c>
      <c r="Q573" s="20">
        <f t="shared" si="34"/>
        <v>3276.6391929076308</v>
      </c>
      <c r="R573" s="22">
        <f t="shared" si="35"/>
        <v>0.35728420938567296</v>
      </c>
    </row>
    <row r="574" spans="1:18">
      <c r="A574" s="18">
        <v>1573</v>
      </c>
      <c r="B574" s="19" t="s">
        <v>276</v>
      </c>
      <c r="C574" s="18">
        <v>2024</v>
      </c>
      <c r="D574" s="18" t="s">
        <v>53</v>
      </c>
      <c r="E574" s="18" t="s">
        <v>79</v>
      </c>
      <c r="F574" s="18" t="s">
        <v>80</v>
      </c>
      <c r="G574" s="18" t="s">
        <v>41</v>
      </c>
      <c r="H574" s="18" t="s">
        <v>101</v>
      </c>
      <c r="I574" s="18" t="s">
        <v>62</v>
      </c>
      <c r="J574" s="18" t="s">
        <v>102</v>
      </c>
      <c r="K574" s="18">
        <v>9</v>
      </c>
      <c r="L574" s="20">
        <v>52994.19</v>
      </c>
      <c r="M574" s="21">
        <v>0.1</v>
      </c>
      <c r="N574" s="21">
        <v>0.61469218649102098</v>
      </c>
      <c r="O574" s="20">
        <f t="shared" si="32"/>
        <v>429252.93900000001</v>
      </c>
      <c r="P574" s="20">
        <f t="shared" si="33"/>
        <v>263858.42763160687</v>
      </c>
      <c r="Q574" s="20">
        <f t="shared" si="34"/>
        <v>165394.51136839314</v>
      </c>
      <c r="R574" s="22">
        <f t="shared" si="35"/>
        <v>0.38530781350897897</v>
      </c>
    </row>
    <row r="575" spans="1:18">
      <c r="A575" s="18">
        <v>1574</v>
      </c>
      <c r="B575" s="19" t="s">
        <v>276</v>
      </c>
      <c r="C575" s="18">
        <v>2024</v>
      </c>
      <c r="D575" s="18" t="s">
        <v>53</v>
      </c>
      <c r="E575" s="18" t="s">
        <v>79</v>
      </c>
      <c r="F575" s="18" t="s">
        <v>100</v>
      </c>
      <c r="G575" s="18" t="s">
        <v>50</v>
      </c>
      <c r="H575" s="18" t="s">
        <v>87</v>
      </c>
      <c r="I575" s="18" t="s">
        <v>49</v>
      </c>
      <c r="J575" s="18" t="s">
        <v>91</v>
      </c>
      <c r="K575" s="18">
        <v>2</v>
      </c>
      <c r="L575" s="20">
        <v>9262.58</v>
      </c>
      <c r="M575" s="21">
        <v>0.2</v>
      </c>
      <c r="N575" s="21">
        <v>0.67971528605693898</v>
      </c>
      <c r="O575" s="20">
        <f t="shared" si="32"/>
        <v>14820.128000000001</v>
      </c>
      <c r="P575" s="20">
        <f t="shared" si="33"/>
        <v>10073.467542920451</v>
      </c>
      <c r="Q575" s="20">
        <f t="shared" si="34"/>
        <v>4746.6604570795498</v>
      </c>
      <c r="R575" s="22">
        <f t="shared" si="35"/>
        <v>0.32028471394306107</v>
      </c>
    </row>
    <row r="576" spans="1:18">
      <c r="A576" s="18">
        <v>1575</v>
      </c>
      <c r="B576" s="19" t="s">
        <v>276</v>
      </c>
      <c r="C576" s="18">
        <v>2024</v>
      </c>
      <c r="D576" s="18" t="s">
        <v>53</v>
      </c>
      <c r="E576" s="18" t="s">
        <v>88</v>
      </c>
      <c r="F576" s="18" t="s">
        <v>93</v>
      </c>
      <c r="G576" s="18" t="s">
        <v>41</v>
      </c>
      <c r="H576" s="18" t="s">
        <v>90</v>
      </c>
      <c r="I576" s="18" t="s">
        <v>43</v>
      </c>
      <c r="J576" s="18" t="s">
        <v>102</v>
      </c>
      <c r="K576" s="18">
        <v>8</v>
      </c>
      <c r="L576" s="20">
        <v>18241.330000000002</v>
      </c>
      <c r="M576" s="21">
        <v>0</v>
      </c>
      <c r="N576" s="21">
        <v>0.65476346121323004</v>
      </c>
      <c r="O576" s="20">
        <f t="shared" si="32"/>
        <v>145930.64000000001</v>
      </c>
      <c r="P576" s="20">
        <f t="shared" si="33"/>
        <v>95550.050943461843</v>
      </c>
      <c r="Q576" s="20">
        <f t="shared" si="34"/>
        <v>50380.589056538171</v>
      </c>
      <c r="R576" s="22">
        <f t="shared" si="35"/>
        <v>0.34523653878676996</v>
      </c>
    </row>
    <row r="577" spans="1:18">
      <c r="A577" s="18">
        <v>1576</v>
      </c>
      <c r="B577" s="19" t="s">
        <v>276</v>
      </c>
      <c r="C577" s="18">
        <v>2024</v>
      </c>
      <c r="D577" s="18" t="s">
        <v>53</v>
      </c>
      <c r="E577" s="18" t="s">
        <v>85</v>
      </c>
      <c r="F577" s="18" t="s">
        <v>94</v>
      </c>
      <c r="G577" s="18" t="s">
        <v>44</v>
      </c>
      <c r="H577" s="18" t="s">
        <v>114</v>
      </c>
      <c r="I577" s="18" t="s">
        <v>60</v>
      </c>
      <c r="J577" s="18" t="s">
        <v>91</v>
      </c>
      <c r="K577" s="18">
        <v>1</v>
      </c>
      <c r="L577" s="20">
        <v>9241.43</v>
      </c>
      <c r="M577" s="21">
        <v>0.05</v>
      </c>
      <c r="N577" s="21">
        <v>0.66309831570283395</v>
      </c>
      <c r="O577" s="20">
        <f t="shared" si="32"/>
        <v>8779.3585000000003</v>
      </c>
      <c r="P577" s="20">
        <f t="shared" si="33"/>
        <v>5821.577834301359</v>
      </c>
      <c r="Q577" s="20">
        <f t="shared" si="34"/>
        <v>2957.7806656986413</v>
      </c>
      <c r="R577" s="22">
        <f t="shared" si="35"/>
        <v>0.33690168429716605</v>
      </c>
    </row>
    <row r="578" spans="1:18">
      <c r="A578" s="18">
        <v>1577</v>
      </c>
      <c r="B578" s="19" t="s">
        <v>276</v>
      </c>
      <c r="C578" s="18">
        <v>2024</v>
      </c>
      <c r="D578" s="18" t="s">
        <v>53</v>
      </c>
      <c r="E578" s="18" t="s">
        <v>88</v>
      </c>
      <c r="F578" s="18" t="s">
        <v>110</v>
      </c>
      <c r="G578" s="18" t="s">
        <v>44</v>
      </c>
      <c r="H578" s="18" t="s">
        <v>119</v>
      </c>
      <c r="I578" s="18" t="s">
        <v>40</v>
      </c>
      <c r="J578" s="18" t="s">
        <v>91</v>
      </c>
      <c r="K578" s="18">
        <v>5</v>
      </c>
      <c r="L578" s="20">
        <v>6866.66</v>
      </c>
      <c r="M578" s="21">
        <v>0.1</v>
      </c>
      <c r="N578" s="21">
        <v>0.60775610748894904</v>
      </c>
      <c r="O578" s="20">
        <f t="shared" ref="O578:O641" si="36">K578*L578*(1-M578)</f>
        <v>30899.970000000005</v>
      </c>
      <c r="P578" s="20">
        <f t="shared" ref="P578:P641" si="37">O578*N578</f>
        <v>18779.645488725302</v>
      </c>
      <c r="Q578" s="20">
        <f t="shared" ref="Q578:Q641" si="38">O578-P578</f>
        <v>12120.324511274703</v>
      </c>
      <c r="R578" s="22">
        <f t="shared" ref="R578:R641" si="39">IF(O578=0,0,Q578/O578)</f>
        <v>0.39224389251105102</v>
      </c>
    </row>
    <row r="579" spans="1:18">
      <c r="A579" s="18">
        <v>1578</v>
      </c>
      <c r="B579" s="19" t="s">
        <v>277</v>
      </c>
      <c r="C579" s="18">
        <v>2024</v>
      </c>
      <c r="D579" s="18" t="s">
        <v>53</v>
      </c>
      <c r="E579" s="18" t="s">
        <v>79</v>
      </c>
      <c r="F579" s="18" t="s">
        <v>100</v>
      </c>
      <c r="G579" s="18" t="s">
        <v>44</v>
      </c>
      <c r="H579" s="18" t="s">
        <v>119</v>
      </c>
      <c r="I579" s="18" t="s">
        <v>62</v>
      </c>
      <c r="J579" s="18" t="s">
        <v>91</v>
      </c>
      <c r="K579" s="18">
        <v>1</v>
      </c>
      <c r="L579" s="20">
        <v>6971.05</v>
      </c>
      <c r="M579" s="21">
        <v>0.1</v>
      </c>
      <c r="N579" s="21">
        <v>0.65870023192086002</v>
      </c>
      <c r="O579" s="20">
        <f t="shared" si="36"/>
        <v>6273.9450000000006</v>
      </c>
      <c r="P579" s="20">
        <f t="shared" si="37"/>
        <v>4132.6490265587208</v>
      </c>
      <c r="Q579" s="20">
        <f t="shared" si="38"/>
        <v>2141.2959734412798</v>
      </c>
      <c r="R579" s="22">
        <f t="shared" si="39"/>
        <v>0.34129976807913992</v>
      </c>
    </row>
    <row r="580" spans="1:18">
      <c r="A580" s="18">
        <v>1579</v>
      </c>
      <c r="B580" s="19" t="s">
        <v>277</v>
      </c>
      <c r="C580" s="18">
        <v>2024</v>
      </c>
      <c r="D580" s="18" t="s">
        <v>53</v>
      </c>
      <c r="E580" s="18" t="s">
        <v>79</v>
      </c>
      <c r="F580" s="18" t="s">
        <v>80</v>
      </c>
      <c r="G580" s="18" t="s">
        <v>50</v>
      </c>
      <c r="H580" s="18" t="s">
        <v>83</v>
      </c>
      <c r="I580" s="18" t="s">
        <v>49</v>
      </c>
      <c r="J580" s="18" t="s">
        <v>102</v>
      </c>
      <c r="K580" s="18">
        <v>11</v>
      </c>
      <c r="L580" s="20">
        <v>3491.5</v>
      </c>
      <c r="M580" s="21">
        <v>0.1</v>
      </c>
      <c r="N580" s="21">
        <v>0.63837507229954704</v>
      </c>
      <c r="O580" s="20">
        <f t="shared" si="36"/>
        <v>34565.85</v>
      </c>
      <c r="P580" s="20">
        <f t="shared" si="37"/>
        <v>22065.976992845299</v>
      </c>
      <c r="Q580" s="20">
        <f t="shared" si="38"/>
        <v>12499.8730071547</v>
      </c>
      <c r="R580" s="22">
        <f t="shared" si="39"/>
        <v>0.3616249277004529</v>
      </c>
    </row>
    <row r="581" spans="1:18">
      <c r="A581" s="18">
        <v>1580</v>
      </c>
      <c r="B581" s="19" t="s">
        <v>277</v>
      </c>
      <c r="C581" s="18">
        <v>2024</v>
      </c>
      <c r="D581" s="18" t="s">
        <v>53</v>
      </c>
      <c r="E581" s="18" t="s">
        <v>79</v>
      </c>
      <c r="F581" s="18" t="s">
        <v>100</v>
      </c>
      <c r="G581" s="18" t="s">
        <v>47</v>
      </c>
      <c r="H581" s="18" t="s">
        <v>103</v>
      </c>
      <c r="I581" s="18" t="s">
        <v>60</v>
      </c>
      <c r="J581" s="18" t="s">
        <v>82</v>
      </c>
      <c r="K581" s="18">
        <v>1</v>
      </c>
      <c r="L581" s="20">
        <v>3099.15</v>
      </c>
      <c r="M581" s="21">
        <v>0</v>
      </c>
      <c r="N581" s="21">
        <v>0.68065537564310397</v>
      </c>
      <c r="O581" s="20">
        <f t="shared" si="36"/>
        <v>3099.15</v>
      </c>
      <c r="P581" s="20">
        <f t="shared" si="37"/>
        <v>2109.4531074243259</v>
      </c>
      <c r="Q581" s="20">
        <f t="shared" si="38"/>
        <v>989.69689257567416</v>
      </c>
      <c r="R581" s="22">
        <f t="shared" si="39"/>
        <v>0.31934462435689598</v>
      </c>
    </row>
    <row r="582" spans="1:18">
      <c r="A582" s="18">
        <v>1581</v>
      </c>
      <c r="B582" s="19" t="s">
        <v>278</v>
      </c>
      <c r="C582" s="18">
        <v>2024</v>
      </c>
      <c r="D582" s="18" t="s">
        <v>53</v>
      </c>
      <c r="E582" s="18" t="s">
        <v>88</v>
      </c>
      <c r="F582" s="18" t="s">
        <v>110</v>
      </c>
      <c r="G582" s="18" t="s">
        <v>47</v>
      </c>
      <c r="H582" s="18" t="s">
        <v>107</v>
      </c>
      <c r="I582" s="18" t="s">
        <v>43</v>
      </c>
      <c r="J582" s="18" t="s">
        <v>82</v>
      </c>
      <c r="K582" s="18">
        <v>2</v>
      </c>
      <c r="L582" s="20">
        <v>2181.73</v>
      </c>
      <c r="M582" s="21">
        <v>0</v>
      </c>
      <c r="N582" s="21">
        <v>0.58226704548610797</v>
      </c>
      <c r="O582" s="20">
        <f t="shared" si="36"/>
        <v>4363.46</v>
      </c>
      <c r="P582" s="20">
        <f t="shared" si="37"/>
        <v>2540.6989622968126</v>
      </c>
      <c r="Q582" s="20">
        <f t="shared" si="38"/>
        <v>1822.7610377031874</v>
      </c>
      <c r="R582" s="22">
        <f t="shared" si="39"/>
        <v>0.41773295451389203</v>
      </c>
    </row>
    <row r="583" spans="1:18">
      <c r="A583" s="18">
        <v>1582</v>
      </c>
      <c r="B583" s="19" t="s">
        <v>278</v>
      </c>
      <c r="C583" s="18">
        <v>2024</v>
      </c>
      <c r="D583" s="18" t="s">
        <v>53</v>
      </c>
      <c r="E583" s="18" t="s">
        <v>98</v>
      </c>
      <c r="F583" s="18" t="s">
        <v>99</v>
      </c>
      <c r="G583" s="18" t="s">
        <v>44</v>
      </c>
      <c r="H583" s="18" t="s">
        <v>114</v>
      </c>
      <c r="I583" s="18" t="s">
        <v>62</v>
      </c>
      <c r="J583" s="18" t="s">
        <v>91</v>
      </c>
      <c r="K583" s="18">
        <v>1</v>
      </c>
      <c r="L583" s="20">
        <v>8633.81</v>
      </c>
      <c r="M583" s="21">
        <v>0.05</v>
      </c>
      <c r="N583" s="21">
        <v>0.61456437016810395</v>
      </c>
      <c r="O583" s="20">
        <f t="shared" si="36"/>
        <v>8202.1194999999989</v>
      </c>
      <c r="P583" s="20">
        <f t="shared" si="37"/>
        <v>5040.7304045610226</v>
      </c>
      <c r="Q583" s="20">
        <f t="shared" si="38"/>
        <v>3161.3890954389763</v>
      </c>
      <c r="R583" s="22">
        <f t="shared" si="39"/>
        <v>0.38543562983189611</v>
      </c>
    </row>
    <row r="584" spans="1:18">
      <c r="A584" s="18">
        <v>1583</v>
      </c>
      <c r="B584" s="19" t="s">
        <v>279</v>
      </c>
      <c r="C584" s="18">
        <v>2024</v>
      </c>
      <c r="D584" s="18" t="s">
        <v>53</v>
      </c>
      <c r="E584" s="18" t="s">
        <v>79</v>
      </c>
      <c r="F584" s="18" t="s">
        <v>105</v>
      </c>
      <c r="G584" s="18" t="s">
        <v>41</v>
      </c>
      <c r="H584" s="18" t="s">
        <v>106</v>
      </c>
      <c r="I584" s="18" t="s">
        <v>58</v>
      </c>
      <c r="J584" s="18" t="s">
        <v>82</v>
      </c>
      <c r="K584" s="18">
        <v>2</v>
      </c>
      <c r="L584" s="20">
        <v>2548.65</v>
      </c>
      <c r="M584" s="21">
        <v>0.05</v>
      </c>
      <c r="N584" s="21">
        <v>0.61584170539238003</v>
      </c>
      <c r="O584" s="20">
        <f t="shared" si="36"/>
        <v>4842.4350000000004</v>
      </c>
      <c r="P584" s="20">
        <f t="shared" si="37"/>
        <v>2982.1734286517499</v>
      </c>
      <c r="Q584" s="20">
        <f t="shared" si="38"/>
        <v>1860.2615713482505</v>
      </c>
      <c r="R584" s="22">
        <f t="shared" si="39"/>
        <v>0.38415829460762002</v>
      </c>
    </row>
    <row r="585" spans="1:18">
      <c r="A585" s="18">
        <v>1584</v>
      </c>
      <c r="B585" s="19" t="s">
        <v>279</v>
      </c>
      <c r="C585" s="18">
        <v>2024</v>
      </c>
      <c r="D585" s="18" t="s">
        <v>53</v>
      </c>
      <c r="E585" s="18" t="s">
        <v>85</v>
      </c>
      <c r="F585" s="18" t="s">
        <v>94</v>
      </c>
      <c r="G585" s="18" t="s">
        <v>44</v>
      </c>
      <c r="H585" s="18" t="s">
        <v>95</v>
      </c>
      <c r="I585" s="18" t="s">
        <v>49</v>
      </c>
      <c r="J585" s="18" t="s">
        <v>102</v>
      </c>
      <c r="K585" s="18">
        <v>1</v>
      </c>
      <c r="L585" s="20">
        <v>4324.1899999999996</v>
      </c>
      <c r="M585" s="21">
        <v>0.2</v>
      </c>
      <c r="N585" s="21">
        <v>0.7458699891403</v>
      </c>
      <c r="O585" s="20">
        <f t="shared" si="36"/>
        <v>3459.3519999999999</v>
      </c>
      <c r="P585" s="20">
        <f t="shared" si="37"/>
        <v>2580.226838672475</v>
      </c>
      <c r="Q585" s="20">
        <f t="shared" si="38"/>
        <v>879.12516132752489</v>
      </c>
      <c r="R585" s="22">
        <f t="shared" si="39"/>
        <v>0.2541300108597</v>
      </c>
    </row>
    <row r="586" spans="1:18">
      <c r="A586" s="18">
        <v>1585</v>
      </c>
      <c r="B586" s="19" t="s">
        <v>279</v>
      </c>
      <c r="C586" s="18">
        <v>2024</v>
      </c>
      <c r="D586" s="18" t="s">
        <v>53</v>
      </c>
      <c r="E586" s="18" t="s">
        <v>79</v>
      </c>
      <c r="F586" s="18" t="s">
        <v>105</v>
      </c>
      <c r="G586" s="18" t="s">
        <v>47</v>
      </c>
      <c r="H586" s="18" t="s">
        <v>107</v>
      </c>
      <c r="I586" s="18" t="s">
        <v>62</v>
      </c>
      <c r="J586" s="18" t="s">
        <v>91</v>
      </c>
      <c r="K586" s="18">
        <v>5</v>
      </c>
      <c r="L586" s="20">
        <v>2205.59</v>
      </c>
      <c r="M586" s="21">
        <v>0.15</v>
      </c>
      <c r="N586" s="21">
        <v>0.62077066887483801</v>
      </c>
      <c r="O586" s="20">
        <f t="shared" si="36"/>
        <v>9373.7574999999997</v>
      </c>
      <c r="P586" s="20">
        <f t="shared" si="37"/>
        <v>5818.953713145529</v>
      </c>
      <c r="Q586" s="20">
        <f t="shared" si="38"/>
        <v>3554.8037868544707</v>
      </c>
      <c r="R586" s="22">
        <f t="shared" si="39"/>
        <v>0.37922933112516199</v>
      </c>
    </row>
    <row r="587" spans="1:18">
      <c r="A587" s="18">
        <v>1586</v>
      </c>
      <c r="B587" s="19" t="s">
        <v>279</v>
      </c>
      <c r="C587" s="18">
        <v>2024</v>
      </c>
      <c r="D587" s="18" t="s">
        <v>53</v>
      </c>
      <c r="E587" s="18" t="s">
        <v>88</v>
      </c>
      <c r="F587" s="18" t="s">
        <v>93</v>
      </c>
      <c r="G587" s="18" t="s">
        <v>50</v>
      </c>
      <c r="H587" s="18" t="s">
        <v>87</v>
      </c>
      <c r="I587" s="18" t="s">
        <v>58</v>
      </c>
      <c r="J587" s="18" t="s">
        <v>91</v>
      </c>
      <c r="K587" s="18">
        <v>3</v>
      </c>
      <c r="L587" s="20">
        <v>9864.48</v>
      </c>
      <c r="M587" s="21">
        <v>0</v>
      </c>
      <c r="N587" s="21">
        <v>0.69171741350067895</v>
      </c>
      <c r="O587" s="20">
        <f t="shared" si="36"/>
        <v>29593.439999999999</v>
      </c>
      <c r="P587" s="20">
        <f t="shared" si="37"/>
        <v>20470.29777338753</v>
      </c>
      <c r="Q587" s="20">
        <f t="shared" si="38"/>
        <v>9123.1422266124682</v>
      </c>
      <c r="R587" s="22">
        <f t="shared" si="39"/>
        <v>0.30828258649932111</v>
      </c>
    </row>
    <row r="588" spans="1:18">
      <c r="A588" s="18">
        <v>1587</v>
      </c>
      <c r="B588" s="19" t="s">
        <v>279</v>
      </c>
      <c r="C588" s="18">
        <v>2024</v>
      </c>
      <c r="D588" s="18" t="s">
        <v>53</v>
      </c>
      <c r="E588" s="18" t="s">
        <v>88</v>
      </c>
      <c r="F588" s="18" t="s">
        <v>110</v>
      </c>
      <c r="G588" s="18" t="s">
        <v>41</v>
      </c>
      <c r="H588" s="18" t="s">
        <v>90</v>
      </c>
      <c r="I588" s="18" t="s">
        <v>58</v>
      </c>
      <c r="J588" s="18" t="s">
        <v>102</v>
      </c>
      <c r="K588" s="18">
        <v>2</v>
      </c>
      <c r="L588" s="20">
        <v>18427.439999999999</v>
      </c>
      <c r="M588" s="21">
        <v>0</v>
      </c>
      <c r="N588" s="21">
        <v>0.70991287025110095</v>
      </c>
      <c r="O588" s="20">
        <f t="shared" si="36"/>
        <v>36854.879999999997</v>
      </c>
      <c r="P588" s="20">
        <f t="shared" si="37"/>
        <v>26163.753643559892</v>
      </c>
      <c r="Q588" s="20">
        <f t="shared" si="38"/>
        <v>10691.126356440105</v>
      </c>
      <c r="R588" s="22">
        <f t="shared" si="39"/>
        <v>0.29008712974889911</v>
      </c>
    </row>
    <row r="589" spans="1:18">
      <c r="A589" s="18">
        <v>1588</v>
      </c>
      <c r="B589" s="19" t="s">
        <v>280</v>
      </c>
      <c r="C589" s="18">
        <v>2024</v>
      </c>
      <c r="D589" s="18" t="s">
        <v>53</v>
      </c>
      <c r="E589" s="18" t="s">
        <v>85</v>
      </c>
      <c r="F589" s="18" t="s">
        <v>86</v>
      </c>
      <c r="G589" s="18" t="s">
        <v>47</v>
      </c>
      <c r="H589" s="18" t="s">
        <v>107</v>
      </c>
      <c r="I589" s="18" t="s">
        <v>60</v>
      </c>
      <c r="J589" s="18" t="s">
        <v>102</v>
      </c>
      <c r="K589" s="18">
        <v>4</v>
      </c>
      <c r="L589" s="20">
        <v>2092.4899999999998</v>
      </c>
      <c r="M589" s="21">
        <v>0</v>
      </c>
      <c r="N589" s="21">
        <v>0.68800341230873296</v>
      </c>
      <c r="O589" s="20">
        <f t="shared" si="36"/>
        <v>8369.9599999999991</v>
      </c>
      <c r="P589" s="20">
        <f t="shared" si="37"/>
        <v>5758.5610408876018</v>
      </c>
      <c r="Q589" s="20">
        <f t="shared" si="38"/>
        <v>2611.3989591123973</v>
      </c>
      <c r="R589" s="22">
        <f t="shared" si="39"/>
        <v>0.31199658769126704</v>
      </c>
    </row>
    <row r="590" spans="1:18">
      <c r="A590" s="18">
        <v>1589</v>
      </c>
      <c r="B590" s="19" t="s">
        <v>280</v>
      </c>
      <c r="C590" s="18">
        <v>2024</v>
      </c>
      <c r="D590" s="18" t="s">
        <v>53</v>
      </c>
      <c r="E590" s="18" t="s">
        <v>98</v>
      </c>
      <c r="F590" s="18" t="s">
        <v>117</v>
      </c>
      <c r="G590" s="18" t="s">
        <v>47</v>
      </c>
      <c r="H590" s="18" t="s">
        <v>107</v>
      </c>
      <c r="I590" s="18" t="s">
        <v>60</v>
      </c>
      <c r="J590" s="18" t="s">
        <v>102</v>
      </c>
      <c r="K590" s="18">
        <v>6</v>
      </c>
      <c r="L590" s="20">
        <v>2258.75</v>
      </c>
      <c r="M590" s="21">
        <v>0</v>
      </c>
      <c r="N590" s="21">
        <v>0.68716715772939196</v>
      </c>
      <c r="O590" s="20">
        <f t="shared" si="36"/>
        <v>13552.5</v>
      </c>
      <c r="P590" s="20">
        <f t="shared" si="37"/>
        <v>9312.832905127585</v>
      </c>
      <c r="Q590" s="20">
        <f t="shared" si="38"/>
        <v>4239.667094872415</v>
      </c>
      <c r="R590" s="22">
        <f t="shared" si="39"/>
        <v>0.31283284227060798</v>
      </c>
    </row>
    <row r="591" spans="1:18">
      <c r="A591" s="18">
        <v>1590</v>
      </c>
      <c r="B591" s="19" t="s">
        <v>280</v>
      </c>
      <c r="C591" s="18">
        <v>2024</v>
      </c>
      <c r="D591" s="18" t="s">
        <v>53</v>
      </c>
      <c r="E591" s="18" t="s">
        <v>98</v>
      </c>
      <c r="F591" s="18" t="s">
        <v>109</v>
      </c>
      <c r="G591" s="18" t="s">
        <v>41</v>
      </c>
      <c r="H591" s="18" t="s">
        <v>101</v>
      </c>
      <c r="I591" s="18" t="s">
        <v>49</v>
      </c>
      <c r="J591" s="18" t="s">
        <v>91</v>
      </c>
      <c r="K591" s="18">
        <v>6</v>
      </c>
      <c r="L591" s="20">
        <v>57322.54</v>
      </c>
      <c r="M591" s="21">
        <v>0.1</v>
      </c>
      <c r="N591" s="21">
        <v>0.73323261063471501</v>
      </c>
      <c r="O591" s="20">
        <f t="shared" si="36"/>
        <v>309541.71600000001</v>
      </c>
      <c r="P591" s="20">
        <f t="shared" si="37"/>
        <v>226966.08052302955</v>
      </c>
      <c r="Q591" s="20">
        <f t="shared" si="38"/>
        <v>82575.635476970463</v>
      </c>
      <c r="R591" s="22">
        <f t="shared" si="39"/>
        <v>0.26676738936528499</v>
      </c>
    </row>
    <row r="592" spans="1:18">
      <c r="A592" s="18">
        <v>1591</v>
      </c>
      <c r="B592" s="19" t="s">
        <v>280</v>
      </c>
      <c r="C592" s="18">
        <v>2024</v>
      </c>
      <c r="D592" s="18" t="s">
        <v>53</v>
      </c>
      <c r="E592" s="18" t="s">
        <v>79</v>
      </c>
      <c r="F592" s="18" t="s">
        <v>80</v>
      </c>
      <c r="G592" s="18" t="s">
        <v>44</v>
      </c>
      <c r="H592" s="18" t="s">
        <v>114</v>
      </c>
      <c r="I592" s="18" t="s">
        <v>46</v>
      </c>
      <c r="J592" s="18" t="s">
        <v>102</v>
      </c>
      <c r="K592" s="18">
        <v>8</v>
      </c>
      <c r="L592" s="20">
        <v>9352.85</v>
      </c>
      <c r="M592" s="21">
        <v>0.15</v>
      </c>
      <c r="N592" s="21">
        <v>0.72918572028742701</v>
      </c>
      <c r="O592" s="20">
        <f t="shared" si="36"/>
        <v>63599.38</v>
      </c>
      <c r="P592" s="20">
        <f t="shared" si="37"/>
        <v>46375.759715133776</v>
      </c>
      <c r="Q592" s="20">
        <f t="shared" si="38"/>
        <v>17223.620284866221</v>
      </c>
      <c r="R592" s="22">
        <f t="shared" si="39"/>
        <v>0.27081427971257299</v>
      </c>
    </row>
    <row r="593" spans="1:18">
      <c r="A593" s="18">
        <v>1592</v>
      </c>
      <c r="B593" s="19" t="s">
        <v>280</v>
      </c>
      <c r="C593" s="18">
        <v>2024</v>
      </c>
      <c r="D593" s="18" t="s">
        <v>53</v>
      </c>
      <c r="E593" s="18" t="s">
        <v>85</v>
      </c>
      <c r="F593" s="18" t="s">
        <v>121</v>
      </c>
      <c r="G593" s="18" t="s">
        <v>41</v>
      </c>
      <c r="H593" s="18" t="s">
        <v>106</v>
      </c>
      <c r="I593" s="18" t="s">
        <v>62</v>
      </c>
      <c r="J593" s="18" t="s">
        <v>102</v>
      </c>
      <c r="K593" s="18">
        <v>11</v>
      </c>
      <c r="L593" s="20">
        <v>2453.88</v>
      </c>
      <c r="M593" s="21">
        <v>0.15</v>
      </c>
      <c r="N593" s="21">
        <v>0.55374368609229097</v>
      </c>
      <c r="O593" s="20">
        <f t="shared" si="36"/>
        <v>22943.777999999998</v>
      </c>
      <c r="P593" s="20">
        <f t="shared" si="37"/>
        <v>12704.97220260321</v>
      </c>
      <c r="Q593" s="20">
        <f t="shared" si="38"/>
        <v>10238.805797396788</v>
      </c>
      <c r="R593" s="22">
        <f t="shared" si="39"/>
        <v>0.44625631390770903</v>
      </c>
    </row>
    <row r="594" spans="1:18">
      <c r="A594" s="18">
        <v>1593</v>
      </c>
      <c r="B594" s="19" t="s">
        <v>281</v>
      </c>
      <c r="C594" s="18">
        <v>2024</v>
      </c>
      <c r="D594" s="18" t="s">
        <v>53</v>
      </c>
      <c r="E594" s="18" t="s">
        <v>98</v>
      </c>
      <c r="F594" s="18" t="s">
        <v>117</v>
      </c>
      <c r="G594" s="18" t="s">
        <v>44</v>
      </c>
      <c r="H594" s="18" t="s">
        <v>114</v>
      </c>
      <c r="I594" s="18" t="s">
        <v>40</v>
      </c>
      <c r="J594" s="18" t="s">
        <v>91</v>
      </c>
      <c r="K594" s="18">
        <v>7</v>
      </c>
      <c r="L594" s="20">
        <v>9113.86</v>
      </c>
      <c r="M594" s="21">
        <v>0</v>
      </c>
      <c r="N594" s="21">
        <v>0.66419632823122898</v>
      </c>
      <c r="O594" s="20">
        <f t="shared" si="36"/>
        <v>63797.020000000004</v>
      </c>
      <c r="P594" s="20">
        <f t="shared" si="37"/>
        <v>42373.746436094283</v>
      </c>
      <c r="Q594" s="20">
        <f t="shared" si="38"/>
        <v>21423.273563905721</v>
      </c>
      <c r="R594" s="22">
        <f t="shared" si="39"/>
        <v>0.33580367176877102</v>
      </c>
    </row>
    <row r="595" spans="1:18">
      <c r="A595" s="18">
        <v>1594</v>
      </c>
      <c r="B595" s="19" t="s">
        <v>281</v>
      </c>
      <c r="C595" s="18">
        <v>2024</v>
      </c>
      <c r="D595" s="18" t="s">
        <v>53</v>
      </c>
      <c r="E595" s="18" t="s">
        <v>85</v>
      </c>
      <c r="F595" s="18" t="s">
        <v>86</v>
      </c>
      <c r="G595" s="18" t="s">
        <v>41</v>
      </c>
      <c r="H595" s="18" t="s">
        <v>106</v>
      </c>
      <c r="I595" s="18" t="s">
        <v>54</v>
      </c>
      <c r="J595" s="18" t="s">
        <v>102</v>
      </c>
      <c r="K595" s="18">
        <v>1</v>
      </c>
      <c r="L595" s="20">
        <v>2442.87</v>
      </c>
      <c r="M595" s="21">
        <v>0</v>
      </c>
      <c r="N595" s="21">
        <v>0.64941088687933801</v>
      </c>
      <c r="O595" s="20">
        <f t="shared" si="36"/>
        <v>2442.87</v>
      </c>
      <c r="P595" s="20">
        <f t="shared" si="37"/>
        <v>1586.4263732309284</v>
      </c>
      <c r="Q595" s="20">
        <f t="shared" si="38"/>
        <v>856.44362676907144</v>
      </c>
      <c r="R595" s="22">
        <f t="shared" si="39"/>
        <v>0.35058911312066193</v>
      </c>
    </row>
    <row r="596" spans="1:18">
      <c r="A596" s="18">
        <v>1595</v>
      </c>
      <c r="B596" s="19" t="s">
        <v>281</v>
      </c>
      <c r="C596" s="18">
        <v>2024</v>
      </c>
      <c r="D596" s="18" t="s">
        <v>53</v>
      </c>
      <c r="E596" s="18" t="s">
        <v>88</v>
      </c>
      <c r="F596" s="18" t="s">
        <v>89</v>
      </c>
      <c r="G596" s="18" t="s">
        <v>50</v>
      </c>
      <c r="H596" s="18" t="s">
        <v>97</v>
      </c>
      <c r="I596" s="18" t="s">
        <v>49</v>
      </c>
      <c r="J596" s="18" t="s">
        <v>102</v>
      </c>
      <c r="K596" s="18">
        <v>5</v>
      </c>
      <c r="L596" s="20">
        <v>11610.02</v>
      </c>
      <c r="M596" s="21">
        <v>0.05</v>
      </c>
      <c r="N596" s="21">
        <v>0.70698879664748204</v>
      </c>
      <c r="O596" s="20">
        <f t="shared" si="36"/>
        <v>55147.595000000001</v>
      </c>
      <c r="P596" s="20">
        <f t="shared" si="37"/>
        <v>38988.731827052696</v>
      </c>
      <c r="Q596" s="20">
        <f t="shared" si="38"/>
        <v>16158.863172947305</v>
      </c>
      <c r="R596" s="22">
        <f t="shared" si="39"/>
        <v>0.29301120335251801</v>
      </c>
    </row>
    <row r="597" spans="1:18">
      <c r="A597" s="18">
        <v>1596</v>
      </c>
      <c r="B597" s="19" t="s">
        <v>281</v>
      </c>
      <c r="C597" s="18">
        <v>2024</v>
      </c>
      <c r="D597" s="18" t="s">
        <v>53</v>
      </c>
      <c r="E597" s="18" t="s">
        <v>88</v>
      </c>
      <c r="F597" s="18" t="s">
        <v>110</v>
      </c>
      <c r="G597" s="18" t="s">
        <v>50</v>
      </c>
      <c r="H597" s="18" t="s">
        <v>87</v>
      </c>
      <c r="I597" s="18" t="s">
        <v>40</v>
      </c>
      <c r="J597" s="18" t="s">
        <v>91</v>
      </c>
      <c r="K597" s="18">
        <v>9</v>
      </c>
      <c r="L597" s="20">
        <v>9171.3700000000008</v>
      </c>
      <c r="M597" s="21">
        <v>0.05</v>
      </c>
      <c r="N597" s="21">
        <v>0.73472735357801899</v>
      </c>
      <c r="O597" s="20">
        <f t="shared" si="36"/>
        <v>78415.213499999998</v>
      </c>
      <c r="P597" s="20">
        <f t="shared" si="37"/>
        <v>57613.802295110348</v>
      </c>
      <c r="Q597" s="20">
        <f t="shared" si="38"/>
        <v>20801.41120488965</v>
      </c>
      <c r="R597" s="22">
        <f t="shared" si="39"/>
        <v>0.26527264642198101</v>
      </c>
    </row>
    <row r="598" spans="1:18">
      <c r="A598" s="18">
        <v>1597</v>
      </c>
      <c r="B598" s="19" t="s">
        <v>282</v>
      </c>
      <c r="C598" s="18">
        <v>2024</v>
      </c>
      <c r="D598" s="18" t="s">
        <v>53</v>
      </c>
      <c r="E598" s="18" t="s">
        <v>98</v>
      </c>
      <c r="F598" s="18" t="s">
        <v>117</v>
      </c>
      <c r="G598" s="18" t="s">
        <v>41</v>
      </c>
      <c r="H598" s="18" t="s">
        <v>101</v>
      </c>
      <c r="I598" s="18" t="s">
        <v>49</v>
      </c>
      <c r="J598" s="18" t="s">
        <v>102</v>
      </c>
      <c r="K598" s="18">
        <v>1</v>
      </c>
      <c r="L598" s="20">
        <v>54776.53</v>
      </c>
      <c r="M598" s="21">
        <v>0.2</v>
      </c>
      <c r="N598" s="21">
        <v>0.72296204048744594</v>
      </c>
      <c r="O598" s="20">
        <f t="shared" si="36"/>
        <v>43821.224000000002</v>
      </c>
      <c r="P598" s="20">
        <f t="shared" si="37"/>
        <v>31681.08151969744</v>
      </c>
      <c r="Q598" s="20">
        <f t="shared" si="38"/>
        <v>12140.142480302562</v>
      </c>
      <c r="R598" s="22">
        <f t="shared" si="39"/>
        <v>0.27703795951255406</v>
      </c>
    </row>
    <row r="599" spans="1:18">
      <c r="A599" s="18">
        <v>1598</v>
      </c>
      <c r="B599" s="19" t="s">
        <v>282</v>
      </c>
      <c r="C599" s="18">
        <v>2024</v>
      </c>
      <c r="D599" s="18" t="s">
        <v>53</v>
      </c>
      <c r="E599" s="18" t="s">
        <v>79</v>
      </c>
      <c r="F599" s="18" t="s">
        <v>100</v>
      </c>
      <c r="G599" s="18" t="s">
        <v>47</v>
      </c>
      <c r="H599" s="18" t="s">
        <v>81</v>
      </c>
      <c r="I599" s="18" t="s">
        <v>62</v>
      </c>
      <c r="J599" s="18" t="s">
        <v>82</v>
      </c>
      <c r="K599" s="18">
        <v>6</v>
      </c>
      <c r="L599" s="20">
        <v>797.35</v>
      </c>
      <c r="M599" s="21">
        <v>0</v>
      </c>
      <c r="N599" s="21">
        <v>0.57062056589212695</v>
      </c>
      <c r="O599" s="20">
        <f t="shared" si="36"/>
        <v>4784.1000000000004</v>
      </c>
      <c r="P599" s="20">
        <f t="shared" si="37"/>
        <v>2729.9058492845247</v>
      </c>
      <c r="Q599" s="20">
        <f t="shared" si="38"/>
        <v>2054.1941507154756</v>
      </c>
      <c r="R599" s="22">
        <f t="shared" si="39"/>
        <v>0.42937943410787305</v>
      </c>
    </row>
    <row r="600" spans="1:18">
      <c r="A600" s="18">
        <v>1599</v>
      </c>
      <c r="B600" s="19" t="s">
        <v>282</v>
      </c>
      <c r="C600" s="18">
        <v>2024</v>
      </c>
      <c r="D600" s="18" t="s">
        <v>53</v>
      </c>
      <c r="E600" s="18" t="s">
        <v>98</v>
      </c>
      <c r="F600" s="18" t="s">
        <v>117</v>
      </c>
      <c r="G600" s="18" t="s">
        <v>47</v>
      </c>
      <c r="H600" s="18" t="s">
        <v>103</v>
      </c>
      <c r="I600" s="18" t="s">
        <v>49</v>
      </c>
      <c r="J600" s="18" t="s">
        <v>91</v>
      </c>
      <c r="K600" s="18">
        <v>4</v>
      </c>
      <c r="L600" s="20">
        <v>3101.61</v>
      </c>
      <c r="M600" s="21">
        <v>0.05</v>
      </c>
      <c r="N600" s="21">
        <v>0.65645516115300295</v>
      </c>
      <c r="O600" s="20">
        <f t="shared" si="36"/>
        <v>11786.118</v>
      </c>
      <c r="P600" s="20">
        <f t="shared" si="37"/>
        <v>7737.0579910583092</v>
      </c>
      <c r="Q600" s="20">
        <f t="shared" si="38"/>
        <v>4049.0600089416912</v>
      </c>
      <c r="R600" s="22">
        <f t="shared" si="39"/>
        <v>0.34354483884699705</v>
      </c>
    </row>
    <row r="601" spans="1:18">
      <c r="A601" s="18">
        <v>1600</v>
      </c>
      <c r="B601" s="19" t="s">
        <v>282</v>
      </c>
      <c r="C601" s="18">
        <v>2024</v>
      </c>
      <c r="D601" s="18" t="s">
        <v>53</v>
      </c>
      <c r="E601" s="18" t="s">
        <v>85</v>
      </c>
      <c r="F601" s="18" t="s">
        <v>94</v>
      </c>
      <c r="G601" s="18" t="s">
        <v>41</v>
      </c>
      <c r="H601" s="18" t="s">
        <v>106</v>
      </c>
      <c r="I601" s="18" t="s">
        <v>46</v>
      </c>
      <c r="J601" s="18" t="s">
        <v>82</v>
      </c>
      <c r="K601" s="18">
        <v>5</v>
      </c>
      <c r="L601" s="20">
        <v>2403.62</v>
      </c>
      <c r="M601" s="21">
        <v>0.15</v>
      </c>
      <c r="N601" s="21">
        <v>0.66192515271017105</v>
      </c>
      <c r="O601" s="20">
        <f t="shared" si="36"/>
        <v>10215.384999999998</v>
      </c>
      <c r="P601" s="20">
        <f t="shared" si="37"/>
        <v>6761.8202761181892</v>
      </c>
      <c r="Q601" s="20">
        <f t="shared" si="38"/>
        <v>3453.5647238818092</v>
      </c>
      <c r="R601" s="22">
        <f t="shared" si="39"/>
        <v>0.33807484728982901</v>
      </c>
    </row>
    <row r="602" spans="1:18">
      <c r="A602" s="18">
        <v>1601</v>
      </c>
      <c r="B602" s="19" t="s">
        <v>283</v>
      </c>
      <c r="C602" s="18">
        <v>2024</v>
      </c>
      <c r="D602" s="18" t="s">
        <v>53</v>
      </c>
      <c r="E602" s="18" t="s">
        <v>88</v>
      </c>
      <c r="F602" s="18" t="s">
        <v>93</v>
      </c>
      <c r="G602" s="18" t="s">
        <v>47</v>
      </c>
      <c r="H602" s="18" t="s">
        <v>103</v>
      </c>
      <c r="I602" s="18" t="s">
        <v>54</v>
      </c>
      <c r="J602" s="18" t="s">
        <v>91</v>
      </c>
      <c r="K602" s="18">
        <v>3</v>
      </c>
      <c r="L602" s="20">
        <v>3341.85</v>
      </c>
      <c r="M602" s="21">
        <v>0.05</v>
      </c>
      <c r="N602" s="21">
        <v>0.66481658852819403</v>
      </c>
      <c r="O602" s="20">
        <f t="shared" si="36"/>
        <v>9524.2724999999991</v>
      </c>
      <c r="P602" s="20">
        <f t="shared" si="37"/>
        <v>6331.8943516628933</v>
      </c>
      <c r="Q602" s="20">
        <f t="shared" si="38"/>
        <v>3192.3781483371058</v>
      </c>
      <c r="R602" s="22">
        <f t="shared" si="39"/>
        <v>0.33518341147180597</v>
      </c>
    </row>
    <row r="603" spans="1:18">
      <c r="A603" s="18">
        <v>1602</v>
      </c>
      <c r="B603" s="19" t="s">
        <v>283</v>
      </c>
      <c r="C603" s="18">
        <v>2024</v>
      </c>
      <c r="D603" s="18" t="s">
        <v>53</v>
      </c>
      <c r="E603" s="18" t="s">
        <v>88</v>
      </c>
      <c r="F603" s="18" t="s">
        <v>110</v>
      </c>
      <c r="G603" s="18" t="s">
        <v>47</v>
      </c>
      <c r="H603" s="18" t="s">
        <v>103</v>
      </c>
      <c r="I603" s="18" t="s">
        <v>54</v>
      </c>
      <c r="J603" s="18" t="s">
        <v>102</v>
      </c>
      <c r="K603" s="18">
        <v>8</v>
      </c>
      <c r="L603" s="20">
        <v>3056.23</v>
      </c>
      <c r="M603" s="21">
        <v>0</v>
      </c>
      <c r="N603" s="21">
        <v>0.64414711580171102</v>
      </c>
      <c r="O603" s="20">
        <f t="shared" si="36"/>
        <v>24449.84</v>
      </c>
      <c r="P603" s="20">
        <f t="shared" si="37"/>
        <v>15749.293917813306</v>
      </c>
      <c r="Q603" s="20">
        <f t="shared" si="38"/>
        <v>8700.5460821866945</v>
      </c>
      <c r="R603" s="22">
        <f t="shared" si="39"/>
        <v>0.35585288419828903</v>
      </c>
    </row>
    <row r="604" spans="1:18">
      <c r="A604" s="18">
        <v>1603</v>
      </c>
      <c r="B604" s="19" t="s">
        <v>284</v>
      </c>
      <c r="C604" s="18">
        <v>2024</v>
      </c>
      <c r="D604" s="18" t="s">
        <v>53</v>
      </c>
      <c r="E604" s="18" t="s">
        <v>79</v>
      </c>
      <c r="F604" s="18" t="s">
        <v>105</v>
      </c>
      <c r="G604" s="18" t="s">
        <v>41</v>
      </c>
      <c r="H604" s="18" t="s">
        <v>90</v>
      </c>
      <c r="I604" s="18" t="s">
        <v>56</v>
      </c>
      <c r="J604" s="18" t="s">
        <v>91</v>
      </c>
      <c r="K604" s="18">
        <v>3</v>
      </c>
      <c r="L604" s="20">
        <v>18368.419999999998</v>
      </c>
      <c r="M604" s="21">
        <v>0.15</v>
      </c>
      <c r="N604" s="21">
        <v>0.67589413797285303</v>
      </c>
      <c r="O604" s="20">
        <f t="shared" si="36"/>
        <v>46839.470999999998</v>
      </c>
      <c r="P604" s="20">
        <f t="shared" si="37"/>
        <v>31658.523874649447</v>
      </c>
      <c r="Q604" s="20">
        <f t="shared" si="38"/>
        <v>15180.947125350551</v>
      </c>
      <c r="R604" s="22">
        <f t="shared" si="39"/>
        <v>0.32410586202714697</v>
      </c>
    </row>
    <row r="605" spans="1:18">
      <c r="A605" s="18">
        <v>1604</v>
      </c>
      <c r="B605" s="19" t="s">
        <v>284</v>
      </c>
      <c r="C605" s="18">
        <v>2024</v>
      </c>
      <c r="D605" s="18" t="s">
        <v>53</v>
      </c>
      <c r="E605" s="18" t="s">
        <v>85</v>
      </c>
      <c r="F605" s="18" t="s">
        <v>94</v>
      </c>
      <c r="G605" s="18" t="s">
        <v>47</v>
      </c>
      <c r="H605" s="18" t="s">
        <v>107</v>
      </c>
      <c r="I605" s="18" t="s">
        <v>54</v>
      </c>
      <c r="J605" s="18" t="s">
        <v>82</v>
      </c>
      <c r="K605" s="18">
        <v>12</v>
      </c>
      <c r="L605" s="20">
        <v>2256.85</v>
      </c>
      <c r="M605" s="21">
        <v>0.15</v>
      </c>
      <c r="N605" s="21">
        <v>0.565709121486071</v>
      </c>
      <c r="O605" s="20">
        <f t="shared" si="36"/>
        <v>23019.869999999995</v>
      </c>
      <c r="P605" s="20">
        <f t="shared" si="37"/>
        <v>13022.550434423558</v>
      </c>
      <c r="Q605" s="20">
        <f t="shared" si="38"/>
        <v>9997.3195655764375</v>
      </c>
      <c r="R605" s="22">
        <f t="shared" si="39"/>
        <v>0.43429087851392906</v>
      </c>
    </row>
    <row r="606" spans="1:18">
      <c r="A606" s="18">
        <v>1605</v>
      </c>
      <c r="B606" s="19" t="s">
        <v>285</v>
      </c>
      <c r="C606" s="18">
        <v>2024</v>
      </c>
      <c r="D606" s="18" t="s">
        <v>53</v>
      </c>
      <c r="E606" s="18" t="s">
        <v>88</v>
      </c>
      <c r="F606" s="18" t="s">
        <v>110</v>
      </c>
      <c r="G606" s="18" t="s">
        <v>50</v>
      </c>
      <c r="H606" s="18" t="s">
        <v>83</v>
      </c>
      <c r="I606" s="18" t="s">
        <v>58</v>
      </c>
      <c r="J606" s="18" t="s">
        <v>91</v>
      </c>
      <c r="K606" s="18">
        <v>11</v>
      </c>
      <c r="L606" s="20">
        <v>3550.55</v>
      </c>
      <c r="M606" s="21">
        <v>0.1</v>
      </c>
      <c r="N606" s="21">
        <v>0.64410917495443598</v>
      </c>
      <c r="O606" s="20">
        <f t="shared" si="36"/>
        <v>35150.445000000007</v>
      </c>
      <c r="P606" s="20">
        <f t="shared" si="37"/>
        <v>22640.724128231283</v>
      </c>
      <c r="Q606" s="20">
        <f t="shared" si="38"/>
        <v>12509.720871768724</v>
      </c>
      <c r="R606" s="22">
        <f t="shared" si="39"/>
        <v>0.35589082504556407</v>
      </c>
    </row>
    <row r="607" spans="1:18">
      <c r="A607" s="18">
        <v>1606</v>
      </c>
      <c r="B607" s="19" t="s">
        <v>285</v>
      </c>
      <c r="C607" s="18">
        <v>2024</v>
      </c>
      <c r="D607" s="18" t="s">
        <v>53</v>
      </c>
      <c r="E607" s="18" t="s">
        <v>88</v>
      </c>
      <c r="F607" s="18" t="s">
        <v>110</v>
      </c>
      <c r="G607" s="18" t="s">
        <v>47</v>
      </c>
      <c r="H607" s="18" t="s">
        <v>107</v>
      </c>
      <c r="I607" s="18" t="s">
        <v>56</v>
      </c>
      <c r="J607" s="18" t="s">
        <v>82</v>
      </c>
      <c r="K607" s="18">
        <v>12</v>
      </c>
      <c r="L607" s="20">
        <v>2291.8000000000002</v>
      </c>
      <c r="M607" s="21">
        <v>0.05</v>
      </c>
      <c r="N607" s="21">
        <v>0.70775574126957597</v>
      </c>
      <c r="O607" s="20">
        <f t="shared" si="36"/>
        <v>26126.52</v>
      </c>
      <c r="P607" s="20">
        <f t="shared" si="37"/>
        <v>18491.194529394401</v>
      </c>
      <c r="Q607" s="20">
        <f t="shared" si="38"/>
        <v>7635.3254706055995</v>
      </c>
      <c r="R607" s="22">
        <f t="shared" si="39"/>
        <v>0.29224425873042409</v>
      </c>
    </row>
    <row r="608" spans="1:18">
      <c r="A608" s="18">
        <v>1607</v>
      </c>
      <c r="B608" s="19" t="s">
        <v>285</v>
      </c>
      <c r="C608" s="18">
        <v>2024</v>
      </c>
      <c r="D608" s="18" t="s">
        <v>53</v>
      </c>
      <c r="E608" s="18" t="s">
        <v>98</v>
      </c>
      <c r="F608" s="18" t="s">
        <v>109</v>
      </c>
      <c r="G608" s="18" t="s">
        <v>50</v>
      </c>
      <c r="H608" s="18" t="s">
        <v>83</v>
      </c>
      <c r="I608" s="18" t="s">
        <v>43</v>
      </c>
      <c r="J608" s="18" t="s">
        <v>91</v>
      </c>
      <c r="K608" s="18">
        <v>2</v>
      </c>
      <c r="L608" s="20">
        <v>3448</v>
      </c>
      <c r="M608" s="21">
        <v>0.1</v>
      </c>
      <c r="N608" s="21">
        <v>0.71915325249851003</v>
      </c>
      <c r="O608" s="20">
        <f t="shared" si="36"/>
        <v>6206.4000000000005</v>
      </c>
      <c r="P608" s="20">
        <f t="shared" si="37"/>
        <v>4463.352746306753</v>
      </c>
      <c r="Q608" s="20">
        <f t="shared" si="38"/>
        <v>1743.0472536932475</v>
      </c>
      <c r="R608" s="22">
        <f t="shared" si="39"/>
        <v>0.28084674750148997</v>
      </c>
    </row>
    <row r="609" spans="1:18">
      <c r="A609" s="18">
        <v>1608</v>
      </c>
      <c r="B609" s="19" t="s">
        <v>285</v>
      </c>
      <c r="C609" s="18">
        <v>2024</v>
      </c>
      <c r="D609" s="18" t="s">
        <v>53</v>
      </c>
      <c r="E609" s="18" t="s">
        <v>98</v>
      </c>
      <c r="F609" s="18" t="s">
        <v>109</v>
      </c>
      <c r="G609" s="18" t="s">
        <v>44</v>
      </c>
      <c r="H609" s="18" t="s">
        <v>95</v>
      </c>
      <c r="I609" s="18" t="s">
        <v>43</v>
      </c>
      <c r="J609" s="18" t="s">
        <v>91</v>
      </c>
      <c r="K609" s="18">
        <v>12</v>
      </c>
      <c r="L609" s="20">
        <v>4633.54</v>
      </c>
      <c r="M609" s="21">
        <v>0.05</v>
      </c>
      <c r="N609" s="21">
        <v>0.66122997201897404</v>
      </c>
      <c r="O609" s="20">
        <f t="shared" si="36"/>
        <v>52822.355999999992</v>
      </c>
      <c r="P609" s="20">
        <f t="shared" si="37"/>
        <v>34927.724979856284</v>
      </c>
      <c r="Q609" s="20">
        <f t="shared" si="38"/>
        <v>17894.631020143708</v>
      </c>
      <c r="R609" s="22">
        <f t="shared" si="39"/>
        <v>0.3387700279810259</v>
      </c>
    </row>
    <row r="610" spans="1:18">
      <c r="A610" s="18">
        <v>1609</v>
      </c>
      <c r="B610" s="19" t="s">
        <v>285</v>
      </c>
      <c r="C610" s="18">
        <v>2024</v>
      </c>
      <c r="D610" s="18" t="s">
        <v>53</v>
      </c>
      <c r="E610" s="18" t="s">
        <v>79</v>
      </c>
      <c r="F610" s="18" t="s">
        <v>105</v>
      </c>
      <c r="G610" s="18" t="s">
        <v>50</v>
      </c>
      <c r="H610" s="18" t="s">
        <v>97</v>
      </c>
      <c r="I610" s="18" t="s">
        <v>62</v>
      </c>
      <c r="J610" s="18" t="s">
        <v>91</v>
      </c>
      <c r="K610" s="18">
        <v>4</v>
      </c>
      <c r="L610" s="20">
        <v>12145.05</v>
      </c>
      <c r="M610" s="21">
        <v>0.15</v>
      </c>
      <c r="N610" s="21">
        <v>0.58180405791683798</v>
      </c>
      <c r="O610" s="20">
        <f t="shared" si="36"/>
        <v>41293.17</v>
      </c>
      <c r="P610" s="20">
        <f t="shared" si="37"/>
        <v>24024.533870249834</v>
      </c>
      <c r="Q610" s="20">
        <f t="shared" si="38"/>
        <v>17268.636129750164</v>
      </c>
      <c r="R610" s="22">
        <f t="shared" si="39"/>
        <v>0.41819594208316208</v>
      </c>
    </row>
    <row r="611" spans="1:18">
      <c r="A611" s="18">
        <v>1610</v>
      </c>
      <c r="B611" s="19" t="s">
        <v>286</v>
      </c>
      <c r="C611" s="18">
        <v>2024</v>
      </c>
      <c r="D611" s="18" t="s">
        <v>53</v>
      </c>
      <c r="E611" s="18" t="s">
        <v>85</v>
      </c>
      <c r="F611" s="18" t="s">
        <v>86</v>
      </c>
      <c r="G611" s="18" t="s">
        <v>47</v>
      </c>
      <c r="H611" s="18" t="s">
        <v>81</v>
      </c>
      <c r="I611" s="18" t="s">
        <v>62</v>
      </c>
      <c r="J611" s="18" t="s">
        <v>91</v>
      </c>
      <c r="K611" s="18">
        <v>7</v>
      </c>
      <c r="L611" s="20">
        <v>805.38</v>
      </c>
      <c r="M611" s="21">
        <v>0.05</v>
      </c>
      <c r="N611" s="21">
        <v>0.65890537603815402</v>
      </c>
      <c r="O611" s="20">
        <f t="shared" si="36"/>
        <v>5355.777</v>
      </c>
      <c r="P611" s="20">
        <f t="shared" si="37"/>
        <v>3528.9502581614965</v>
      </c>
      <c r="Q611" s="20">
        <f t="shared" si="38"/>
        <v>1826.8267418385035</v>
      </c>
      <c r="R611" s="22">
        <f t="shared" si="39"/>
        <v>0.34109462396184598</v>
      </c>
    </row>
    <row r="612" spans="1:18">
      <c r="A612" s="18">
        <v>1611</v>
      </c>
      <c r="B612" s="19" t="s">
        <v>286</v>
      </c>
      <c r="C612" s="18">
        <v>2024</v>
      </c>
      <c r="D612" s="18" t="s">
        <v>53</v>
      </c>
      <c r="E612" s="18" t="s">
        <v>88</v>
      </c>
      <c r="F612" s="18" t="s">
        <v>110</v>
      </c>
      <c r="G612" s="18" t="s">
        <v>41</v>
      </c>
      <c r="H612" s="18" t="s">
        <v>112</v>
      </c>
      <c r="I612" s="18" t="s">
        <v>43</v>
      </c>
      <c r="J612" s="18" t="s">
        <v>102</v>
      </c>
      <c r="K612" s="18">
        <v>10</v>
      </c>
      <c r="L612" s="20">
        <v>5977.75</v>
      </c>
      <c r="M612" s="21">
        <v>0.15</v>
      </c>
      <c r="N612" s="21">
        <v>0.56953078183833195</v>
      </c>
      <c r="O612" s="20">
        <f t="shared" si="36"/>
        <v>50810.875</v>
      </c>
      <c r="P612" s="20">
        <f t="shared" si="37"/>
        <v>28938.357364639756</v>
      </c>
      <c r="Q612" s="20">
        <f t="shared" si="38"/>
        <v>21872.517635360244</v>
      </c>
      <c r="R612" s="22">
        <f t="shared" si="39"/>
        <v>0.430469218161668</v>
      </c>
    </row>
    <row r="613" spans="1:18">
      <c r="A613" s="18">
        <v>1612</v>
      </c>
      <c r="B613" s="19" t="s">
        <v>286</v>
      </c>
      <c r="C613" s="18">
        <v>2024</v>
      </c>
      <c r="D613" s="18" t="s">
        <v>53</v>
      </c>
      <c r="E613" s="18" t="s">
        <v>85</v>
      </c>
      <c r="F613" s="18" t="s">
        <v>86</v>
      </c>
      <c r="G613" s="18" t="s">
        <v>47</v>
      </c>
      <c r="H613" s="18" t="s">
        <v>107</v>
      </c>
      <c r="I613" s="18" t="s">
        <v>43</v>
      </c>
      <c r="J613" s="18" t="s">
        <v>102</v>
      </c>
      <c r="K613" s="18">
        <v>2</v>
      </c>
      <c r="L613" s="20">
        <v>2240.81</v>
      </c>
      <c r="M613" s="21">
        <v>0.15</v>
      </c>
      <c r="N613" s="21">
        <v>0.70426867577413599</v>
      </c>
      <c r="O613" s="20">
        <f t="shared" si="36"/>
        <v>3809.377</v>
      </c>
      <c r="P613" s="20">
        <f t="shared" si="37"/>
        <v>2682.8248953144507</v>
      </c>
      <c r="Q613" s="20">
        <f t="shared" si="38"/>
        <v>1126.5521046855492</v>
      </c>
      <c r="R613" s="22">
        <f t="shared" si="39"/>
        <v>0.29573132422586401</v>
      </c>
    </row>
    <row r="614" spans="1:18">
      <c r="A614" s="18">
        <v>1613</v>
      </c>
      <c r="B614" s="19" t="s">
        <v>286</v>
      </c>
      <c r="C614" s="18">
        <v>2024</v>
      </c>
      <c r="D614" s="18" t="s">
        <v>53</v>
      </c>
      <c r="E614" s="18" t="s">
        <v>85</v>
      </c>
      <c r="F614" s="18" t="s">
        <v>121</v>
      </c>
      <c r="G614" s="18" t="s">
        <v>50</v>
      </c>
      <c r="H614" s="18" t="s">
        <v>87</v>
      </c>
      <c r="I614" s="18" t="s">
        <v>40</v>
      </c>
      <c r="J614" s="18" t="s">
        <v>82</v>
      </c>
      <c r="K614" s="18">
        <v>4</v>
      </c>
      <c r="L614" s="20">
        <v>9801.18</v>
      </c>
      <c r="M614" s="21">
        <v>0.15</v>
      </c>
      <c r="N614" s="21">
        <v>0.73065120094267799</v>
      </c>
      <c r="O614" s="20">
        <f t="shared" si="36"/>
        <v>33324.012000000002</v>
      </c>
      <c r="P614" s="20">
        <f t="shared" si="37"/>
        <v>24348.229388028216</v>
      </c>
      <c r="Q614" s="20">
        <f t="shared" si="38"/>
        <v>8975.7826119717865</v>
      </c>
      <c r="R614" s="22">
        <f t="shared" si="39"/>
        <v>0.26934879905732195</v>
      </c>
    </row>
    <row r="615" spans="1:18">
      <c r="A615" s="18">
        <v>1614</v>
      </c>
      <c r="B615" s="19" t="s">
        <v>286</v>
      </c>
      <c r="C615" s="18">
        <v>2024</v>
      </c>
      <c r="D615" s="18" t="s">
        <v>53</v>
      </c>
      <c r="E615" s="18" t="s">
        <v>79</v>
      </c>
      <c r="F615" s="18" t="s">
        <v>100</v>
      </c>
      <c r="G615" s="18" t="s">
        <v>44</v>
      </c>
      <c r="H615" s="18" t="s">
        <v>114</v>
      </c>
      <c r="I615" s="18" t="s">
        <v>60</v>
      </c>
      <c r="J615" s="18" t="s">
        <v>91</v>
      </c>
      <c r="K615" s="18">
        <v>7</v>
      </c>
      <c r="L615" s="20">
        <v>9104.01</v>
      </c>
      <c r="M615" s="21">
        <v>0.1</v>
      </c>
      <c r="N615" s="21">
        <v>0.58913332403549801</v>
      </c>
      <c r="O615" s="20">
        <f t="shared" si="36"/>
        <v>57355.262999999999</v>
      </c>
      <c r="P615" s="20">
        <f t="shared" si="37"/>
        <v>33789.896742120211</v>
      </c>
      <c r="Q615" s="20">
        <f t="shared" si="38"/>
        <v>23565.366257879788</v>
      </c>
      <c r="R615" s="22">
        <f t="shared" si="39"/>
        <v>0.41086667596450199</v>
      </c>
    </row>
    <row r="616" spans="1:18">
      <c r="A616" s="18">
        <v>1615</v>
      </c>
      <c r="B616" s="19" t="s">
        <v>287</v>
      </c>
      <c r="C616" s="18">
        <v>2024</v>
      </c>
      <c r="D616" s="18" t="s">
        <v>53</v>
      </c>
      <c r="E616" s="18" t="s">
        <v>98</v>
      </c>
      <c r="F616" s="18" t="s">
        <v>99</v>
      </c>
      <c r="G616" s="18" t="s">
        <v>47</v>
      </c>
      <c r="H616" s="18" t="s">
        <v>107</v>
      </c>
      <c r="I616" s="18" t="s">
        <v>54</v>
      </c>
      <c r="J616" s="18" t="s">
        <v>82</v>
      </c>
      <c r="K616" s="18">
        <v>10</v>
      </c>
      <c r="L616" s="20">
        <v>2091.79</v>
      </c>
      <c r="M616" s="21">
        <v>0.15</v>
      </c>
      <c r="N616" s="21">
        <v>0.63083948321288297</v>
      </c>
      <c r="O616" s="20">
        <f t="shared" si="36"/>
        <v>17780.215</v>
      </c>
      <c r="P616" s="20">
        <f t="shared" si="37"/>
        <v>11216.46164201395</v>
      </c>
      <c r="Q616" s="20">
        <f t="shared" si="38"/>
        <v>6563.7533579860501</v>
      </c>
      <c r="R616" s="22">
        <f t="shared" si="39"/>
        <v>0.36916051678711703</v>
      </c>
    </row>
    <row r="617" spans="1:18">
      <c r="A617" s="18">
        <v>1616</v>
      </c>
      <c r="B617" s="19" t="s">
        <v>287</v>
      </c>
      <c r="C617" s="18">
        <v>2024</v>
      </c>
      <c r="D617" s="18" t="s">
        <v>53</v>
      </c>
      <c r="E617" s="18" t="s">
        <v>88</v>
      </c>
      <c r="F617" s="18" t="s">
        <v>89</v>
      </c>
      <c r="G617" s="18" t="s">
        <v>41</v>
      </c>
      <c r="H617" s="18" t="s">
        <v>106</v>
      </c>
      <c r="I617" s="18" t="s">
        <v>60</v>
      </c>
      <c r="J617" s="18" t="s">
        <v>82</v>
      </c>
      <c r="K617" s="18">
        <v>1</v>
      </c>
      <c r="L617" s="20">
        <v>2550.84</v>
      </c>
      <c r="M617" s="21">
        <v>0.05</v>
      </c>
      <c r="N617" s="21">
        <v>0.571939663382244</v>
      </c>
      <c r="O617" s="20">
        <f t="shared" si="36"/>
        <v>2423.2980000000002</v>
      </c>
      <c r="P617" s="20">
        <f t="shared" si="37"/>
        <v>1385.9802423948652</v>
      </c>
      <c r="Q617" s="20">
        <f t="shared" si="38"/>
        <v>1037.3177576051351</v>
      </c>
      <c r="R617" s="22">
        <f t="shared" si="39"/>
        <v>0.42806033661775605</v>
      </c>
    </row>
    <row r="618" spans="1:18">
      <c r="A618" s="18">
        <v>1617</v>
      </c>
      <c r="B618" s="19" t="s">
        <v>287</v>
      </c>
      <c r="C618" s="18">
        <v>2024</v>
      </c>
      <c r="D618" s="18" t="s">
        <v>53</v>
      </c>
      <c r="E618" s="18" t="s">
        <v>98</v>
      </c>
      <c r="F618" s="18" t="s">
        <v>117</v>
      </c>
      <c r="G618" s="18" t="s">
        <v>44</v>
      </c>
      <c r="H618" s="18" t="s">
        <v>114</v>
      </c>
      <c r="I618" s="18" t="s">
        <v>62</v>
      </c>
      <c r="J618" s="18" t="s">
        <v>91</v>
      </c>
      <c r="K618" s="18">
        <v>11</v>
      </c>
      <c r="L618" s="20">
        <v>8836.31</v>
      </c>
      <c r="M618" s="21">
        <v>0.1</v>
      </c>
      <c r="N618" s="21">
        <v>0.63120653090114198</v>
      </c>
      <c r="O618" s="20">
        <f t="shared" si="36"/>
        <v>87479.468999999997</v>
      </c>
      <c r="P618" s="20">
        <f t="shared" si="37"/>
        <v>55217.61215256399</v>
      </c>
      <c r="Q618" s="20">
        <f t="shared" si="38"/>
        <v>32261.856847436007</v>
      </c>
      <c r="R618" s="22">
        <f t="shared" si="39"/>
        <v>0.36879346909885802</v>
      </c>
    </row>
    <row r="619" spans="1:18">
      <c r="A619" s="18">
        <v>1618</v>
      </c>
      <c r="B619" s="19" t="s">
        <v>287</v>
      </c>
      <c r="C619" s="18">
        <v>2024</v>
      </c>
      <c r="D619" s="18" t="s">
        <v>53</v>
      </c>
      <c r="E619" s="18" t="s">
        <v>85</v>
      </c>
      <c r="F619" s="18" t="s">
        <v>94</v>
      </c>
      <c r="G619" s="18" t="s">
        <v>44</v>
      </c>
      <c r="H619" s="18" t="s">
        <v>95</v>
      </c>
      <c r="I619" s="18" t="s">
        <v>46</v>
      </c>
      <c r="J619" s="18" t="s">
        <v>91</v>
      </c>
      <c r="K619" s="18">
        <v>3</v>
      </c>
      <c r="L619" s="20">
        <v>4359.7</v>
      </c>
      <c r="M619" s="21">
        <v>0.1</v>
      </c>
      <c r="N619" s="21">
        <v>0.71866553414535805</v>
      </c>
      <c r="O619" s="20">
        <f t="shared" si="36"/>
        <v>11771.189999999999</v>
      </c>
      <c r="P619" s="20">
        <f t="shared" si="37"/>
        <v>8459.5485488764971</v>
      </c>
      <c r="Q619" s="20">
        <f t="shared" si="38"/>
        <v>3311.6414511235016</v>
      </c>
      <c r="R619" s="22">
        <f t="shared" si="39"/>
        <v>0.28133446585464189</v>
      </c>
    </row>
    <row r="620" spans="1:18">
      <c r="A620" s="18">
        <v>1619</v>
      </c>
      <c r="B620" s="19" t="s">
        <v>288</v>
      </c>
      <c r="C620" s="18">
        <v>2024</v>
      </c>
      <c r="D620" s="18" t="s">
        <v>53</v>
      </c>
      <c r="E620" s="18" t="s">
        <v>85</v>
      </c>
      <c r="F620" s="18" t="s">
        <v>86</v>
      </c>
      <c r="G620" s="18" t="s">
        <v>47</v>
      </c>
      <c r="H620" s="18" t="s">
        <v>103</v>
      </c>
      <c r="I620" s="18" t="s">
        <v>46</v>
      </c>
      <c r="J620" s="18" t="s">
        <v>82</v>
      </c>
      <c r="K620" s="18">
        <v>1</v>
      </c>
      <c r="L620" s="20">
        <v>3062.96</v>
      </c>
      <c r="M620" s="21">
        <v>0</v>
      </c>
      <c r="N620" s="21">
        <v>0.57879917729100505</v>
      </c>
      <c r="O620" s="20">
        <f t="shared" si="36"/>
        <v>3062.96</v>
      </c>
      <c r="P620" s="20">
        <f t="shared" si="37"/>
        <v>1772.8387280752568</v>
      </c>
      <c r="Q620" s="20">
        <f t="shared" si="38"/>
        <v>1290.1212719247433</v>
      </c>
      <c r="R620" s="22">
        <f t="shared" si="39"/>
        <v>0.421200822708995</v>
      </c>
    </row>
    <row r="621" spans="1:18">
      <c r="A621" s="18">
        <v>1620</v>
      </c>
      <c r="B621" s="19" t="s">
        <v>288</v>
      </c>
      <c r="C621" s="18">
        <v>2024</v>
      </c>
      <c r="D621" s="18" t="s">
        <v>53</v>
      </c>
      <c r="E621" s="18" t="s">
        <v>85</v>
      </c>
      <c r="F621" s="18" t="s">
        <v>94</v>
      </c>
      <c r="G621" s="18" t="s">
        <v>50</v>
      </c>
      <c r="H621" s="18" t="s">
        <v>83</v>
      </c>
      <c r="I621" s="18" t="s">
        <v>43</v>
      </c>
      <c r="J621" s="18" t="s">
        <v>82</v>
      </c>
      <c r="K621" s="18">
        <v>11</v>
      </c>
      <c r="L621" s="20">
        <v>3607.08</v>
      </c>
      <c r="M621" s="21">
        <v>0.1</v>
      </c>
      <c r="N621" s="21">
        <v>0.72871649382848802</v>
      </c>
      <c r="O621" s="20">
        <f t="shared" si="36"/>
        <v>35710.091999999997</v>
      </c>
      <c r="P621" s="20">
        <f t="shared" si="37"/>
        <v>26022.533036532735</v>
      </c>
      <c r="Q621" s="20">
        <f t="shared" si="38"/>
        <v>9687.5589634672615</v>
      </c>
      <c r="R621" s="22">
        <f t="shared" si="39"/>
        <v>0.27128350617151203</v>
      </c>
    </row>
    <row r="622" spans="1:18">
      <c r="A622" s="18">
        <v>1621</v>
      </c>
      <c r="B622" s="19" t="s">
        <v>288</v>
      </c>
      <c r="C622" s="18">
        <v>2024</v>
      </c>
      <c r="D622" s="18" t="s">
        <v>53</v>
      </c>
      <c r="E622" s="18" t="s">
        <v>85</v>
      </c>
      <c r="F622" s="18" t="s">
        <v>94</v>
      </c>
      <c r="G622" s="18" t="s">
        <v>44</v>
      </c>
      <c r="H622" s="18" t="s">
        <v>114</v>
      </c>
      <c r="I622" s="18" t="s">
        <v>60</v>
      </c>
      <c r="J622" s="18" t="s">
        <v>91</v>
      </c>
      <c r="K622" s="18">
        <v>9</v>
      </c>
      <c r="L622" s="20">
        <v>9288.06</v>
      </c>
      <c r="M622" s="21">
        <v>0.1</v>
      </c>
      <c r="N622" s="21">
        <v>0.62106144610902803</v>
      </c>
      <c r="O622" s="20">
        <f t="shared" si="36"/>
        <v>75233.285999999993</v>
      </c>
      <c r="P622" s="20">
        <f t="shared" si="37"/>
        <v>46724.493398694089</v>
      </c>
      <c r="Q622" s="20">
        <f t="shared" si="38"/>
        <v>28508.792601305904</v>
      </c>
      <c r="R622" s="22">
        <f t="shared" si="39"/>
        <v>0.37893855389097197</v>
      </c>
    </row>
    <row r="623" spans="1:18">
      <c r="A623" s="18">
        <v>1622</v>
      </c>
      <c r="B623" s="19" t="s">
        <v>288</v>
      </c>
      <c r="C623" s="18">
        <v>2024</v>
      </c>
      <c r="D623" s="18" t="s">
        <v>53</v>
      </c>
      <c r="E623" s="18" t="s">
        <v>88</v>
      </c>
      <c r="F623" s="18" t="s">
        <v>89</v>
      </c>
      <c r="G623" s="18" t="s">
        <v>41</v>
      </c>
      <c r="H623" s="18" t="s">
        <v>112</v>
      </c>
      <c r="I623" s="18" t="s">
        <v>49</v>
      </c>
      <c r="J623" s="18" t="s">
        <v>102</v>
      </c>
      <c r="K623" s="18">
        <v>9</v>
      </c>
      <c r="L623" s="20">
        <v>5861.55</v>
      </c>
      <c r="M623" s="21">
        <v>0.15</v>
      </c>
      <c r="N623" s="21">
        <v>0.665270470629588</v>
      </c>
      <c r="O623" s="20">
        <f t="shared" si="36"/>
        <v>44840.857500000006</v>
      </c>
      <c r="P623" s="20">
        <f t="shared" si="37"/>
        <v>29831.298372459296</v>
      </c>
      <c r="Q623" s="20">
        <f t="shared" si="38"/>
        <v>15009.55912754071</v>
      </c>
      <c r="R623" s="22">
        <f t="shared" si="39"/>
        <v>0.33472952937041195</v>
      </c>
    </row>
    <row r="624" spans="1:18">
      <c r="A624" s="18">
        <v>1623</v>
      </c>
      <c r="B624" s="19" t="s">
        <v>289</v>
      </c>
      <c r="C624" s="18">
        <v>2024</v>
      </c>
      <c r="D624" s="18" t="s">
        <v>53</v>
      </c>
      <c r="E624" s="18" t="s">
        <v>79</v>
      </c>
      <c r="F624" s="18" t="s">
        <v>80</v>
      </c>
      <c r="G624" s="18" t="s">
        <v>50</v>
      </c>
      <c r="H624" s="18" t="s">
        <v>87</v>
      </c>
      <c r="I624" s="18" t="s">
        <v>54</v>
      </c>
      <c r="J624" s="18" t="s">
        <v>82</v>
      </c>
      <c r="K624" s="18">
        <v>10</v>
      </c>
      <c r="L624" s="20">
        <v>9482.4599999999991</v>
      </c>
      <c r="M624" s="21">
        <v>0.2</v>
      </c>
      <c r="N624" s="21">
        <v>0.56601262113762996</v>
      </c>
      <c r="O624" s="20">
        <f t="shared" si="36"/>
        <v>75859.679999999993</v>
      </c>
      <c r="P624" s="20">
        <f t="shared" si="37"/>
        <v>42937.536315461839</v>
      </c>
      <c r="Q624" s="20">
        <f t="shared" si="38"/>
        <v>32922.143684538154</v>
      </c>
      <c r="R624" s="22">
        <f t="shared" si="39"/>
        <v>0.43398737886237004</v>
      </c>
    </row>
    <row r="625" spans="1:18">
      <c r="A625" s="18">
        <v>1624</v>
      </c>
      <c r="B625" s="19" t="s">
        <v>289</v>
      </c>
      <c r="C625" s="18">
        <v>2024</v>
      </c>
      <c r="D625" s="18" t="s">
        <v>53</v>
      </c>
      <c r="E625" s="18" t="s">
        <v>98</v>
      </c>
      <c r="F625" s="18" t="s">
        <v>109</v>
      </c>
      <c r="G625" s="18" t="s">
        <v>41</v>
      </c>
      <c r="H625" s="18" t="s">
        <v>90</v>
      </c>
      <c r="I625" s="18" t="s">
        <v>49</v>
      </c>
      <c r="J625" s="18" t="s">
        <v>91</v>
      </c>
      <c r="K625" s="18">
        <v>11</v>
      </c>
      <c r="L625" s="20">
        <v>18435.03</v>
      </c>
      <c r="M625" s="21">
        <v>0.2</v>
      </c>
      <c r="N625" s="21">
        <v>0.56561638367783096</v>
      </c>
      <c r="O625" s="20">
        <f t="shared" si="36"/>
        <v>162228.264</v>
      </c>
      <c r="P625" s="20">
        <f t="shared" si="37"/>
        <v>91758.964014012454</v>
      </c>
      <c r="Q625" s="20">
        <f t="shared" si="38"/>
        <v>70469.299985987542</v>
      </c>
      <c r="R625" s="22">
        <f t="shared" si="39"/>
        <v>0.43438361632216899</v>
      </c>
    </row>
    <row r="626" spans="1:18">
      <c r="A626" s="18">
        <v>1625</v>
      </c>
      <c r="B626" s="19" t="s">
        <v>290</v>
      </c>
      <c r="C626" s="18">
        <v>2024</v>
      </c>
      <c r="D626" s="18" t="s">
        <v>53</v>
      </c>
      <c r="E626" s="18" t="s">
        <v>79</v>
      </c>
      <c r="F626" s="18" t="s">
        <v>105</v>
      </c>
      <c r="G626" s="18" t="s">
        <v>41</v>
      </c>
      <c r="H626" s="18" t="s">
        <v>112</v>
      </c>
      <c r="I626" s="18" t="s">
        <v>58</v>
      </c>
      <c r="J626" s="18" t="s">
        <v>102</v>
      </c>
      <c r="K626" s="18">
        <v>8</v>
      </c>
      <c r="L626" s="20">
        <v>6044.38</v>
      </c>
      <c r="M626" s="21">
        <v>0.05</v>
      </c>
      <c r="N626" s="21">
        <v>0.63420322142975705</v>
      </c>
      <c r="O626" s="20">
        <f t="shared" si="36"/>
        <v>45937.288</v>
      </c>
      <c r="P626" s="20">
        <f t="shared" si="37"/>
        <v>29133.576033346522</v>
      </c>
      <c r="Q626" s="20">
        <f t="shared" si="38"/>
        <v>16803.711966653478</v>
      </c>
      <c r="R626" s="22">
        <f t="shared" si="39"/>
        <v>0.36579677857024295</v>
      </c>
    </row>
    <row r="627" spans="1:18">
      <c r="A627" s="18">
        <v>1626</v>
      </c>
      <c r="B627" s="19" t="s">
        <v>290</v>
      </c>
      <c r="C627" s="18">
        <v>2024</v>
      </c>
      <c r="D627" s="18" t="s">
        <v>53</v>
      </c>
      <c r="E627" s="18" t="s">
        <v>98</v>
      </c>
      <c r="F627" s="18" t="s">
        <v>109</v>
      </c>
      <c r="G627" s="18" t="s">
        <v>44</v>
      </c>
      <c r="H627" s="18" t="s">
        <v>119</v>
      </c>
      <c r="I627" s="18" t="s">
        <v>62</v>
      </c>
      <c r="J627" s="18" t="s">
        <v>102</v>
      </c>
      <c r="K627" s="18">
        <v>5</v>
      </c>
      <c r="L627" s="20">
        <v>7158.88</v>
      </c>
      <c r="M627" s="21">
        <v>0.15</v>
      </c>
      <c r="N627" s="21">
        <v>0.60208862731071999</v>
      </c>
      <c r="O627" s="20">
        <f t="shared" si="36"/>
        <v>30425.24</v>
      </c>
      <c r="P627" s="20">
        <f t="shared" si="37"/>
        <v>18318.69098719921</v>
      </c>
      <c r="Q627" s="20">
        <f t="shared" si="38"/>
        <v>12106.549012800791</v>
      </c>
      <c r="R627" s="22">
        <f t="shared" si="39"/>
        <v>0.39791137268928006</v>
      </c>
    </row>
    <row r="628" spans="1:18">
      <c r="A628" s="18">
        <v>1627</v>
      </c>
      <c r="B628" s="19" t="s">
        <v>290</v>
      </c>
      <c r="C628" s="18">
        <v>2024</v>
      </c>
      <c r="D628" s="18" t="s">
        <v>53</v>
      </c>
      <c r="E628" s="18" t="s">
        <v>85</v>
      </c>
      <c r="F628" s="18" t="s">
        <v>94</v>
      </c>
      <c r="G628" s="18" t="s">
        <v>44</v>
      </c>
      <c r="H628" s="18" t="s">
        <v>95</v>
      </c>
      <c r="I628" s="18" t="s">
        <v>40</v>
      </c>
      <c r="J628" s="18" t="s">
        <v>102</v>
      </c>
      <c r="K628" s="18">
        <v>5</v>
      </c>
      <c r="L628" s="20">
        <v>4639</v>
      </c>
      <c r="M628" s="21">
        <v>0.15</v>
      </c>
      <c r="N628" s="21">
        <v>0.55545961750569295</v>
      </c>
      <c r="O628" s="20">
        <f t="shared" si="36"/>
        <v>19715.75</v>
      </c>
      <c r="P628" s="20">
        <f t="shared" si="37"/>
        <v>10951.302953837865</v>
      </c>
      <c r="Q628" s="20">
        <f t="shared" si="38"/>
        <v>8764.4470461621349</v>
      </c>
      <c r="R628" s="22">
        <f t="shared" si="39"/>
        <v>0.44454038249430711</v>
      </c>
    </row>
    <row r="629" spans="1:18">
      <c r="A629" s="18">
        <v>1628</v>
      </c>
      <c r="B629" s="19" t="s">
        <v>290</v>
      </c>
      <c r="C629" s="18">
        <v>2024</v>
      </c>
      <c r="D629" s="18" t="s">
        <v>53</v>
      </c>
      <c r="E629" s="18" t="s">
        <v>85</v>
      </c>
      <c r="F629" s="18" t="s">
        <v>86</v>
      </c>
      <c r="G629" s="18" t="s">
        <v>44</v>
      </c>
      <c r="H629" s="18" t="s">
        <v>95</v>
      </c>
      <c r="I629" s="18" t="s">
        <v>43</v>
      </c>
      <c r="J629" s="18" t="s">
        <v>91</v>
      </c>
      <c r="K629" s="18">
        <v>5</v>
      </c>
      <c r="L629" s="20">
        <v>4334.6400000000003</v>
      </c>
      <c r="M629" s="21">
        <v>0.05</v>
      </c>
      <c r="N629" s="21">
        <v>0.60504342296400404</v>
      </c>
      <c r="O629" s="20">
        <f t="shared" si="36"/>
        <v>20589.54</v>
      </c>
      <c r="P629" s="20">
        <f t="shared" si="37"/>
        <v>12457.56575885428</v>
      </c>
      <c r="Q629" s="20">
        <f t="shared" si="38"/>
        <v>8131.974241145721</v>
      </c>
      <c r="R629" s="22">
        <f t="shared" si="39"/>
        <v>0.39495657703599596</v>
      </c>
    </row>
    <row r="630" spans="1:18">
      <c r="A630" s="18">
        <v>1629</v>
      </c>
      <c r="B630" s="19" t="s">
        <v>291</v>
      </c>
      <c r="C630" s="18">
        <v>2024</v>
      </c>
      <c r="D630" s="18" t="s">
        <v>53</v>
      </c>
      <c r="E630" s="18" t="s">
        <v>79</v>
      </c>
      <c r="F630" s="18" t="s">
        <v>80</v>
      </c>
      <c r="G630" s="18" t="s">
        <v>41</v>
      </c>
      <c r="H630" s="18" t="s">
        <v>101</v>
      </c>
      <c r="I630" s="18" t="s">
        <v>62</v>
      </c>
      <c r="J630" s="18" t="s">
        <v>102</v>
      </c>
      <c r="K630" s="18">
        <v>3</v>
      </c>
      <c r="L630" s="20">
        <v>55875.360000000001</v>
      </c>
      <c r="M630" s="21">
        <v>0.05</v>
      </c>
      <c r="N630" s="21">
        <v>0.71156813826471499</v>
      </c>
      <c r="O630" s="20">
        <f t="shared" si="36"/>
        <v>159244.77600000001</v>
      </c>
      <c r="P630" s="20">
        <f t="shared" si="37"/>
        <v>113313.50878670158</v>
      </c>
      <c r="Q630" s="20">
        <f t="shared" si="38"/>
        <v>45931.26721329843</v>
      </c>
      <c r="R630" s="22">
        <f t="shared" si="39"/>
        <v>0.28843186173528496</v>
      </c>
    </row>
    <row r="631" spans="1:18">
      <c r="A631" s="18">
        <v>1630</v>
      </c>
      <c r="B631" s="19" t="s">
        <v>291</v>
      </c>
      <c r="C631" s="18">
        <v>2024</v>
      </c>
      <c r="D631" s="18" t="s">
        <v>53</v>
      </c>
      <c r="E631" s="18" t="s">
        <v>98</v>
      </c>
      <c r="F631" s="18" t="s">
        <v>99</v>
      </c>
      <c r="G631" s="18" t="s">
        <v>44</v>
      </c>
      <c r="H631" s="18" t="s">
        <v>114</v>
      </c>
      <c r="I631" s="18" t="s">
        <v>46</v>
      </c>
      <c r="J631" s="18" t="s">
        <v>102</v>
      </c>
      <c r="K631" s="18">
        <v>1</v>
      </c>
      <c r="L631" s="20">
        <v>8858.56</v>
      </c>
      <c r="M631" s="21">
        <v>0</v>
      </c>
      <c r="N631" s="21">
        <v>0.74346912673871302</v>
      </c>
      <c r="O631" s="20">
        <f t="shared" si="36"/>
        <v>8858.56</v>
      </c>
      <c r="P631" s="20">
        <f t="shared" si="37"/>
        <v>6586.065867362493</v>
      </c>
      <c r="Q631" s="20">
        <f t="shared" si="38"/>
        <v>2272.4941326375065</v>
      </c>
      <c r="R631" s="22">
        <f t="shared" si="39"/>
        <v>0.25653087326128698</v>
      </c>
    </row>
    <row r="632" spans="1:18">
      <c r="A632" s="18">
        <v>1631</v>
      </c>
      <c r="B632" s="19" t="s">
        <v>291</v>
      </c>
      <c r="C632" s="18">
        <v>2024</v>
      </c>
      <c r="D632" s="18" t="s">
        <v>53</v>
      </c>
      <c r="E632" s="18" t="s">
        <v>88</v>
      </c>
      <c r="F632" s="18" t="s">
        <v>89</v>
      </c>
      <c r="G632" s="18" t="s">
        <v>50</v>
      </c>
      <c r="H632" s="18" t="s">
        <v>97</v>
      </c>
      <c r="I632" s="18" t="s">
        <v>49</v>
      </c>
      <c r="J632" s="18" t="s">
        <v>102</v>
      </c>
      <c r="K632" s="18">
        <v>8</v>
      </c>
      <c r="L632" s="20">
        <v>12271.2</v>
      </c>
      <c r="M632" s="21">
        <v>0</v>
      </c>
      <c r="N632" s="21">
        <v>0.59217134949230799</v>
      </c>
      <c r="O632" s="20">
        <f t="shared" si="36"/>
        <v>98169.600000000006</v>
      </c>
      <c r="P632" s="20">
        <f t="shared" si="37"/>
        <v>58133.224511120083</v>
      </c>
      <c r="Q632" s="20">
        <f t="shared" si="38"/>
        <v>40036.375488879923</v>
      </c>
      <c r="R632" s="22">
        <f t="shared" si="39"/>
        <v>0.40782865050769201</v>
      </c>
    </row>
    <row r="633" spans="1:18">
      <c r="A633" s="18">
        <v>1632</v>
      </c>
      <c r="B633" s="19" t="s">
        <v>291</v>
      </c>
      <c r="C633" s="18">
        <v>2024</v>
      </c>
      <c r="D633" s="18" t="s">
        <v>53</v>
      </c>
      <c r="E633" s="18" t="s">
        <v>98</v>
      </c>
      <c r="F633" s="18" t="s">
        <v>117</v>
      </c>
      <c r="G633" s="18" t="s">
        <v>47</v>
      </c>
      <c r="H633" s="18" t="s">
        <v>81</v>
      </c>
      <c r="I633" s="18" t="s">
        <v>40</v>
      </c>
      <c r="J633" s="18" t="s">
        <v>82</v>
      </c>
      <c r="K633" s="18">
        <v>8</v>
      </c>
      <c r="L633" s="20">
        <v>791.9</v>
      </c>
      <c r="M633" s="21">
        <v>0.05</v>
      </c>
      <c r="N633" s="21">
        <v>0.64525324813448004</v>
      </c>
      <c r="O633" s="20">
        <f t="shared" si="36"/>
        <v>6018.44</v>
      </c>
      <c r="P633" s="20">
        <f t="shared" si="37"/>
        <v>3883.4179587024796</v>
      </c>
      <c r="Q633" s="20">
        <f t="shared" si="38"/>
        <v>2135.02204129752</v>
      </c>
      <c r="R633" s="22">
        <f t="shared" si="39"/>
        <v>0.35474675186552002</v>
      </c>
    </row>
    <row r="634" spans="1:18">
      <c r="A634" s="18">
        <v>1633</v>
      </c>
      <c r="B634" s="19" t="s">
        <v>292</v>
      </c>
      <c r="C634" s="18">
        <v>2024</v>
      </c>
      <c r="D634" s="18" t="s">
        <v>55</v>
      </c>
      <c r="E634" s="18" t="s">
        <v>85</v>
      </c>
      <c r="F634" s="18" t="s">
        <v>94</v>
      </c>
      <c r="G634" s="18" t="s">
        <v>50</v>
      </c>
      <c r="H634" s="18" t="s">
        <v>97</v>
      </c>
      <c r="I634" s="18" t="s">
        <v>52</v>
      </c>
      <c r="J634" s="18" t="s">
        <v>82</v>
      </c>
      <c r="K634" s="18">
        <v>9</v>
      </c>
      <c r="L634" s="20">
        <v>12444.33</v>
      </c>
      <c r="M634" s="21">
        <v>0</v>
      </c>
      <c r="N634" s="21">
        <v>0.60775844443920601</v>
      </c>
      <c r="O634" s="20">
        <f t="shared" si="36"/>
        <v>111998.97</v>
      </c>
      <c r="P634" s="20">
        <f t="shared" si="37"/>
        <v>68068.319785993299</v>
      </c>
      <c r="Q634" s="20">
        <f t="shared" si="38"/>
        <v>43930.650214006702</v>
      </c>
      <c r="R634" s="22">
        <f t="shared" si="39"/>
        <v>0.39224155556079399</v>
      </c>
    </row>
    <row r="635" spans="1:18">
      <c r="A635" s="18">
        <v>1634</v>
      </c>
      <c r="B635" s="19" t="s">
        <v>292</v>
      </c>
      <c r="C635" s="18">
        <v>2024</v>
      </c>
      <c r="D635" s="18" t="s">
        <v>55</v>
      </c>
      <c r="E635" s="18" t="s">
        <v>85</v>
      </c>
      <c r="F635" s="18" t="s">
        <v>121</v>
      </c>
      <c r="G635" s="18" t="s">
        <v>47</v>
      </c>
      <c r="H635" s="18" t="s">
        <v>103</v>
      </c>
      <c r="I635" s="18" t="s">
        <v>40</v>
      </c>
      <c r="J635" s="18" t="s">
        <v>82</v>
      </c>
      <c r="K635" s="18">
        <v>9</v>
      </c>
      <c r="L635" s="20">
        <v>3243.98</v>
      </c>
      <c r="M635" s="21">
        <v>0.1</v>
      </c>
      <c r="N635" s="21">
        <v>0.67209711360639601</v>
      </c>
      <c r="O635" s="20">
        <f t="shared" si="36"/>
        <v>26276.238000000001</v>
      </c>
      <c r="P635" s="20">
        <f t="shared" si="37"/>
        <v>17660.1837162347</v>
      </c>
      <c r="Q635" s="20">
        <f t="shared" si="38"/>
        <v>8616.0542837653011</v>
      </c>
      <c r="R635" s="22">
        <f t="shared" si="39"/>
        <v>0.32790288639360399</v>
      </c>
    </row>
    <row r="636" spans="1:18">
      <c r="A636" s="18">
        <v>1635</v>
      </c>
      <c r="B636" s="19" t="s">
        <v>292</v>
      </c>
      <c r="C636" s="18">
        <v>2024</v>
      </c>
      <c r="D636" s="18" t="s">
        <v>55</v>
      </c>
      <c r="E636" s="18" t="s">
        <v>98</v>
      </c>
      <c r="F636" s="18" t="s">
        <v>109</v>
      </c>
      <c r="G636" s="18" t="s">
        <v>47</v>
      </c>
      <c r="H636" s="18" t="s">
        <v>107</v>
      </c>
      <c r="I636" s="18" t="s">
        <v>43</v>
      </c>
      <c r="J636" s="18" t="s">
        <v>91</v>
      </c>
      <c r="K636" s="18">
        <v>11</v>
      </c>
      <c r="L636" s="20">
        <v>2218.52</v>
      </c>
      <c r="M636" s="21">
        <v>0.1</v>
      </c>
      <c r="N636" s="21">
        <v>0.70463020306124002</v>
      </c>
      <c r="O636" s="20">
        <f t="shared" si="36"/>
        <v>21963.348000000002</v>
      </c>
      <c r="P636" s="20">
        <f t="shared" si="37"/>
        <v>15476.038361144681</v>
      </c>
      <c r="Q636" s="20">
        <f t="shared" si="38"/>
        <v>6487.3096388553204</v>
      </c>
      <c r="R636" s="22">
        <f t="shared" si="39"/>
        <v>0.29536979693875998</v>
      </c>
    </row>
    <row r="637" spans="1:18">
      <c r="A637" s="18">
        <v>1636</v>
      </c>
      <c r="B637" s="19" t="s">
        <v>293</v>
      </c>
      <c r="C637" s="18">
        <v>2024</v>
      </c>
      <c r="D637" s="18" t="s">
        <v>55</v>
      </c>
      <c r="E637" s="18" t="s">
        <v>88</v>
      </c>
      <c r="F637" s="18" t="s">
        <v>93</v>
      </c>
      <c r="G637" s="18" t="s">
        <v>47</v>
      </c>
      <c r="H637" s="18" t="s">
        <v>103</v>
      </c>
      <c r="I637" s="18" t="s">
        <v>46</v>
      </c>
      <c r="J637" s="18" t="s">
        <v>91</v>
      </c>
      <c r="K637" s="18">
        <v>9</v>
      </c>
      <c r="L637" s="20">
        <v>3043.38</v>
      </c>
      <c r="M637" s="21">
        <v>0</v>
      </c>
      <c r="N637" s="21">
        <v>0.71633789996497599</v>
      </c>
      <c r="O637" s="20">
        <f t="shared" si="36"/>
        <v>27390.420000000002</v>
      </c>
      <c r="P637" s="20">
        <f t="shared" si="37"/>
        <v>19620.79594195868</v>
      </c>
      <c r="Q637" s="20">
        <f t="shared" si="38"/>
        <v>7769.6240580413214</v>
      </c>
      <c r="R637" s="22">
        <f t="shared" si="39"/>
        <v>0.28366210003502396</v>
      </c>
    </row>
    <row r="638" spans="1:18">
      <c r="A638" s="18">
        <v>1637</v>
      </c>
      <c r="B638" s="19" t="s">
        <v>293</v>
      </c>
      <c r="C638" s="18">
        <v>2024</v>
      </c>
      <c r="D638" s="18" t="s">
        <v>55</v>
      </c>
      <c r="E638" s="18" t="s">
        <v>79</v>
      </c>
      <c r="F638" s="18" t="s">
        <v>105</v>
      </c>
      <c r="G638" s="18" t="s">
        <v>41</v>
      </c>
      <c r="H638" s="18" t="s">
        <v>90</v>
      </c>
      <c r="I638" s="18" t="s">
        <v>58</v>
      </c>
      <c r="J638" s="18" t="s">
        <v>91</v>
      </c>
      <c r="K638" s="18">
        <v>4</v>
      </c>
      <c r="L638" s="20">
        <v>18405.45</v>
      </c>
      <c r="M638" s="21">
        <v>0.05</v>
      </c>
      <c r="N638" s="21">
        <v>0.58861590628928195</v>
      </c>
      <c r="O638" s="20">
        <f t="shared" si="36"/>
        <v>69940.710000000006</v>
      </c>
      <c r="P638" s="20">
        <f t="shared" si="37"/>
        <v>41168.214403165846</v>
      </c>
      <c r="Q638" s="20">
        <f t="shared" si="38"/>
        <v>28772.49559683416</v>
      </c>
      <c r="R638" s="22">
        <f t="shared" si="39"/>
        <v>0.4113840937107181</v>
      </c>
    </row>
    <row r="639" spans="1:18">
      <c r="A639" s="18">
        <v>1638</v>
      </c>
      <c r="B639" s="19" t="s">
        <v>293</v>
      </c>
      <c r="C639" s="18">
        <v>2024</v>
      </c>
      <c r="D639" s="18" t="s">
        <v>55</v>
      </c>
      <c r="E639" s="18" t="s">
        <v>79</v>
      </c>
      <c r="F639" s="18" t="s">
        <v>80</v>
      </c>
      <c r="G639" s="18" t="s">
        <v>41</v>
      </c>
      <c r="H639" s="18" t="s">
        <v>90</v>
      </c>
      <c r="I639" s="18" t="s">
        <v>62</v>
      </c>
      <c r="J639" s="18" t="s">
        <v>102</v>
      </c>
      <c r="K639" s="18">
        <v>4</v>
      </c>
      <c r="L639" s="20">
        <v>18810.88</v>
      </c>
      <c r="M639" s="21">
        <v>0.2</v>
      </c>
      <c r="N639" s="21">
        <v>0.57435802624832899</v>
      </c>
      <c r="O639" s="20">
        <f t="shared" si="36"/>
        <v>60194.816000000006</v>
      </c>
      <c r="P639" s="20">
        <f t="shared" si="37"/>
        <v>34573.375708141335</v>
      </c>
      <c r="Q639" s="20">
        <f t="shared" si="38"/>
        <v>25621.440291858671</v>
      </c>
      <c r="R639" s="22">
        <f t="shared" si="39"/>
        <v>0.42564197375167107</v>
      </c>
    </row>
    <row r="640" spans="1:18">
      <c r="A640" s="18">
        <v>1639</v>
      </c>
      <c r="B640" s="19" t="s">
        <v>294</v>
      </c>
      <c r="C640" s="18">
        <v>2024</v>
      </c>
      <c r="D640" s="18" t="s">
        <v>55</v>
      </c>
      <c r="E640" s="18" t="s">
        <v>79</v>
      </c>
      <c r="F640" s="18" t="s">
        <v>80</v>
      </c>
      <c r="G640" s="18" t="s">
        <v>44</v>
      </c>
      <c r="H640" s="18" t="s">
        <v>114</v>
      </c>
      <c r="I640" s="18" t="s">
        <v>62</v>
      </c>
      <c r="J640" s="18" t="s">
        <v>82</v>
      </c>
      <c r="K640" s="18">
        <v>2</v>
      </c>
      <c r="L640" s="20">
        <v>9176.09</v>
      </c>
      <c r="M640" s="21">
        <v>0.05</v>
      </c>
      <c r="N640" s="21">
        <v>0.60891372333013405</v>
      </c>
      <c r="O640" s="20">
        <f t="shared" si="36"/>
        <v>17434.571</v>
      </c>
      <c r="P640" s="20">
        <f t="shared" si="37"/>
        <v>10616.149542273579</v>
      </c>
      <c r="Q640" s="20">
        <f t="shared" si="38"/>
        <v>6818.4214577264211</v>
      </c>
      <c r="R640" s="22">
        <f t="shared" si="39"/>
        <v>0.39108627666986595</v>
      </c>
    </row>
    <row r="641" spans="1:18">
      <c r="A641" s="18">
        <v>1640</v>
      </c>
      <c r="B641" s="19" t="s">
        <v>294</v>
      </c>
      <c r="C641" s="18">
        <v>2024</v>
      </c>
      <c r="D641" s="18" t="s">
        <v>55</v>
      </c>
      <c r="E641" s="18" t="s">
        <v>79</v>
      </c>
      <c r="F641" s="18" t="s">
        <v>80</v>
      </c>
      <c r="G641" s="18" t="s">
        <v>50</v>
      </c>
      <c r="H641" s="18" t="s">
        <v>97</v>
      </c>
      <c r="I641" s="18" t="s">
        <v>56</v>
      </c>
      <c r="J641" s="18" t="s">
        <v>102</v>
      </c>
      <c r="K641" s="18">
        <v>11</v>
      </c>
      <c r="L641" s="20">
        <v>12323.86</v>
      </c>
      <c r="M641" s="21">
        <v>0.05</v>
      </c>
      <c r="N641" s="21">
        <v>0.60146731907422302</v>
      </c>
      <c r="O641" s="20">
        <f t="shared" si="36"/>
        <v>128784.33700000001</v>
      </c>
      <c r="P641" s="20">
        <f t="shared" si="37"/>
        <v>77459.569914141277</v>
      </c>
      <c r="Q641" s="20">
        <f t="shared" si="38"/>
        <v>51324.767085858737</v>
      </c>
      <c r="R641" s="22">
        <f t="shared" si="39"/>
        <v>0.39853268092577698</v>
      </c>
    </row>
    <row r="642" spans="1:18">
      <c r="A642" s="18">
        <v>1641</v>
      </c>
      <c r="B642" s="19" t="s">
        <v>295</v>
      </c>
      <c r="C642" s="18">
        <v>2024</v>
      </c>
      <c r="D642" s="18" t="s">
        <v>55</v>
      </c>
      <c r="E642" s="18" t="s">
        <v>98</v>
      </c>
      <c r="F642" s="18" t="s">
        <v>117</v>
      </c>
      <c r="G642" s="18" t="s">
        <v>50</v>
      </c>
      <c r="H642" s="18" t="s">
        <v>97</v>
      </c>
      <c r="I642" s="18" t="s">
        <v>54</v>
      </c>
      <c r="J642" s="18" t="s">
        <v>82</v>
      </c>
      <c r="K642" s="18">
        <v>5</v>
      </c>
      <c r="L642" s="20">
        <v>12546.73</v>
      </c>
      <c r="M642" s="21">
        <v>0.05</v>
      </c>
      <c r="N642" s="21">
        <v>0.58558589732732602</v>
      </c>
      <c r="O642" s="20">
        <f t="shared" ref="O642:O705" si="40">K642*L642*(1-M642)</f>
        <v>59596.967499999992</v>
      </c>
      <c r="P642" s="20">
        <f t="shared" ref="P642:P705" si="41">O642*N642</f>
        <v>34899.143691474979</v>
      </c>
      <c r="Q642" s="20">
        <f t="shared" ref="Q642:Q705" si="42">O642-P642</f>
        <v>24697.823808525012</v>
      </c>
      <c r="R642" s="22">
        <f t="shared" ref="R642:R705" si="43">IF(O642=0,0,Q642/O642)</f>
        <v>0.41441410267267398</v>
      </c>
    </row>
    <row r="643" spans="1:18">
      <c r="A643" s="18">
        <v>1642</v>
      </c>
      <c r="B643" s="19" t="s">
        <v>295</v>
      </c>
      <c r="C643" s="18">
        <v>2024</v>
      </c>
      <c r="D643" s="18" t="s">
        <v>55</v>
      </c>
      <c r="E643" s="18" t="s">
        <v>79</v>
      </c>
      <c r="F643" s="18" t="s">
        <v>105</v>
      </c>
      <c r="G643" s="18" t="s">
        <v>44</v>
      </c>
      <c r="H643" s="18" t="s">
        <v>95</v>
      </c>
      <c r="I643" s="18" t="s">
        <v>56</v>
      </c>
      <c r="J643" s="18" t="s">
        <v>82</v>
      </c>
      <c r="K643" s="18">
        <v>11</v>
      </c>
      <c r="L643" s="20">
        <v>4496.43</v>
      </c>
      <c r="M643" s="21">
        <v>0</v>
      </c>
      <c r="N643" s="21">
        <v>0.65812643135891502</v>
      </c>
      <c r="O643" s="20">
        <f t="shared" si="40"/>
        <v>49460.73</v>
      </c>
      <c r="P643" s="20">
        <f t="shared" si="41"/>
        <v>32551.41372730683</v>
      </c>
      <c r="Q643" s="20">
        <f t="shared" si="42"/>
        <v>16909.316272693173</v>
      </c>
      <c r="R643" s="22">
        <f t="shared" si="43"/>
        <v>0.34187356864108498</v>
      </c>
    </row>
    <row r="644" spans="1:18">
      <c r="A644" s="18">
        <v>1643</v>
      </c>
      <c r="B644" s="19" t="s">
        <v>296</v>
      </c>
      <c r="C644" s="18">
        <v>2024</v>
      </c>
      <c r="D644" s="18" t="s">
        <v>55</v>
      </c>
      <c r="E644" s="18" t="s">
        <v>88</v>
      </c>
      <c r="F644" s="18" t="s">
        <v>93</v>
      </c>
      <c r="G644" s="18" t="s">
        <v>41</v>
      </c>
      <c r="H644" s="18" t="s">
        <v>112</v>
      </c>
      <c r="I644" s="18" t="s">
        <v>52</v>
      </c>
      <c r="J644" s="18" t="s">
        <v>82</v>
      </c>
      <c r="K644" s="18">
        <v>1</v>
      </c>
      <c r="L644" s="20">
        <v>5743.75</v>
      </c>
      <c r="M644" s="21">
        <v>0.15</v>
      </c>
      <c r="N644" s="21">
        <v>0.69550903029828703</v>
      </c>
      <c r="O644" s="20">
        <f t="shared" si="40"/>
        <v>4882.1875</v>
      </c>
      <c r="P644" s="20">
        <f t="shared" si="41"/>
        <v>3395.6054938594184</v>
      </c>
      <c r="Q644" s="20">
        <f t="shared" si="42"/>
        <v>1486.5820061405816</v>
      </c>
      <c r="R644" s="22">
        <f t="shared" si="43"/>
        <v>0.30449096970171291</v>
      </c>
    </row>
    <row r="645" spans="1:18">
      <c r="A645" s="18">
        <v>1644</v>
      </c>
      <c r="B645" s="19" t="s">
        <v>296</v>
      </c>
      <c r="C645" s="18">
        <v>2024</v>
      </c>
      <c r="D645" s="18" t="s">
        <v>55</v>
      </c>
      <c r="E645" s="18" t="s">
        <v>85</v>
      </c>
      <c r="F645" s="18" t="s">
        <v>86</v>
      </c>
      <c r="G645" s="18" t="s">
        <v>50</v>
      </c>
      <c r="H645" s="18" t="s">
        <v>83</v>
      </c>
      <c r="I645" s="18" t="s">
        <v>40</v>
      </c>
      <c r="J645" s="18" t="s">
        <v>82</v>
      </c>
      <c r="K645" s="18">
        <v>11</v>
      </c>
      <c r="L645" s="20">
        <v>3461.67</v>
      </c>
      <c r="M645" s="21">
        <v>0</v>
      </c>
      <c r="N645" s="21">
        <v>0.69001103986774504</v>
      </c>
      <c r="O645" s="20">
        <f t="shared" si="40"/>
        <v>38078.370000000003</v>
      </c>
      <c r="P645" s="20">
        <f t="shared" si="41"/>
        <v>26274.495680168748</v>
      </c>
      <c r="Q645" s="20">
        <f t="shared" si="42"/>
        <v>11803.874319831255</v>
      </c>
      <c r="R645" s="22">
        <f t="shared" si="43"/>
        <v>0.30998896013225496</v>
      </c>
    </row>
    <row r="646" spans="1:18">
      <c r="A646" s="18">
        <v>1645</v>
      </c>
      <c r="B646" s="19" t="s">
        <v>296</v>
      </c>
      <c r="C646" s="18">
        <v>2024</v>
      </c>
      <c r="D646" s="18" t="s">
        <v>55</v>
      </c>
      <c r="E646" s="18" t="s">
        <v>85</v>
      </c>
      <c r="F646" s="18" t="s">
        <v>94</v>
      </c>
      <c r="G646" s="18" t="s">
        <v>41</v>
      </c>
      <c r="H646" s="18" t="s">
        <v>112</v>
      </c>
      <c r="I646" s="18" t="s">
        <v>58</v>
      </c>
      <c r="J646" s="18" t="s">
        <v>91</v>
      </c>
      <c r="K646" s="18">
        <v>7</v>
      </c>
      <c r="L646" s="20">
        <v>6206.43</v>
      </c>
      <c r="M646" s="21">
        <v>0</v>
      </c>
      <c r="N646" s="21">
        <v>0.65802574340380304</v>
      </c>
      <c r="O646" s="20">
        <f t="shared" si="40"/>
        <v>43445.01</v>
      </c>
      <c r="P646" s="20">
        <f t="shared" si="41"/>
        <v>28587.935002435657</v>
      </c>
      <c r="Q646" s="20">
        <f t="shared" si="42"/>
        <v>14857.074997564345</v>
      </c>
      <c r="R646" s="22">
        <f t="shared" si="43"/>
        <v>0.34197425659619701</v>
      </c>
    </row>
    <row r="647" spans="1:18">
      <c r="A647" s="18">
        <v>1646</v>
      </c>
      <c r="B647" s="19" t="s">
        <v>296</v>
      </c>
      <c r="C647" s="18">
        <v>2024</v>
      </c>
      <c r="D647" s="18" t="s">
        <v>55</v>
      </c>
      <c r="E647" s="18" t="s">
        <v>79</v>
      </c>
      <c r="F647" s="18" t="s">
        <v>105</v>
      </c>
      <c r="G647" s="18" t="s">
        <v>50</v>
      </c>
      <c r="H647" s="18" t="s">
        <v>83</v>
      </c>
      <c r="I647" s="18" t="s">
        <v>62</v>
      </c>
      <c r="J647" s="18" t="s">
        <v>102</v>
      </c>
      <c r="K647" s="18">
        <v>6</v>
      </c>
      <c r="L647" s="20">
        <v>3441.7</v>
      </c>
      <c r="M647" s="21">
        <v>0.05</v>
      </c>
      <c r="N647" s="21">
        <v>0.63012295969604704</v>
      </c>
      <c r="O647" s="20">
        <f t="shared" si="40"/>
        <v>19617.689999999995</v>
      </c>
      <c r="P647" s="20">
        <f t="shared" si="41"/>
        <v>12361.556885199541</v>
      </c>
      <c r="Q647" s="20">
        <f t="shared" si="42"/>
        <v>7256.1331148004538</v>
      </c>
      <c r="R647" s="22">
        <f t="shared" si="43"/>
        <v>0.36987704030395302</v>
      </c>
    </row>
    <row r="648" spans="1:18">
      <c r="A648" s="18">
        <v>1647</v>
      </c>
      <c r="B648" s="19" t="s">
        <v>296</v>
      </c>
      <c r="C648" s="18">
        <v>2024</v>
      </c>
      <c r="D648" s="18" t="s">
        <v>55</v>
      </c>
      <c r="E648" s="18" t="s">
        <v>79</v>
      </c>
      <c r="F648" s="18" t="s">
        <v>105</v>
      </c>
      <c r="G648" s="18" t="s">
        <v>47</v>
      </c>
      <c r="H648" s="18" t="s">
        <v>81</v>
      </c>
      <c r="I648" s="18" t="s">
        <v>58</v>
      </c>
      <c r="J648" s="18" t="s">
        <v>91</v>
      </c>
      <c r="K648" s="18">
        <v>11</v>
      </c>
      <c r="L648" s="20">
        <v>776.25</v>
      </c>
      <c r="M648" s="21">
        <v>0.15</v>
      </c>
      <c r="N648" s="21">
        <v>0.55786623651908795</v>
      </c>
      <c r="O648" s="20">
        <f t="shared" si="40"/>
        <v>7257.9375</v>
      </c>
      <c r="P648" s="20">
        <f t="shared" si="41"/>
        <v>4048.958278015758</v>
      </c>
      <c r="Q648" s="20">
        <f t="shared" si="42"/>
        <v>3208.979221984242</v>
      </c>
      <c r="R648" s="22">
        <f t="shared" si="43"/>
        <v>0.44213376348091205</v>
      </c>
    </row>
    <row r="649" spans="1:18">
      <c r="A649" s="18">
        <v>1648</v>
      </c>
      <c r="B649" s="19" t="s">
        <v>297</v>
      </c>
      <c r="C649" s="18">
        <v>2024</v>
      </c>
      <c r="D649" s="18" t="s">
        <v>55</v>
      </c>
      <c r="E649" s="18" t="s">
        <v>88</v>
      </c>
      <c r="F649" s="18" t="s">
        <v>89</v>
      </c>
      <c r="G649" s="18" t="s">
        <v>50</v>
      </c>
      <c r="H649" s="18" t="s">
        <v>83</v>
      </c>
      <c r="I649" s="18" t="s">
        <v>54</v>
      </c>
      <c r="J649" s="18" t="s">
        <v>91</v>
      </c>
      <c r="K649" s="18">
        <v>2</v>
      </c>
      <c r="L649" s="20">
        <v>3634.82</v>
      </c>
      <c r="M649" s="21">
        <v>0.1</v>
      </c>
      <c r="N649" s="21">
        <v>0.69706483660558505</v>
      </c>
      <c r="O649" s="20">
        <f t="shared" si="40"/>
        <v>6542.6760000000004</v>
      </c>
      <c r="P649" s="20">
        <f t="shared" si="41"/>
        <v>4560.6693769032827</v>
      </c>
      <c r="Q649" s="20">
        <f t="shared" si="42"/>
        <v>1982.0066230967177</v>
      </c>
      <c r="R649" s="22">
        <f t="shared" si="43"/>
        <v>0.30293516339441501</v>
      </c>
    </row>
    <row r="650" spans="1:18">
      <c r="A650" s="18">
        <v>1649</v>
      </c>
      <c r="B650" s="19" t="s">
        <v>297</v>
      </c>
      <c r="C650" s="18">
        <v>2024</v>
      </c>
      <c r="D650" s="18" t="s">
        <v>55</v>
      </c>
      <c r="E650" s="18" t="s">
        <v>88</v>
      </c>
      <c r="F650" s="18" t="s">
        <v>110</v>
      </c>
      <c r="G650" s="18" t="s">
        <v>44</v>
      </c>
      <c r="H650" s="18" t="s">
        <v>119</v>
      </c>
      <c r="I650" s="18" t="s">
        <v>62</v>
      </c>
      <c r="J650" s="18" t="s">
        <v>82</v>
      </c>
      <c r="K650" s="18">
        <v>8</v>
      </c>
      <c r="L650" s="20">
        <v>6922.14</v>
      </c>
      <c r="M650" s="21">
        <v>0.15</v>
      </c>
      <c r="N650" s="21">
        <v>0.67868152753670596</v>
      </c>
      <c r="O650" s="20">
        <f t="shared" si="40"/>
        <v>47070.552000000003</v>
      </c>
      <c r="P650" s="20">
        <f t="shared" si="41"/>
        <v>31945.914133355953</v>
      </c>
      <c r="Q650" s="20">
        <f t="shared" si="42"/>
        <v>15124.637866644051</v>
      </c>
      <c r="R650" s="22">
        <f t="shared" si="43"/>
        <v>0.32131847246329404</v>
      </c>
    </row>
    <row r="651" spans="1:18">
      <c r="A651" s="18">
        <v>1650</v>
      </c>
      <c r="B651" s="19" t="s">
        <v>297</v>
      </c>
      <c r="C651" s="18">
        <v>2024</v>
      </c>
      <c r="D651" s="18" t="s">
        <v>55</v>
      </c>
      <c r="E651" s="18" t="s">
        <v>85</v>
      </c>
      <c r="F651" s="18" t="s">
        <v>94</v>
      </c>
      <c r="G651" s="18" t="s">
        <v>50</v>
      </c>
      <c r="H651" s="18" t="s">
        <v>83</v>
      </c>
      <c r="I651" s="18" t="s">
        <v>40</v>
      </c>
      <c r="J651" s="18" t="s">
        <v>91</v>
      </c>
      <c r="K651" s="18">
        <v>1</v>
      </c>
      <c r="L651" s="20">
        <v>3443.2</v>
      </c>
      <c r="M651" s="21">
        <v>0.2</v>
      </c>
      <c r="N651" s="21">
        <v>0.55856290669069897</v>
      </c>
      <c r="O651" s="20">
        <f t="shared" si="40"/>
        <v>2754.56</v>
      </c>
      <c r="P651" s="20">
        <f t="shared" si="41"/>
        <v>1538.5950402539318</v>
      </c>
      <c r="Q651" s="20">
        <f t="shared" si="42"/>
        <v>1215.9649597460682</v>
      </c>
      <c r="R651" s="22">
        <f t="shared" si="43"/>
        <v>0.44143709330930103</v>
      </c>
    </row>
    <row r="652" spans="1:18">
      <c r="A652" s="18">
        <v>1651</v>
      </c>
      <c r="B652" s="19" t="s">
        <v>297</v>
      </c>
      <c r="C652" s="18">
        <v>2024</v>
      </c>
      <c r="D652" s="18" t="s">
        <v>55</v>
      </c>
      <c r="E652" s="18" t="s">
        <v>79</v>
      </c>
      <c r="F652" s="18" t="s">
        <v>100</v>
      </c>
      <c r="G652" s="18" t="s">
        <v>50</v>
      </c>
      <c r="H652" s="18" t="s">
        <v>87</v>
      </c>
      <c r="I652" s="18" t="s">
        <v>60</v>
      </c>
      <c r="J652" s="18" t="s">
        <v>82</v>
      </c>
      <c r="K652" s="18">
        <v>12</v>
      </c>
      <c r="L652" s="20">
        <v>9575.3799999999992</v>
      </c>
      <c r="M652" s="21">
        <v>0</v>
      </c>
      <c r="N652" s="21">
        <v>0.557375533484608</v>
      </c>
      <c r="O652" s="20">
        <f t="shared" si="40"/>
        <v>114904.56</v>
      </c>
      <c r="P652" s="20">
        <f t="shared" si="41"/>
        <v>64044.990429814148</v>
      </c>
      <c r="Q652" s="20">
        <f t="shared" si="42"/>
        <v>50859.569570185849</v>
      </c>
      <c r="R652" s="22">
        <f t="shared" si="43"/>
        <v>0.442624466515392</v>
      </c>
    </row>
    <row r="653" spans="1:18">
      <c r="A653" s="18">
        <v>1652</v>
      </c>
      <c r="B653" s="19" t="s">
        <v>297</v>
      </c>
      <c r="C653" s="18">
        <v>2024</v>
      </c>
      <c r="D653" s="18" t="s">
        <v>55</v>
      </c>
      <c r="E653" s="18" t="s">
        <v>88</v>
      </c>
      <c r="F653" s="18" t="s">
        <v>89</v>
      </c>
      <c r="G653" s="18" t="s">
        <v>41</v>
      </c>
      <c r="H653" s="18" t="s">
        <v>112</v>
      </c>
      <c r="I653" s="18" t="s">
        <v>62</v>
      </c>
      <c r="J653" s="18" t="s">
        <v>82</v>
      </c>
      <c r="K653" s="18">
        <v>4</v>
      </c>
      <c r="L653" s="20">
        <v>6120.78</v>
      </c>
      <c r="M653" s="21">
        <v>0</v>
      </c>
      <c r="N653" s="21">
        <v>0.55287304099239298</v>
      </c>
      <c r="O653" s="20">
        <f t="shared" si="40"/>
        <v>24483.119999999999</v>
      </c>
      <c r="P653" s="20">
        <f t="shared" si="41"/>
        <v>13536.057007381676</v>
      </c>
      <c r="Q653" s="20">
        <f t="shared" si="42"/>
        <v>10947.062992618323</v>
      </c>
      <c r="R653" s="22">
        <f t="shared" si="43"/>
        <v>0.44712695900760702</v>
      </c>
    </row>
    <row r="654" spans="1:18">
      <c r="A654" s="18">
        <v>1653</v>
      </c>
      <c r="B654" s="19" t="s">
        <v>298</v>
      </c>
      <c r="C654" s="18">
        <v>2024</v>
      </c>
      <c r="D654" s="18" t="s">
        <v>55</v>
      </c>
      <c r="E654" s="18" t="s">
        <v>98</v>
      </c>
      <c r="F654" s="18" t="s">
        <v>117</v>
      </c>
      <c r="G654" s="18" t="s">
        <v>50</v>
      </c>
      <c r="H654" s="18" t="s">
        <v>87</v>
      </c>
      <c r="I654" s="18" t="s">
        <v>46</v>
      </c>
      <c r="J654" s="18" t="s">
        <v>102</v>
      </c>
      <c r="K654" s="18">
        <v>2</v>
      </c>
      <c r="L654" s="20">
        <v>9801.91</v>
      </c>
      <c r="M654" s="21">
        <v>0</v>
      </c>
      <c r="N654" s="21">
        <v>0.57283593639305797</v>
      </c>
      <c r="O654" s="20">
        <f t="shared" si="40"/>
        <v>19603.82</v>
      </c>
      <c r="P654" s="20">
        <f t="shared" si="41"/>
        <v>11229.772586580957</v>
      </c>
      <c r="Q654" s="20">
        <f t="shared" si="42"/>
        <v>8374.0474134190426</v>
      </c>
      <c r="R654" s="22">
        <f t="shared" si="43"/>
        <v>0.42716406360694203</v>
      </c>
    </row>
    <row r="655" spans="1:18">
      <c r="A655" s="18">
        <v>1654</v>
      </c>
      <c r="B655" s="19" t="s">
        <v>298</v>
      </c>
      <c r="C655" s="18">
        <v>2024</v>
      </c>
      <c r="D655" s="18" t="s">
        <v>55</v>
      </c>
      <c r="E655" s="18" t="s">
        <v>88</v>
      </c>
      <c r="F655" s="18" t="s">
        <v>110</v>
      </c>
      <c r="G655" s="18" t="s">
        <v>44</v>
      </c>
      <c r="H655" s="18" t="s">
        <v>114</v>
      </c>
      <c r="I655" s="18" t="s">
        <v>54</v>
      </c>
      <c r="J655" s="18" t="s">
        <v>102</v>
      </c>
      <c r="K655" s="18">
        <v>11</v>
      </c>
      <c r="L655" s="20">
        <v>8911.81</v>
      </c>
      <c r="M655" s="21">
        <v>0</v>
      </c>
      <c r="N655" s="21">
        <v>0.745170653885735</v>
      </c>
      <c r="O655" s="20">
        <f t="shared" si="40"/>
        <v>98029.909999999989</v>
      </c>
      <c r="P655" s="20">
        <f t="shared" si="41"/>
        <v>73049.012135059747</v>
      </c>
      <c r="Q655" s="20">
        <f t="shared" si="42"/>
        <v>24980.897864940242</v>
      </c>
      <c r="R655" s="22">
        <f t="shared" si="43"/>
        <v>0.25482934611426494</v>
      </c>
    </row>
    <row r="656" spans="1:18">
      <c r="A656" s="18">
        <v>1655</v>
      </c>
      <c r="B656" s="19" t="s">
        <v>299</v>
      </c>
      <c r="C656" s="18">
        <v>2024</v>
      </c>
      <c r="D656" s="18" t="s">
        <v>55</v>
      </c>
      <c r="E656" s="18" t="s">
        <v>98</v>
      </c>
      <c r="F656" s="18" t="s">
        <v>117</v>
      </c>
      <c r="G656" s="18" t="s">
        <v>41</v>
      </c>
      <c r="H656" s="18" t="s">
        <v>101</v>
      </c>
      <c r="I656" s="18" t="s">
        <v>54</v>
      </c>
      <c r="J656" s="18" t="s">
        <v>82</v>
      </c>
      <c r="K656" s="18">
        <v>2</v>
      </c>
      <c r="L656" s="20">
        <v>53756.41</v>
      </c>
      <c r="M656" s="21">
        <v>0.1</v>
      </c>
      <c r="N656" s="21">
        <v>0.58361017062708098</v>
      </c>
      <c r="O656" s="20">
        <f t="shared" si="40"/>
        <v>96761.538000000015</v>
      </c>
      <c r="P656" s="20">
        <f t="shared" si="41"/>
        <v>56471.017702318786</v>
      </c>
      <c r="Q656" s="20">
        <f t="shared" si="42"/>
        <v>40290.520297681229</v>
      </c>
      <c r="R656" s="22">
        <f t="shared" si="43"/>
        <v>0.41638982937291907</v>
      </c>
    </row>
    <row r="657" spans="1:18">
      <c r="A657" s="18">
        <v>1656</v>
      </c>
      <c r="B657" s="19" t="s">
        <v>299</v>
      </c>
      <c r="C657" s="18">
        <v>2024</v>
      </c>
      <c r="D657" s="18" t="s">
        <v>55</v>
      </c>
      <c r="E657" s="18" t="s">
        <v>98</v>
      </c>
      <c r="F657" s="18" t="s">
        <v>99</v>
      </c>
      <c r="G657" s="18" t="s">
        <v>44</v>
      </c>
      <c r="H657" s="18" t="s">
        <v>114</v>
      </c>
      <c r="I657" s="18" t="s">
        <v>49</v>
      </c>
      <c r="J657" s="18" t="s">
        <v>102</v>
      </c>
      <c r="K657" s="18">
        <v>1</v>
      </c>
      <c r="L657" s="20">
        <v>8670.0300000000007</v>
      </c>
      <c r="M657" s="21">
        <v>0.2</v>
      </c>
      <c r="N657" s="21">
        <v>0.67248830106277901</v>
      </c>
      <c r="O657" s="20">
        <f t="shared" si="40"/>
        <v>6936.0240000000013</v>
      </c>
      <c r="P657" s="20">
        <f t="shared" si="41"/>
        <v>4664.3949958906614</v>
      </c>
      <c r="Q657" s="20">
        <f t="shared" si="42"/>
        <v>2271.6290041093398</v>
      </c>
      <c r="R657" s="22">
        <f t="shared" si="43"/>
        <v>0.32751169893722099</v>
      </c>
    </row>
    <row r="658" spans="1:18">
      <c r="A658" s="18">
        <v>1657</v>
      </c>
      <c r="B658" s="19" t="s">
        <v>299</v>
      </c>
      <c r="C658" s="18">
        <v>2024</v>
      </c>
      <c r="D658" s="18" t="s">
        <v>55</v>
      </c>
      <c r="E658" s="18" t="s">
        <v>88</v>
      </c>
      <c r="F658" s="18" t="s">
        <v>110</v>
      </c>
      <c r="G658" s="18" t="s">
        <v>50</v>
      </c>
      <c r="H658" s="18" t="s">
        <v>83</v>
      </c>
      <c r="I658" s="18" t="s">
        <v>40</v>
      </c>
      <c r="J658" s="18" t="s">
        <v>82</v>
      </c>
      <c r="K658" s="18">
        <v>3</v>
      </c>
      <c r="L658" s="20">
        <v>3649.15</v>
      </c>
      <c r="M658" s="21">
        <v>0.2</v>
      </c>
      <c r="N658" s="21">
        <v>0.680351158371166</v>
      </c>
      <c r="O658" s="20">
        <f t="shared" si="40"/>
        <v>8757.9600000000009</v>
      </c>
      <c r="P658" s="20">
        <f t="shared" si="41"/>
        <v>5958.488230968338</v>
      </c>
      <c r="Q658" s="20">
        <f t="shared" si="42"/>
        <v>2799.4717690316629</v>
      </c>
      <c r="R658" s="22">
        <f t="shared" si="43"/>
        <v>0.31964884162883395</v>
      </c>
    </row>
    <row r="659" spans="1:18">
      <c r="A659" s="18">
        <v>1658</v>
      </c>
      <c r="B659" s="19" t="s">
        <v>300</v>
      </c>
      <c r="C659" s="18">
        <v>2024</v>
      </c>
      <c r="D659" s="18" t="s">
        <v>55</v>
      </c>
      <c r="E659" s="18" t="s">
        <v>85</v>
      </c>
      <c r="F659" s="18" t="s">
        <v>94</v>
      </c>
      <c r="G659" s="18" t="s">
        <v>50</v>
      </c>
      <c r="H659" s="18" t="s">
        <v>87</v>
      </c>
      <c r="I659" s="18" t="s">
        <v>46</v>
      </c>
      <c r="J659" s="18" t="s">
        <v>82</v>
      </c>
      <c r="K659" s="18">
        <v>3</v>
      </c>
      <c r="L659" s="20">
        <v>9632.83</v>
      </c>
      <c r="M659" s="21">
        <v>0.15</v>
      </c>
      <c r="N659" s="21">
        <v>0.64008382620220095</v>
      </c>
      <c r="O659" s="20">
        <f t="shared" si="40"/>
        <v>24563.716499999999</v>
      </c>
      <c r="P659" s="20">
        <f t="shared" si="41"/>
        <v>15722.837643066136</v>
      </c>
      <c r="Q659" s="20">
        <f t="shared" si="42"/>
        <v>8840.8788569338631</v>
      </c>
      <c r="R659" s="22">
        <f t="shared" si="43"/>
        <v>0.359916173797799</v>
      </c>
    </row>
    <row r="660" spans="1:18">
      <c r="A660" s="18">
        <v>1659</v>
      </c>
      <c r="B660" s="19" t="s">
        <v>300</v>
      </c>
      <c r="C660" s="18">
        <v>2024</v>
      </c>
      <c r="D660" s="18" t="s">
        <v>55</v>
      </c>
      <c r="E660" s="18" t="s">
        <v>88</v>
      </c>
      <c r="F660" s="18" t="s">
        <v>110</v>
      </c>
      <c r="G660" s="18" t="s">
        <v>41</v>
      </c>
      <c r="H660" s="18" t="s">
        <v>101</v>
      </c>
      <c r="I660" s="18" t="s">
        <v>58</v>
      </c>
      <c r="J660" s="18" t="s">
        <v>102</v>
      </c>
      <c r="K660" s="18">
        <v>2</v>
      </c>
      <c r="L660" s="20">
        <v>55699.55</v>
      </c>
      <c r="M660" s="21">
        <v>0.05</v>
      </c>
      <c r="N660" s="21">
        <v>0.61957071336922898</v>
      </c>
      <c r="O660" s="20">
        <f t="shared" si="40"/>
        <v>105829.145</v>
      </c>
      <c r="P660" s="20">
        <f t="shared" si="41"/>
        <v>65568.638862905573</v>
      </c>
      <c r="Q660" s="20">
        <f t="shared" si="42"/>
        <v>40260.506137094431</v>
      </c>
      <c r="R660" s="22">
        <f t="shared" si="43"/>
        <v>0.38042928663077102</v>
      </c>
    </row>
    <row r="661" spans="1:18">
      <c r="A661" s="18">
        <v>1660</v>
      </c>
      <c r="B661" s="19" t="s">
        <v>300</v>
      </c>
      <c r="C661" s="18">
        <v>2024</v>
      </c>
      <c r="D661" s="18" t="s">
        <v>55</v>
      </c>
      <c r="E661" s="18" t="s">
        <v>79</v>
      </c>
      <c r="F661" s="18" t="s">
        <v>80</v>
      </c>
      <c r="G661" s="18" t="s">
        <v>44</v>
      </c>
      <c r="H661" s="18" t="s">
        <v>119</v>
      </c>
      <c r="I661" s="18" t="s">
        <v>43</v>
      </c>
      <c r="J661" s="18" t="s">
        <v>102</v>
      </c>
      <c r="K661" s="18">
        <v>2</v>
      </c>
      <c r="L661" s="20">
        <v>7083.24</v>
      </c>
      <c r="M661" s="21">
        <v>0.15</v>
      </c>
      <c r="N661" s="21">
        <v>0.65150815132152495</v>
      </c>
      <c r="O661" s="20">
        <f t="shared" si="40"/>
        <v>12041.508</v>
      </c>
      <c r="P661" s="20">
        <f t="shared" si="41"/>
        <v>7845.1406162033536</v>
      </c>
      <c r="Q661" s="20">
        <f t="shared" si="42"/>
        <v>4196.3673837966462</v>
      </c>
      <c r="R661" s="22">
        <f t="shared" si="43"/>
        <v>0.34849184867847499</v>
      </c>
    </row>
    <row r="662" spans="1:18">
      <c r="A662" s="18">
        <v>1661</v>
      </c>
      <c r="B662" s="19" t="s">
        <v>300</v>
      </c>
      <c r="C662" s="18">
        <v>2024</v>
      </c>
      <c r="D662" s="18" t="s">
        <v>55</v>
      </c>
      <c r="E662" s="18" t="s">
        <v>85</v>
      </c>
      <c r="F662" s="18" t="s">
        <v>94</v>
      </c>
      <c r="G662" s="18" t="s">
        <v>44</v>
      </c>
      <c r="H662" s="18" t="s">
        <v>114</v>
      </c>
      <c r="I662" s="18" t="s">
        <v>40</v>
      </c>
      <c r="J662" s="18" t="s">
        <v>82</v>
      </c>
      <c r="K662" s="18">
        <v>2</v>
      </c>
      <c r="L662" s="20">
        <v>9266.9500000000007</v>
      </c>
      <c r="M662" s="21">
        <v>0.2</v>
      </c>
      <c r="N662" s="21">
        <v>0.71875633890714297</v>
      </c>
      <c r="O662" s="20">
        <f t="shared" si="40"/>
        <v>14827.120000000003</v>
      </c>
      <c r="P662" s="20">
        <f t="shared" si="41"/>
        <v>10657.08648773688</v>
      </c>
      <c r="Q662" s="20">
        <f t="shared" si="42"/>
        <v>4170.0335122631222</v>
      </c>
      <c r="R662" s="22">
        <f t="shared" si="43"/>
        <v>0.28124366109285698</v>
      </c>
    </row>
    <row r="663" spans="1:18">
      <c r="A663" s="18">
        <v>1662</v>
      </c>
      <c r="B663" s="19" t="s">
        <v>301</v>
      </c>
      <c r="C663" s="18">
        <v>2024</v>
      </c>
      <c r="D663" s="18" t="s">
        <v>55</v>
      </c>
      <c r="E663" s="18" t="s">
        <v>85</v>
      </c>
      <c r="F663" s="18" t="s">
        <v>86</v>
      </c>
      <c r="G663" s="18" t="s">
        <v>44</v>
      </c>
      <c r="H663" s="18" t="s">
        <v>95</v>
      </c>
      <c r="I663" s="18" t="s">
        <v>40</v>
      </c>
      <c r="J663" s="18" t="s">
        <v>82</v>
      </c>
      <c r="K663" s="18">
        <v>11</v>
      </c>
      <c r="L663" s="20">
        <v>4438.8900000000003</v>
      </c>
      <c r="M663" s="21">
        <v>0</v>
      </c>
      <c r="N663" s="21">
        <v>0.63693432845381204</v>
      </c>
      <c r="O663" s="20">
        <f t="shared" si="40"/>
        <v>48827.79</v>
      </c>
      <c r="P663" s="20">
        <f t="shared" si="41"/>
        <v>31100.095633533758</v>
      </c>
      <c r="Q663" s="20">
        <f t="shared" si="42"/>
        <v>17727.694366466243</v>
      </c>
      <c r="R663" s="22">
        <f t="shared" si="43"/>
        <v>0.36306567154618802</v>
      </c>
    </row>
    <row r="664" spans="1:18">
      <c r="A664" s="18">
        <v>1663</v>
      </c>
      <c r="B664" s="19" t="s">
        <v>301</v>
      </c>
      <c r="C664" s="18">
        <v>2024</v>
      </c>
      <c r="D664" s="18" t="s">
        <v>55</v>
      </c>
      <c r="E664" s="18" t="s">
        <v>98</v>
      </c>
      <c r="F664" s="18" t="s">
        <v>99</v>
      </c>
      <c r="G664" s="18" t="s">
        <v>50</v>
      </c>
      <c r="H664" s="18" t="s">
        <v>83</v>
      </c>
      <c r="I664" s="18" t="s">
        <v>43</v>
      </c>
      <c r="J664" s="18" t="s">
        <v>102</v>
      </c>
      <c r="K664" s="18">
        <v>1</v>
      </c>
      <c r="L664" s="20">
        <v>3648.7</v>
      </c>
      <c r="M664" s="21">
        <v>0</v>
      </c>
      <c r="N664" s="21">
        <v>0.581609122135478</v>
      </c>
      <c r="O664" s="20">
        <f t="shared" si="40"/>
        <v>3648.7</v>
      </c>
      <c r="P664" s="20">
        <f t="shared" si="41"/>
        <v>2122.1172039357184</v>
      </c>
      <c r="Q664" s="20">
        <f t="shared" si="42"/>
        <v>1526.5827960642814</v>
      </c>
      <c r="R664" s="22">
        <f t="shared" si="43"/>
        <v>0.418390877864522</v>
      </c>
    </row>
    <row r="665" spans="1:18">
      <c r="A665" s="18">
        <v>1664</v>
      </c>
      <c r="B665" s="19" t="s">
        <v>301</v>
      </c>
      <c r="C665" s="18">
        <v>2024</v>
      </c>
      <c r="D665" s="18" t="s">
        <v>55</v>
      </c>
      <c r="E665" s="18" t="s">
        <v>79</v>
      </c>
      <c r="F665" s="18" t="s">
        <v>105</v>
      </c>
      <c r="G665" s="18" t="s">
        <v>41</v>
      </c>
      <c r="H665" s="18" t="s">
        <v>90</v>
      </c>
      <c r="I665" s="18" t="s">
        <v>49</v>
      </c>
      <c r="J665" s="18" t="s">
        <v>102</v>
      </c>
      <c r="K665" s="18">
        <v>8</v>
      </c>
      <c r="L665" s="20">
        <v>18166.87</v>
      </c>
      <c r="M665" s="21">
        <v>0.05</v>
      </c>
      <c r="N665" s="21">
        <v>0.63381325483136097</v>
      </c>
      <c r="O665" s="20">
        <f t="shared" si="40"/>
        <v>138068.212</v>
      </c>
      <c r="P665" s="20">
        <f t="shared" si="41"/>
        <v>87509.462836466366</v>
      </c>
      <c r="Q665" s="20">
        <f t="shared" si="42"/>
        <v>50558.749163533634</v>
      </c>
      <c r="R665" s="22">
        <f t="shared" si="43"/>
        <v>0.36618674516863908</v>
      </c>
    </row>
    <row r="666" spans="1:18">
      <c r="A666" s="18">
        <v>1665</v>
      </c>
      <c r="B666" s="19" t="s">
        <v>301</v>
      </c>
      <c r="C666" s="18">
        <v>2024</v>
      </c>
      <c r="D666" s="18" t="s">
        <v>55</v>
      </c>
      <c r="E666" s="18" t="s">
        <v>98</v>
      </c>
      <c r="F666" s="18" t="s">
        <v>117</v>
      </c>
      <c r="G666" s="18" t="s">
        <v>41</v>
      </c>
      <c r="H666" s="18" t="s">
        <v>106</v>
      </c>
      <c r="I666" s="18" t="s">
        <v>49</v>
      </c>
      <c r="J666" s="18" t="s">
        <v>82</v>
      </c>
      <c r="K666" s="18">
        <v>4</v>
      </c>
      <c r="L666" s="20">
        <v>2559.44</v>
      </c>
      <c r="M666" s="21">
        <v>0</v>
      </c>
      <c r="N666" s="21">
        <v>0.62510647757554805</v>
      </c>
      <c r="O666" s="20">
        <f t="shared" si="40"/>
        <v>10237.76</v>
      </c>
      <c r="P666" s="20">
        <f t="shared" si="41"/>
        <v>6399.690091863843</v>
      </c>
      <c r="Q666" s="20">
        <f t="shared" si="42"/>
        <v>3838.0699081361572</v>
      </c>
      <c r="R666" s="22">
        <f t="shared" si="43"/>
        <v>0.37489352242445195</v>
      </c>
    </row>
    <row r="667" spans="1:18">
      <c r="A667" s="18">
        <v>1666</v>
      </c>
      <c r="B667" s="19" t="s">
        <v>301</v>
      </c>
      <c r="C667" s="18">
        <v>2024</v>
      </c>
      <c r="D667" s="18" t="s">
        <v>55</v>
      </c>
      <c r="E667" s="18" t="s">
        <v>88</v>
      </c>
      <c r="F667" s="18" t="s">
        <v>110</v>
      </c>
      <c r="G667" s="18" t="s">
        <v>50</v>
      </c>
      <c r="H667" s="18" t="s">
        <v>87</v>
      </c>
      <c r="I667" s="18" t="s">
        <v>58</v>
      </c>
      <c r="J667" s="18" t="s">
        <v>82</v>
      </c>
      <c r="K667" s="18">
        <v>7</v>
      </c>
      <c r="L667" s="20">
        <v>9162.69</v>
      </c>
      <c r="M667" s="21">
        <v>0.15</v>
      </c>
      <c r="N667" s="21">
        <v>0.64099817451545704</v>
      </c>
      <c r="O667" s="20">
        <f t="shared" si="40"/>
        <v>54518.005499999999</v>
      </c>
      <c r="P667" s="20">
        <f t="shared" si="41"/>
        <v>34945.942003723649</v>
      </c>
      <c r="Q667" s="20">
        <f t="shared" si="42"/>
        <v>19572.063496276351</v>
      </c>
      <c r="R667" s="22">
        <f t="shared" si="43"/>
        <v>0.3590018254845429</v>
      </c>
    </row>
    <row r="668" spans="1:18">
      <c r="A668" s="18">
        <v>1667</v>
      </c>
      <c r="B668" s="19" t="s">
        <v>302</v>
      </c>
      <c r="C668" s="18">
        <v>2024</v>
      </c>
      <c r="D668" s="18" t="s">
        <v>55</v>
      </c>
      <c r="E668" s="18" t="s">
        <v>98</v>
      </c>
      <c r="F668" s="18" t="s">
        <v>117</v>
      </c>
      <c r="G668" s="18" t="s">
        <v>50</v>
      </c>
      <c r="H668" s="18" t="s">
        <v>87</v>
      </c>
      <c r="I668" s="18" t="s">
        <v>49</v>
      </c>
      <c r="J668" s="18" t="s">
        <v>102</v>
      </c>
      <c r="K668" s="18">
        <v>6</v>
      </c>
      <c r="L668" s="20">
        <v>9951.7800000000007</v>
      </c>
      <c r="M668" s="21">
        <v>0</v>
      </c>
      <c r="N668" s="21">
        <v>0.61717826743008497</v>
      </c>
      <c r="O668" s="20">
        <f t="shared" si="40"/>
        <v>59710.680000000008</v>
      </c>
      <c r="P668" s="20">
        <f t="shared" si="41"/>
        <v>36852.134029472232</v>
      </c>
      <c r="Q668" s="20">
        <f t="shared" si="42"/>
        <v>22858.545970527775</v>
      </c>
      <c r="R668" s="22">
        <f t="shared" si="43"/>
        <v>0.38282173256991503</v>
      </c>
    </row>
    <row r="669" spans="1:18">
      <c r="A669" s="18">
        <v>1668</v>
      </c>
      <c r="B669" s="19" t="s">
        <v>302</v>
      </c>
      <c r="C669" s="18">
        <v>2024</v>
      </c>
      <c r="D669" s="18" t="s">
        <v>55</v>
      </c>
      <c r="E669" s="18" t="s">
        <v>79</v>
      </c>
      <c r="F669" s="18" t="s">
        <v>80</v>
      </c>
      <c r="G669" s="18" t="s">
        <v>41</v>
      </c>
      <c r="H669" s="18" t="s">
        <v>106</v>
      </c>
      <c r="I669" s="18" t="s">
        <v>46</v>
      </c>
      <c r="J669" s="18" t="s">
        <v>82</v>
      </c>
      <c r="K669" s="18">
        <v>8</v>
      </c>
      <c r="L669" s="20">
        <v>2489.64</v>
      </c>
      <c r="M669" s="21">
        <v>0</v>
      </c>
      <c r="N669" s="21">
        <v>0.70206791660722501</v>
      </c>
      <c r="O669" s="20">
        <f t="shared" si="40"/>
        <v>19917.12</v>
      </c>
      <c r="P669" s="20">
        <f t="shared" si="41"/>
        <v>13983.170943216093</v>
      </c>
      <c r="Q669" s="20">
        <f t="shared" si="42"/>
        <v>5933.9490567839057</v>
      </c>
      <c r="R669" s="22">
        <f t="shared" si="43"/>
        <v>0.29793208339277494</v>
      </c>
    </row>
    <row r="670" spans="1:18">
      <c r="A670" s="18">
        <v>1669</v>
      </c>
      <c r="B670" s="19" t="s">
        <v>302</v>
      </c>
      <c r="C670" s="18">
        <v>2024</v>
      </c>
      <c r="D670" s="18" t="s">
        <v>55</v>
      </c>
      <c r="E670" s="18" t="s">
        <v>88</v>
      </c>
      <c r="F670" s="18" t="s">
        <v>89</v>
      </c>
      <c r="G670" s="18" t="s">
        <v>44</v>
      </c>
      <c r="H670" s="18" t="s">
        <v>95</v>
      </c>
      <c r="I670" s="18" t="s">
        <v>62</v>
      </c>
      <c r="J670" s="18" t="s">
        <v>82</v>
      </c>
      <c r="K670" s="18">
        <v>10</v>
      </c>
      <c r="L670" s="20">
        <v>4711.5600000000004</v>
      </c>
      <c r="M670" s="21">
        <v>0</v>
      </c>
      <c r="N670" s="21">
        <v>0.56729486646010896</v>
      </c>
      <c r="O670" s="20">
        <f t="shared" si="40"/>
        <v>47115.600000000006</v>
      </c>
      <c r="P670" s="20">
        <f t="shared" si="41"/>
        <v>26728.438010187914</v>
      </c>
      <c r="Q670" s="20">
        <f t="shared" si="42"/>
        <v>20387.161989812092</v>
      </c>
      <c r="R670" s="22">
        <f t="shared" si="43"/>
        <v>0.43270513353989104</v>
      </c>
    </row>
    <row r="671" spans="1:18">
      <c r="A671" s="18">
        <v>1670</v>
      </c>
      <c r="B671" s="19" t="s">
        <v>302</v>
      </c>
      <c r="C671" s="18">
        <v>2024</v>
      </c>
      <c r="D671" s="18" t="s">
        <v>55</v>
      </c>
      <c r="E671" s="18" t="s">
        <v>85</v>
      </c>
      <c r="F671" s="18" t="s">
        <v>86</v>
      </c>
      <c r="G671" s="18" t="s">
        <v>50</v>
      </c>
      <c r="H671" s="18" t="s">
        <v>97</v>
      </c>
      <c r="I671" s="18" t="s">
        <v>52</v>
      </c>
      <c r="J671" s="18" t="s">
        <v>82</v>
      </c>
      <c r="K671" s="18">
        <v>12</v>
      </c>
      <c r="L671" s="20">
        <v>11913.73</v>
      </c>
      <c r="M671" s="21">
        <v>0</v>
      </c>
      <c r="N671" s="21">
        <v>0.59956628878011697</v>
      </c>
      <c r="O671" s="20">
        <f t="shared" si="40"/>
        <v>142964.76</v>
      </c>
      <c r="P671" s="20">
        <f t="shared" si="41"/>
        <v>85716.850579540114</v>
      </c>
      <c r="Q671" s="20">
        <f t="shared" si="42"/>
        <v>57247.909420459895</v>
      </c>
      <c r="R671" s="22">
        <f t="shared" si="43"/>
        <v>0.40043371121988308</v>
      </c>
    </row>
    <row r="672" spans="1:18">
      <c r="A672" s="18">
        <v>1671</v>
      </c>
      <c r="B672" s="19" t="s">
        <v>302</v>
      </c>
      <c r="C672" s="18">
        <v>2024</v>
      </c>
      <c r="D672" s="18" t="s">
        <v>55</v>
      </c>
      <c r="E672" s="18" t="s">
        <v>85</v>
      </c>
      <c r="F672" s="18" t="s">
        <v>94</v>
      </c>
      <c r="G672" s="18" t="s">
        <v>44</v>
      </c>
      <c r="H672" s="18" t="s">
        <v>95</v>
      </c>
      <c r="I672" s="18" t="s">
        <v>46</v>
      </c>
      <c r="J672" s="18" t="s">
        <v>102</v>
      </c>
      <c r="K672" s="18">
        <v>1</v>
      </c>
      <c r="L672" s="20">
        <v>4463</v>
      </c>
      <c r="M672" s="21">
        <v>0</v>
      </c>
      <c r="N672" s="21">
        <v>0.55801173596273901</v>
      </c>
      <c r="O672" s="20">
        <f t="shared" si="40"/>
        <v>4463</v>
      </c>
      <c r="P672" s="20">
        <f t="shared" si="41"/>
        <v>2490.4063776017042</v>
      </c>
      <c r="Q672" s="20">
        <f t="shared" si="42"/>
        <v>1972.5936223982958</v>
      </c>
      <c r="R672" s="22">
        <f t="shared" si="43"/>
        <v>0.44198826403726099</v>
      </c>
    </row>
    <row r="673" spans="1:18">
      <c r="A673" s="18">
        <v>1672</v>
      </c>
      <c r="B673" s="19" t="s">
        <v>303</v>
      </c>
      <c r="C673" s="18">
        <v>2024</v>
      </c>
      <c r="D673" s="18" t="s">
        <v>55</v>
      </c>
      <c r="E673" s="18" t="s">
        <v>79</v>
      </c>
      <c r="F673" s="18" t="s">
        <v>105</v>
      </c>
      <c r="G673" s="18" t="s">
        <v>50</v>
      </c>
      <c r="H673" s="18" t="s">
        <v>97</v>
      </c>
      <c r="I673" s="18" t="s">
        <v>43</v>
      </c>
      <c r="J673" s="18" t="s">
        <v>91</v>
      </c>
      <c r="K673" s="18">
        <v>8</v>
      </c>
      <c r="L673" s="20">
        <v>11688.61</v>
      </c>
      <c r="M673" s="21">
        <v>0.15</v>
      </c>
      <c r="N673" s="21">
        <v>0.70061573835078295</v>
      </c>
      <c r="O673" s="20">
        <f t="shared" si="40"/>
        <v>79482.547999999995</v>
      </c>
      <c r="P673" s="20">
        <f t="shared" si="41"/>
        <v>55686.724053021542</v>
      </c>
      <c r="Q673" s="20">
        <f t="shared" si="42"/>
        <v>23795.823946978453</v>
      </c>
      <c r="R673" s="22">
        <f t="shared" si="43"/>
        <v>0.29938426164921705</v>
      </c>
    </row>
    <row r="674" spans="1:18">
      <c r="A674" s="18">
        <v>1673</v>
      </c>
      <c r="B674" s="19" t="s">
        <v>303</v>
      </c>
      <c r="C674" s="18">
        <v>2024</v>
      </c>
      <c r="D674" s="18" t="s">
        <v>55</v>
      </c>
      <c r="E674" s="18" t="s">
        <v>85</v>
      </c>
      <c r="F674" s="18" t="s">
        <v>86</v>
      </c>
      <c r="G674" s="18" t="s">
        <v>44</v>
      </c>
      <c r="H674" s="18" t="s">
        <v>114</v>
      </c>
      <c r="I674" s="18" t="s">
        <v>52</v>
      </c>
      <c r="J674" s="18" t="s">
        <v>82</v>
      </c>
      <c r="K674" s="18">
        <v>11</v>
      </c>
      <c r="L674" s="20">
        <v>9449.06</v>
      </c>
      <c r="M674" s="21">
        <v>0</v>
      </c>
      <c r="N674" s="21">
        <v>0.64595659027850005</v>
      </c>
      <c r="O674" s="20">
        <f t="shared" si="40"/>
        <v>103939.65999999999</v>
      </c>
      <c r="P674" s="20">
        <f t="shared" si="41"/>
        <v>67140.50836830659</v>
      </c>
      <c r="Q674" s="20">
        <f t="shared" si="42"/>
        <v>36799.151631693399</v>
      </c>
      <c r="R674" s="22">
        <f t="shared" si="43"/>
        <v>0.3540434097215</v>
      </c>
    </row>
    <row r="675" spans="1:18">
      <c r="A675" s="18">
        <v>1674</v>
      </c>
      <c r="B675" s="19" t="s">
        <v>303</v>
      </c>
      <c r="C675" s="18">
        <v>2024</v>
      </c>
      <c r="D675" s="18" t="s">
        <v>55</v>
      </c>
      <c r="E675" s="18" t="s">
        <v>98</v>
      </c>
      <c r="F675" s="18" t="s">
        <v>117</v>
      </c>
      <c r="G675" s="18" t="s">
        <v>50</v>
      </c>
      <c r="H675" s="18" t="s">
        <v>87</v>
      </c>
      <c r="I675" s="18" t="s">
        <v>62</v>
      </c>
      <c r="J675" s="18" t="s">
        <v>82</v>
      </c>
      <c r="K675" s="18">
        <v>8</v>
      </c>
      <c r="L675" s="20">
        <v>9465.57</v>
      </c>
      <c r="M675" s="21">
        <v>0</v>
      </c>
      <c r="N675" s="21">
        <v>0.72483980760445399</v>
      </c>
      <c r="O675" s="20">
        <f t="shared" si="40"/>
        <v>75724.56</v>
      </c>
      <c r="P675" s="20">
        <f t="shared" si="41"/>
        <v>54888.175501331927</v>
      </c>
      <c r="Q675" s="20">
        <f t="shared" si="42"/>
        <v>20836.384498668071</v>
      </c>
      <c r="R675" s="22">
        <f t="shared" si="43"/>
        <v>0.27516019239554607</v>
      </c>
    </row>
    <row r="676" spans="1:18">
      <c r="A676" s="18">
        <v>1675</v>
      </c>
      <c r="B676" s="19" t="s">
        <v>303</v>
      </c>
      <c r="C676" s="18">
        <v>2024</v>
      </c>
      <c r="D676" s="18" t="s">
        <v>55</v>
      </c>
      <c r="E676" s="18" t="s">
        <v>85</v>
      </c>
      <c r="F676" s="18" t="s">
        <v>86</v>
      </c>
      <c r="G676" s="18" t="s">
        <v>47</v>
      </c>
      <c r="H676" s="18" t="s">
        <v>103</v>
      </c>
      <c r="I676" s="18" t="s">
        <v>58</v>
      </c>
      <c r="J676" s="18" t="s">
        <v>102</v>
      </c>
      <c r="K676" s="18">
        <v>11</v>
      </c>
      <c r="L676" s="20">
        <v>3040.44</v>
      </c>
      <c r="M676" s="21">
        <v>0.2</v>
      </c>
      <c r="N676" s="21">
        <v>0.564139718390821</v>
      </c>
      <c r="O676" s="20">
        <f t="shared" si="40"/>
        <v>26755.872000000003</v>
      </c>
      <c r="P676" s="20">
        <f t="shared" si="41"/>
        <v>15094.050095380855</v>
      </c>
      <c r="Q676" s="20">
        <f t="shared" si="42"/>
        <v>11661.821904619148</v>
      </c>
      <c r="R676" s="22">
        <f t="shared" si="43"/>
        <v>0.435860281609179</v>
      </c>
    </row>
    <row r="677" spans="1:18">
      <c r="A677" s="18">
        <v>1676</v>
      </c>
      <c r="B677" s="19" t="s">
        <v>303</v>
      </c>
      <c r="C677" s="18">
        <v>2024</v>
      </c>
      <c r="D677" s="18" t="s">
        <v>55</v>
      </c>
      <c r="E677" s="18" t="s">
        <v>98</v>
      </c>
      <c r="F677" s="18" t="s">
        <v>99</v>
      </c>
      <c r="G677" s="18" t="s">
        <v>41</v>
      </c>
      <c r="H677" s="18" t="s">
        <v>106</v>
      </c>
      <c r="I677" s="18" t="s">
        <v>56</v>
      </c>
      <c r="J677" s="18" t="s">
        <v>91</v>
      </c>
      <c r="K677" s="18">
        <v>12</v>
      </c>
      <c r="L677" s="20">
        <v>2611.52</v>
      </c>
      <c r="M677" s="21">
        <v>0.15</v>
      </c>
      <c r="N677" s="21">
        <v>0.66504587351453104</v>
      </c>
      <c r="O677" s="20">
        <f t="shared" si="40"/>
        <v>26637.503999999997</v>
      </c>
      <c r="P677" s="20">
        <f t="shared" si="41"/>
        <v>17715.162115926814</v>
      </c>
      <c r="Q677" s="20">
        <f t="shared" si="42"/>
        <v>8922.3418840731829</v>
      </c>
      <c r="R677" s="22">
        <f t="shared" si="43"/>
        <v>0.33495412648546891</v>
      </c>
    </row>
    <row r="678" spans="1:18">
      <c r="A678" s="18">
        <v>1677</v>
      </c>
      <c r="B678" s="19" t="s">
        <v>304</v>
      </c>
      <c r="C678" s="18">
        <v>2024</v>
      </c>
      <c r="D678" s="18" t="s">
        <v>55</v>
      </c>
      <c r="E678" s="18" t="s">
        <v>79</v>
      </c>
      <c r="F678" s="18" t="s">
        <v>80</v>
      </c>
      <c r="G678" s="18" t="s">
        <v>47</v>
      </c>
      <c r="H678" s="18" t="s">
        <v>103</v>
      </c>
      <c r="I678" s="18" t="s">
        <v>40</v>
      </c>
      <c r="J678" s="18" t="s">
        <v>102</v>
      </c>
      <c r="K678" s="18">
        <v>11</v>
      </c>
      <c r="L678" s="20">
        <v>3156.48</v>
      </c>
      <c r="M678" s="21">
        <v>0</v>
      </c>
      <c r="N678" s="21">
        <v>0.57219330874525798</v>
      </c>
      <c r="O678" s="20">
        <f t="shared" si="40"/>
        <v>34721.279999999999</v>
      </c>
      <c r="P678" s="20">
        <f t="shared" si="41"/>
        <v>19867.284087070551</v>
      </c>
      <c r="Q678" s="20">
        <f t="shared" si="42"/>
        <v>14853.995912929448</v>
      </c>
      <c r="R678" s="22">
        <f t="shared" si="43"/>
        <v>0.42780669125474197</v>
      </c>
    </row>
    <row r="679" spans="1:18">
      <c r="A679" s="18">
        <v>1678</v>
      </c>
      <c r="B679" s="19" t="s">
        <v>304</v>
      </c>
      <c r="C679" s="18">
        <v>2024</v>
      </c>
      <c r="D679" s="18" t="s">
        <v>55</v>
      </c>
      <c r="E679" s="18" t="s">
        <v>98</v>
      </c>
      <c r="F679" s="18" t="s">
        <v>109</v>
      </c>
      <c r="G679" s="18" t="s">
        <v>41</v>
      </c>
      <c r="H679" s="18" t="s">
        <v>106</v>
      </c>
      <c r="I679" s="18" t="s">
        <v>54</v>
      </c>
      <c r="J679" s="18" t="s">
        <v>82</v>
      </c>
      <c r="K679" s="18">
        <v>11</v>
      </c>
      <c r="L679" s="20">
        <v>2514.6999999999998</v>
      </c>
      <c r="M679" s="21">
        <v>0</v>
      </c>
      <c r="N679" s="21">
        <v>0.66215164171060503</v>
      </c>
      <c r="O679" s="20">
        <f t="shared" si="40"/>
        <v>27661.699999999997</v>
      </c>
      <c r="P679" s="20">
        <f t="shared" si="41"/>
        <v>18316.240067506242</v>
      </c>
      <c r="Q679" s="20">
        <f t="shared" si="42"/>
        <v>9345.4599324937553</v>
      </c>
      <c r="R679" s="22">
        <f t="shared" si="43"/>
        <v>0.33784835828939497</v>
      </c>
    </row>
    <row r="680" spans="1:18">
      <c r="A680" s="18">
        <v>1679</v>
      </c>
      <c r="B680" s="19" t="s">
        <v>304</v>
      </c>
      <c r="C680" s="18">
        <v>2024</v>
      </c>
      <c r="D680" s="18" t="s">
        <v>55</v>
      </c>
      <c r="E680" s="18" t="s">
        <v>88</v>
      </c>
      <c r="F680" s="18" t="s">
        <v>110</v>
      </c>
      <c r="G680" s="18" t="s">
        <v>47</v>
      </c>
      <c r="H680" s="18" t="s">
        <v>81</v>
      </c>
      <c r="I680" s="18" t="s">
        <v>60</v>
      </c>
      <c r="J680" s="18" t="s">
        <v>82</v>
      </c>
      <c r="K680" s="18">
        <v>11</v>
      </c>
      <c r="L680" s="20">
        <v>798.28</v>
      </c>
      <c r="M680" s="21">
        <v>0.15</v>
      </c>
      <c r="N680" s="21">
        <v>0.72422627651557903</v>
      </c>
      <c r="O680" s="20">
        <f t="shared" si="40"/>
        <v>7463.9179999999997</v>
      </c>
      <c r="P680" s="20">
        <f t="shared" si="41"/>
        <v>5405.5655413576069</v>
      </c>
      <c r="Q680" s="20">
        <f t="shared" si="42"/>
        <v>2058.3524586423928</v>
      </c>
      <c r="R680" s="22">
        <f t="shared" si="43"/>
        <v>0.27577372348442103</v>
      </c>
    </row>
    <row r="681" spans="1:18">
      <c r="A681" s="18">
        <v>1680</v>
      </c>
      <c r="B681" s="19" t="s">
        <v>305</v>
      </c>
      <c r="C681" s="18">
        <v>2024</v>
      </c>
      <c r="D681" s="18" t="s">
        <v>55</v>
      </c>
      <c r="E681" s="18" t="s">
        <v>88</v>
      </c>
      <c r="F681" s="18" t="s">
        <v>89</v>
      </c>
      <c r="G681" s="18" t="s">
        <v>47</v>
      </c>
      <c r="H681" s="18" t="s">
        <v>107</v>
      </c>
      <c r="I681" s="18" t="s">
        <v>60</v>
      </c>
      <c r="J681" s="18" t="s">
        <v>102</v>
      </c>
      <c r="K681" s="18">
        <v>7</v>
      </c>
      <c r="L681" s="20">
        <v>2150.9699999999998</v>
      </c>
      <c r="M681" s="21">
        <v>0</v>
      </c>
      <c r="N681" s="21">
        <v>0.62456275574151698</v>
      </c>
      <c r="O681" s="20">
        <f t="shared" si="40"/>
        <v>15056.789999999999</v>
      </c>
      <c r="P681" s="20">
        <f t="shared" si="41"/>
        <v>9403.9102550213156</v>
      </c>
      <c r="Q681" s="20">
        <f t="shared" si="42"/>
        <v>5652.8797449786834</v>
      </c>
      <c r="R681" s="22">
        <f t="shared" si="43"/>
        <v>0.37543724425848296</v>
      </c>
    </row>
    <row r="682" spans="1:18">
      <c r="A682" s="18">
        <v>1681</v>
      </c>
      <c r="B682" s="19" t="s">
        <v>305</v>
      </c>
      <c r="C682" s="18">
        <v>2024</v>
      </c>
      <c r="D682" s="18" t="s">
        <v>55</v>
      </c>
      <c r="E682" s="18" t="s">
        <v>85</v>
      </c>
      <c r="F682" s="18" t="s">
        <v>121</v>
      </c>
      <c r="G682" s="18" t="s">
        <v>41</v>
      </c>
      <c r="H682" s="18" t="s">
        <v>112</v>
      </c>
      <c r="I682" s="18" t="s">
        <v>60</v>
      </c>
      <c r="J682" s="18" t="s">
        <v>102</v>
      </c>
      <c r="K682" s="18">
        <v>9</v>
      </c>
      <c r="L682" s="20">
        <v>6239.67</v>
      </c>
      <c r="M682" s="21">
        <v>0.1</v>
      </c>
      <c r="N682" s="21">
        <v>0.67419025356791296</v>
      </c>
      <c r="O682" s="20">
        <f t="shared" si="40"/>
        <v>50541.326999999997</v>
      </c>
      <c r="P682" s="20">
        <f t="shared" si="41"/>
        <v>34074.470065788802</v>
      </c>
      <c r="Q682" s="20">
        <f t="shared" si="42"/>
        <v>16466.856934211195</v>
      </c>
      <c r="R682" s="22">
        <f t="shared" si="43"/>
        <v>0.32580974643208704</v>
      </c>
    </row>
    <row r="683" spans="1:18">
      <c r="A683" s="18">
        <v>1682</v>
      </c>
      <c r="B683" s="19" t="s">
        <v>305</v>
      </c>
      <c r="C683" s="18">
        <v>2024</v>
      </c>
      <c r="D683" s="18" t="s">
        <v>55</v>
      </c>
      <c r="E683" s="18" t="s">
        <v>79</v>
      </c>
      <c r="F683" s="18" t="s">
        <v>100</v>
      </c>
      <c r="G683" s="18" t="s">
        <v>50</v>
      </c>
      <c r="H683" s="18" t="s">
        <v>83</v>
      </c>
      <c r="I683" s="18" t="s">
        <v>43</v>
      </c>
      <c r="J683" s="18" t="s">
        <v>91</v>
      </c>
      <c r="K683" s="18">
        <v>3</v>
      </c>
      <c r="L683" s="20">
        <v>3425.93</v>
      </c>
      <c r="M683" s="21">
        <v>0</v>
      </c>
      <c r="N683" s="21">
        <v>0.57187298411841103</v>
      </c>
      <c r="O683" s="20">
        <f t="shared" si="40"/>
        <v>10277.789999999999</v>
      </c>
      <c r="P683" s="20">
        <f t="shared" si="41"/>
        <v>5877.5904374423635</v>
      </c>
      <c r="Q683" s="20">
        <f t="shared" si="42"/>
        <v>4400.1995625576355</v>
      </c>
      <c r="R683" s="22">
        <f t="shared" si="43"/>
        <v>0.42812701588158891</v>
      </c>
    </row>
    <row r="684" spans="1:18">
      <c r="A684" s="18">
        <v>1683</v>
      </c>
      <c r="B684" s="19" t="s">
        <v>306</v>
      </c>
      <c r="C684" s="18">
        <v>2024</v>
      </c>
      <c r="D684" s="18" t="s">
        <v>55</v>
      </c>
      <c r="E684" s="18" t="s">
        <v>79</v>
      </c>
      <c r="F684" s="18" t="s">
        <v>80</v>
      </c>
      <c r="G684" s="18" t="s">
        <v>44</v>
      </c>
      <c r="H684" s="18" t="s">
        <v>114</v>
      </c>
      <c r="I684" s="18" t="s">
        <v>46</v>
      </c>
      <c r="J684" s="18" t="s">
        <v>82</v>
      </c>
      <c r="K684" s="18">
        <v>9</v>
      </c>
      <c r="L684" s="20">
        <v>9406.89</v>
      </c>
      <c r="M684" s="21">
        <v>0</v>
      </c>
      <c r="N684" s="21">
        <v>0.60863388838847998</v>
      </c>
      <c r="O684" s="20">
        <f t="shared" si="40"/>
        <v>84662.01</v>
      </c>
      <c r="P684" s="20">
        <f t="shared" si="41"/>
        <v>51528.16834508437</v>
      </c>
      <c r="Q684" s="20">
        <f t="shared" si="42"/>
        <v>33133.841654915625</v>
      </c>
      <c r="R684" s="22">
        <f t="shared" si="43"/>
        <v>0.39136611161152007</v>
      </c>
    </row>
    <row r="685" spans="1:18">
      <c r="A685" s="18">
        <v>1684</v>
      </c>
      <c r="B685" s="19" t="s">
        <v>306</v>
      </c>
      <c r="C685" s="18">
        <v>2024</v>
      </c>
      <c r="D685" s="18" t="s">
        <v>55</v>
      </c>
      <c r="E685" s="18" t="s">
        <v>88</v>
      </c>
      <c r="F685" s="18" t="s">
        <v>89</v>
      </c>
      <c r="G685" s="18" t="s">
        <v>47</v>
      </c>
      <c r="H685" s="18" t="s">
        <v>107</v>
      </c>
      <c r="I685" s="18" t="s">
        <v>58</v>
      </c>
      <c r="J685" s="18" t="s">
        <v>102</v>
      </c>
      <c r="K685" s="18">
        <v>11</v>
      </c>
      <c r="L685" s="20">
        <v>2094.73</v>
      </c>
      <c r="M685" s="21">
        <v>0</v>
      </c>
      <c r="N685" s="21">
        <v>0.56258990171855205</v>
      </c>
      <c r="O685" s="20">
        <f t="shared" si="40"/>
        <v>23042.03</v>
      </c>
      <c r="P685" s="20">
        <f t="shared" si="41"/>
        <v>12963.213393095928</v>
      </c>
      <c r="Q685" s="20">
        <f t="shared" si="42"/>
        <v>10078.816606904071</v>
      </c>
      <c r="R685" s="22">
        <f t="shared" si="43"/>
        <v>0.43741009828144789</v>
      </c>
    </row>
    <row r="686" spans="1:18">
      <c r="A686" s="18">
        <v>1685</v>
      </c>
      <c r="B686" s="19" t="s">
        <v>306</v>
      </c>
      <c r="C686" s="18">
        <v>2024</v>
      </c>
      <c r="D686" s="18" t="s">
        <v>55</v>
      </c>
      <c r="E686" s="18" t="s">
        <v>88</v>
      </c>
      <c r="F686" s="18" t="s">
        <v>93</v>
      </c>
      <c r="G686" s="18" t="s">
        <v>47</v>
      </c>
      <c r="H686" s="18" t="s">
        <v>107</v>
      </c>
      <c r="I686" s="18" t="s">
        <v>62</v>
      </c>
      <c r="J686" s="18" t="s">
        <v>91</v>
      </c>
      <c r="K686" s="18">
        <v>11</v>
      </c>
      <c r="L686" s="20">
        <v>2232.13</v>
      </c>
      <c r="M686" s="21">
        <v>0.05</v>
      </c>
      <c r="N686" s="21">
        <v>0.64722967832290701</v>
      </c>
      <c r="O686" s="20">
        <f t="shared" si="40"/>
        <v>23325.7585</v>
      </c>
      <c r="P686" s="20">
        <f t="shared" si="41"/>
        <v>15097.123170592813</v>
      </c>
      <c r="Q686" s="20">
        <f t="shared" si="42"/>
        <v>8228.6353294071869</v>
      </c>
      <c r="R686" s="22">
        <f t="shared" si="43"/>
        <v>0.35277032167709305</v>
      </c>
    </row>
    <row r="687" spans="1:18">
      <c r="A687" s="18">
        <v>1686</v>
      </c>
      <c r="B687" s="19" t="s">
        <v>306</v>
      </c>
      <c r="C687" s="18">
        <v>2024</v>
      </c>
      <c r="D687" s="18" t="s">
        <v>55</v>
      </c>
      <c r="E687" s="18" t="s">
        <v>85</v>
      </c>
      <c r="F687" s="18" t="s">
        <v>121</v>
      </c>
      <c r="G687" s="18" t="s">
        <v>47</v>
      </c>
      <c r="H687" s="18" t="s">
        <v>103</v>
      </c>
      <c r="I687" s="18" t="s">
        <v>46</v>
      </c>
      <c r="J687" s="18" t="s">
        <v>91</v>
      </c>
      <c r="K687" s="18">
        <v>3</v>
      </c>
      <c r="L687" s="20">
        <v>3292.57</v>
      </c>
      <c r="M687" s="21">
        <v>0</v>
      </c>
      <c r="N687" s="21">
        <v>0.64684862251863195</v>
      </c>
      <c r="O687" s="20">
        <f t="shared" si="40"/>
        <v>9877.7100000000009</v>
      </c>
      <c r="P687" s="20">
        <f t="shared" si="41"/>
        <v>6389.3831071385166</v>
      </c>
      <c r="Q687" s="20">
        <f t="shared" si="42"/>
        <v>3488.3268928614843</v>
      </c>
      <c r="R687" s="22">
        <f t="shared" si="43"/>
        <v>0.35315137748136805</v>
      </c>
    </row>
    <row r="688" spans="1:18">
      <c r="A688" s="18">
        <v>1687</v>
      </c>
      <c r="B688" s="19" t="s">
        <v>307</v>
      </c>
      <c r="C688" s="18">
        <v>2024</v>
      </c>
      <c r="D688" s="18" t="s">
        <v>55</v>
      </c>
      <c r="E688" s="18" t="s">
        <v>79</v>
      </c>
      <c r="F688" s="18" t="s">
        <v>100</v>
      </c>
      <c r="G688" s="18" t="s">
        <v>47</v>
      </c>
      <c r="H688" s="18" t="s">
        <v>107</v>
      </c>
      <c r="I688" s="18" t="s">
        <v>58</v>
      </c>
      <c r="J688" s="18" t="s">
        <v>82</v>
      </c>
      <c r="K688" s="18">
        <v>10</v>
      </c>
      <c r="L688" s="20">
        <v>2293.31</v>
      </c>
      <c r="M688" s="21">
        <v>0.2</v>
      </c>
      <c r="N688" s="21">
        <v>0.65706333709544895</v>
      </c>
      <c r="O688" s="20">
        <f t="shared" si="40"/>
        <v>18346.48</v>
      </c>
      <c r="P688" s="20">
        <f t="shared" si="41"/>
        <v>12054.799372754913</v>
      </c>
      <c r="Q688" s="20">
        <f t="shared" si="42"/>
        <v>6291.6806272450867</v>
      </c>
      <c r="R688" s="22">
        <f t="shared" si="43"/>
        <v>0.34293666290455099</v>
      </c>
    </row>
    <row r="689" spans="1:18">
      <c r="A689" s="18">
        <v>1688</v>
      </c>
      <c r="B689" s="19" t="s">
        <v>307</v>
      </c>
      <c r="C689" s="18">
        <v>2024</v>
      </c>
      <c r="D689" s="18" t="s">
        <v>55</v>
      </c>
      <c r="E689" s="18" t="s">
        <v>88</v>
      </c>
      <c r="F689" s="18" t="s">
        <v>110</v>
      </c>
      <c r="G689" s="18" t="s">
        <v>44</v>
      </c>
      <c r="H689" s="18" t="s">
        <v>119</v>
      </c>
      <c r="I689" s="18" t="s">
        <v>49</v>
      </c>
      <c r="J689" s="18" t="s">
        <v>82</v>
      </c>
      <c r="K689" s="18">
        <v>1</v>
      </c>
      <c r="L689" s="20">
        <v>7345.64</v>
      </c>
      <c r="M689" s="21">
        <v>0.15</v>
      </c>
      <c r="N689" s="21">
        <v>0.57529470241202196</v>
      </c>
      <c r="O689" s="20">
        <f t="shared" si="40"/>
        <v>6243.7939999999999</v>
      </c>
      <c r="P689" s="20">
        <f t="shared" si="41"/>
        <v>3592.021611151968</v>
      </c>
      <c r="Q689" s="20">
        <f t="shared" si="42"/>
        <v>2651.7723888480318</v>
      </c>
      <c r="R689" s="22">
        <f t="shared" si="43"/>
        <v>0.42470529758797804</v>
      </c>
    </row>
    <row r="690" spans="1:18">
      <c r="A690" s="18">
        <v>1689</v>
      </c>
      <c r="B690" s="19" t="s">
        <v>307</v>
      </c>
      <c r="C690" s="18">
        <v>2024</v>
      </c>
      <c r="D690" s="18" t="s">
        <v>55</v>
      </c>
      <c r="E690" s="18" t="s">
        <v>98</v>
      </c>
      <c r="F690" s="18" t="s">
        <v>109</v>
      </c>
      <c r="G690" s="18" t="s">
        <v>44</v>
      </c>
      <c r="H690" s="18" t="s">
        <v>119</v>
      </c>
      <c r="I690" s="18" t="s">
        <v>60</v>
      </c>
      <c r="J690" s="18" t="s">
        <v>102</v>
      </c>
      <c r="K690" s="18">
        <v>1</v>
      </c>
      <c r="L690" s="20">
        <v>7115.89</v>
      </c>
      <c r="M690" s="21">
        <v>0.05</v>
      </c>
      <c r="N690" s="21">
        <v>0.579588842947654</v>
      </c>
      <c r="O690" s="20">
        <f t="shared" si="40"/>
        <v>6760.0955000000004</v>
      </c>
      <c r="P690" s="20">
        <f t="shared" si="41"/>
        <v>3918.0759290606429</v>
      </c>
      <c r="Q690" s="20">
        <f t="shared" si="42"/>
        <v>2842.0195709393574</v>
      </c>
      <c r="R690" s="22">
        <f t="shared" si="43"/>
        <v>0.420411157052346</v>
      </c>
    </row>
    <row r="691" spans="1:18">
      <c r="A691" s="18">
        <v>1690</v>
      </c>
      <c r="B691" s="19" t="s">
        <v>307</v>
      </c>
      <c r="C691" s="18">
        <v>2024</v>
      </c>
      <c r="D691" s="18" t="s">
        <v>55</v>
      </c>
      <c r="E691" s="18" t="s">
        <v>85</v>
      </c>
      <c r="F691" s="18" t="s">
        <v>94</v>
      </c>
      <c r="G691" s="18" t="s">
        <v>44</v>
      </c>
      <c r="H691" s="18" t="s">
        <v>95</v>
      </c>
      <c r="I691" s="18" t="s">
        <v>52</v>
      </c>
      <c r="J691" s="18" t="s">
        <v>82</v>
      </c>
      <c r="K691" s="18">
        <v>1</v>
      </c>
      <c r="L691" s="20">
        <v>4457.05</v>
      </c>
      <c r="M691" s="21">
        <v>0.1</v>
      </c>
      <c r="N691" s="21">
        <v>0.70370363316742202</v>
      </c>
      <c r="O691" s="20">
        <f t="shared" si="40"/>
        <v>4011.3450000000003</v>
      </c>
      <c r="P691" s="20">
        <f t="shared" si="41"/>
        <v>2822.7980503879726</v>
      </c>
      <c r="Q691" s="20">
        <f t="shared" si="42"/>
        <v>1188.5469496120277</v>
      </c>
      <c r="R691" s="22">
        <f t="shared" si="43"/>
        <v>0.29629636683257798</v>
      </c>
    </row>
    <row r="692" spans="1:18">
      <c r="A692" s="18">
        <v>1691</v>
      </c>
      <c r="B692" s="19" t="s">
        <v>308</v>
      </c>
      <c r="C692" s="18">
        <v>2024</v>
      </c>
      <c r="D692" s="18" t="s">
        <v>55</v>
      </c>
      <c r="E692" s="18" t="s">
        <v>98</v>
      </c>
      <c r="F692" s="18" t="s">
        <v>117</v>
      </c>
      <c r="G692" s="18" t="s">
        <v>41</v>
      </c>
      <c r="H692" s="18" t="s">
        <v>106</v>
      </c>
      <c r="I692" s="18" t="s">
        <v>52</v>
      </c>
      <c r="J692" s="18" t="s">
        <v>91</v>
      </c>
      <c r="K692" s="18">
        <v>5</v>
      </c>
      <c r="L692" s="20">
        <v>2617.4</v>
      </c>
      <c r="M692" s="21">
        <v>0.15</v>
      </c>
      <c r="N692" s="21">
        <v>0.68337754629117797</v>
      </c>
      <c r="O692" s="20">
        <f t="shared" si="40"/>
        <v>11123.949999999999</v>
      </c>
      <c r="P692" s="20">
        <f t="shared" si="41"/>
        <v>7601.8576560657484</v>
      </c>
      <c r="Q692" s="20">
        <f t="shared" si="42"/>
        <v>3522.0923439342505</v>
      </c>
      <c r="R692" s="22">
        <f t="shared" si="43"/>
        <v>0.31662245370882203</v>
      </c>
    </row>
    <row r="693" spans="1:18">
      <c r="A693" s="18">
        <v>1692</v>
      </c>
      <c r="B693" s="19" t="s">
        <v>308</v>
      </c>
      <c r="C693" s="18">
        <v>2024</v>
      </c>
      <c r="D693" s="18" t="s">
        <v>55</v>
      </c>
      <c r="E693" s="18" t="s">
        <v>85</v>
      </c>
      <c r="F693" s="18" t="s">
        <v>121</v>
      </c>
      <c r="G693" s="18" t="s">
        <v>41</v>
      </c>
      <c r="H693" s="18" t="s">
        <v>112</v>
      </c>
      <c r="I693" s="18" t="s">
        <v>40</v>
      </c>
      <c r="J693" s="18" t="s">
        <v>82</v>
      </c>
      <c r="K693" s="18">
        <v>11</v>
      </c>
      <c r="L693" s="20">
        <v>6030.58</v>
      </c>
      <c r="M693" s="21">
        <v>0.05</v>
      </c>
      <c r="N693" s="21">
        <v>0.55495911896471695</v>
      </c>
      <c r="O693" s="20">
        <f t="shared" si="40"/>
        <v>63019.561000000002</v>
      </c>
      <c r="P693" s="20">
        <f t="shared" si="41"/>
        <v>34973.28005010324</v>
      </c>
      <c r="Q693" s="20">
        <f t="shared" si="42"/>
        <v>28046.280949896762</v>
      </c>
      <c r="R693" s="22">
        <f t="shared" si="43"/>
        <v>0.445040881035283</v>
      </c>
    </row>
    <row r="694" spans="1:18">
      <c r="A694" s="18">
        <v>1693</v>
      </c>
      <c r="B694" s="19" t="s">
        <v>308</v>
      </c>
      <c r="C694" s="18">
        <v>2024</v>
      </c>
      <c r="D694" s="18" t="s">
        <v>55</v>
      </c>
      <c r="E694" s="18" t="s">
        <v>88</v>
      </c>
      <c r="F694" s="18" t="s">
        <v>89</v>
      </c>
      <c r="G694" s="18" t="s">
        <v>47</v>
      </c>
      <c r="H694" s="18" t="s">
        <v>81</v>
      </c>
      <c r="I694" s="18" t="s">
        <v>54</v>
      </c>
      <c r="J694" s="18" t="s">
        <v>82</v>
      </c>
      <c r="K694" s="18">
        <v>10</v>
      </c>
      <c r="L694" s="20">
        <v>811.31</v>
      </c>
      <c r="M694" s="21">
        <v>0.15</v>
      </c>
      <c r="N694" s="21">
        <v>0.65528676840982403</v>
      </c>
      <c r="O694" s="20">
        <f t="shared" si="40"/>
        <v>6896.1349999999993</v>
      </c>
      <c r="P694" s="20">
        <f t="shared" si="41"/>
        <v>4518.9460186678816</v>
      </c>
      <c r="Q694" s="20">
        <f t="shared" si="42"/>
        <v>2377.1889813321177</v>
      </c>
      <c r="R694" s="22">
        <f t="shared" si="43"/>
        <v>0.34471323159017592</v>
      </c>
    </row>
    <row r="695" spans="1:18">
      <c r="A695" s="18">
        <v>1694</v>
      </c>
      <c r="B695" s="19" t="s">
        <v>308</v>
      </c>
      <c r="C695" s="18">
        <v>2024</v>
      </c>
      <c r="D695" s="18" t="s">
        <v>55</v>
      </c>
      <c r="E695" s="18" t="s">
        <v>98</v>
      </c>
      <c r="F695" s="18" t="s">
        <v>117</v>
      </c>
      <c r="G695" s="18" t="s">
        <v>41</v>
      </c>
      <c r="H695" s="18" t="s">
        <v>90</v>
      </c>
      <c r="I695" s="18" t="s">
        <v>60</v>
      </c>
      <c r="J695" s="18" t="s">
        <v>91</v>
      </c>
      <c r="K695" s="18">
        <v>11</v>
      </c>
      <c r="L695" s="20">
        <v>18308.8</v>
      </c>
      <c r="M695" s="21">
        <v>0</v>
      </c>
      <c r="N695" s="21">
        <v>0.74516790138451405</v>
      </c>
      <c r="O695" s="20">
        <f t="shared" si="40"/>
        <v>201396.8</v>
      </c>
      <c r="P695" s="20">
        <f t="shared" si="41"/>
        <v>150074.43080155668</v>
      </c>
      <c r="Q695" s="20">
        <f t="shared" si="42"/>
        <v>51322.36919844331</v>
      </c>
      <c r="R695" s="22">
        <f t="shared" si="43"/>
        <v>0.254832098615486</v>
      </c>
    </row>
    <row r="696" spans="1:18">
      <c r="A696" s="18">
        <v>1695</v>
      </c>
      <c r="B696" s="19" t="s">
        <v>308</v>
      </c>
      <c r="C696" s="18">
        <v>2024</v>
      </c>
      <c r="D696" s="18" t="s">
        <v>55</v>
      </c>
      <c r="E696" s="18" t="s">
        <v>85</v>
      </c>
      <c r="F696" s="18" t="s">
        <v>86</v>
      </c>
      <c r="G696" s="18" t="s">
        <v>50</v>
      </c>
      <c r="H696" s="18" t="s">
        <v>97</v>
      </c>
      <c r="I696" s="18" t="s">
        <v>62</v>
      </c>
      <c r="J696" s="18" t="s">
        <v>102</v>
      </c>
      <c r="K696" s="18">
        <v>9</v>
      </c>
      <c r="L696" s="20">
        <v>12532.08</v>
      </c>
      <c r="M696" s="21">
        <v>0.2</v>
      </c>
      <c r="N696" s="21">
        <v>0.62221297382944496</v>
      </c>
      <c r="O696" s="20">
        <f t="shared" si="40"/>
        <v>90230.97600000001</v>
      </c>
      <c r="P696" s="20">
        <f t="shared" si="41"/>
        <v>56142.883908493284</v>
      </c>
      <c r="Q696" s="20">
        <f t="shared" si="42"/>
        <v>34088.092091506725</v>
      </c>
      <c r="R696" s="22">
        <f t="shared" si="43"/>
        <v>0.37778702617055504</v>
      </c>
    </row>
    <row r="697" spans="1:18">
      <c r="A697" s="18">
        <v>1696</v>
      </c>
      <c r="B697" s="19" t="s">
        <v>309</v>
      </c>
      <c r="C697" s="18">
        <v>2024</v>
      </c>
      <c r="D697" s="18" t="s">
        <v>55</v>
      </c>
      <c r="E697" s="18" t="s">
        <v>85</v>
      </c>
      <c r="F697" s="18" t="s">
        <v>121</v>
      </c>
      <c r="G697" s="18" t="s">
        <v>50</v>
      </c>
      <c r="H697" s="18" t="s">
        <v>97</v>
      </c>
      <c r="I697" s="18" t="s">
        <v>40</v>
      </c>
      <c r="J697" s="18" t="s">
        <v>91</v>
      </c>
      <c r="K697" s="18">
        <v>6</v>
      </c>
      <c r="L697" s="20">
        <v>11821.63</v>
      </c>
      <c r="M697" s="21">
        <v>0.1</v>
      </c>
      <c r="N697" s="21">
        <v>0.72486034715329595</v>
      </c>
      <c r="O697" s="20">
        <f t="shared" si="40"/>
        <v>63836.802000000003</v>
      </c>
      <c r="P697" s="20">
        <f t="shared" si="41"/>
        <v>46272.76645887622</v>
      </c>
      <c r="Q697" s="20">
        <f t="shared" si="42"/>
        <v>17564.035541123783</v>
      </c>
      <c r="R697" s="22">
        <f t="shared" si="43"/>
        <v>0.27513965284670405</v>
      </c>
    </row>
    <row r="698" spans="1:18">
      <c r="A698" s="18">
        <v>1697</v>
      </c>
      <c r="B698" s="19" t="s">
        <v>309</v>
      </c>
      <c r="C698" s="18">
        <v>2024</v>
      </c>
      <c r="D698" s="18" t="s">
        <v>55</v>
      </c>
      <c r="E698" s="18" t="s">
        <v>79</v>
      </c>
      <c r="F698" s="18" t="s">
        <v>100</v>
      </c>
      <c r="G698" s="18" t="s">
        <v>50</v>
      </c>
      <c r="H698" s="18" t="s">
        <v>87</v>
      </c>
      <c r="I698" s="18" t="s">
        <v>56</v>
      </c>
      <c r="J698" s="18" t="s">
        <v>91</v>
      </c>
      <c r="K698" s="18">
        <v>5</v>
      </c>
      <c r="L698" s="20">
        <v>9180.6</v>
      </c>
      <c r="M698" s="21">
        <v>0.2</v>
      </c>
      <c r="N698" s="21">
        <v>0.74407213464040101</v>
      </c>
      <c r="O698" s="20">
        <f t="shared" si="40"/>
        <v>36722.400000000001</v>
      </c>
      <c r="P698" s="20">
        <f t="shared" si="41"/>
        <v>27324.114557118664</v>
      </c>
      <c r="Q698" s="20">
        <f t="shared" si="42"/>
        <v>9398.2854428813371</v>
      </c>
      <c r="R698" s="22">
        <f t="shared" si="43"/>
        <v>0.25592786535959894</v>
      </c>
    </row>
    <row r="699" spans="1:18">
      <c r="A699" s="18">
        <v>1698</v>
      </c>
      <c r="B699" s="19" t="s">
        <v>309</v>
      </c>
      <c r="C699" s="18">
        <v>2024</v>
      </c>
      <c r="D699" s="18" t="s">
        <v>55</v>
      </c>
      <c r="E699" s="18" t="s">
        <v>85</v>
      </c>
      <c r="F699" s="18" t="s">
        <v>94</v>
      </c>
      <c r="G699" s="18" t="s">
        <v>50</v>
      </c>
      <c r="H699" s="18" t="s">
        <v>83</v>
      </c>
      <c r="I699" s="18" t="s">
        <v>62</v>
      </c>
      <c r="J699" s="18" t="s">
        <v>102</v>
      </c>
      <c r="K699" s="18">
        <v>2</v>
      </c>
      <c r="L699" s="20">
        <v>3375.27</v>
      </c>
      <c r="M699" s="21">
        <v>0.05</v>
      </c>
      <c r="N699" s="21">
        <v>0.64492262600121297</v>
      </c>
      <c r="O699" s="20">
        <f t="shared" si="40"/>
        <v>6413.0129999999999</v>
      </c>
      <c r="P699" s="20">
        <f t="shared" si="41"/>
        <v>4135.8971845399165</v>
      </c>
      <c r="Q699" s="20">
        <f t="shared" si="42"/>
        <v>2277.1158154600835</v>
      </c>
      <c r="R699" s="22">
        <f t="shared" si="43"/>
        <v>0.35507737399878708</v>
      </c>
    </row>
    <row r="700" spans="1:18">
      <c r="A700" s="18">
        <v>1699</v>
      </c>
      <c r="B700" s="19" t="s">
        <v>310</v>
      </c>
      <c r="C700" s="18">
        <v>2024</v>
      </c>
      <c r="D700" s="18" t="s">
        <v>55</v>
      </c>
      <c r="E700" s="18" t="s">
        <v>79</v>
      </c>
      <c r="F700" s="18" t="s">
        <v>80</v>
      </c>
      <c r="G700" s="18" t="s">
        <v>50</v>
      </c>
      <c r="H700" s="18" t="s">
        <v>83</v>
      </c>
      <c r="I700" s="18" t="s">
        <v>40</v>
      </c>
      <c r="J700" s="18" t="s">
        <v>91</v>
      </c>
      <c r="K700" s="18">
        <v>11</v>
      </c>
      <c r="L700" s="20">
        <v>3645.04</v>
      </c>
      <c r="M700" s="21">
        <v>0.1</v>
      </c>
      <c r="N700" s="21">
        <v>0.58497860216470599</v>
      </c>
      <c r="O700" s="20">
        <f t="shared" si="40"/>
        <v>36085.896000000001</v>
      </c>
      <c r="P700" s="20">
        <f t="shared" si="41"/>
        <v>21109.476999940955</v>
      </c>
      <c r="Q700" s="20">
        <f t="shared" si="42"/>
        <v>14976.419000059046</v>
      </c>
      <c r="R700" s="22">
        <f t="shared" si="43"/>
        <v>0.41502139783529401</v>
      </c>
    </row>
    <row r="701" spans="1:18">
      <c r="A701" s="18">
        <v>1700</v>
      </c>
      <c r="B701" s="19" t="s">
        <v>310</v>
      </c>
      <c r="C701" s="18">
        <v>2024</v>
      </c>
      <c r="D701" s="18" t="s">
        <v>55</v>
      </c>
      <c r="E701" s="18" t="s">
        <v>85</v>
      </c>
      <c r="F701" s="18" t="s">
        <v>94</v>
      </c>
      <c r="G701" s="18" t="s">
        <v>44</v>
      </c>
      <c r="H701" s="18" t="s">
        <v>119</v>
      </c>
      <c r="I701" s="18" t="s">
        <v>46</v>
      </c>
      <c r="J701" s="18" t="s">
        <v>91</v>
      </c>
      <c r="K701" s="18">
        <v>5</v>
      </c>
      <c r="L701" s="20">
        <v>7037.71</v>
      </c>
      <c r="M701" s="21">
        <v>0</v>
      </c>
      <c r="N701" s="21">
        <v>0.71455984387732796</v>
      </c>
      <c r="O701" s="20">
        <f t="shared" si="40"/>
        <v>35188.550000000003</v>
      </c>
      <c r="P701" s="20">
        <f t="shared" si="41"/>
        <v>25144.324794269553</v>
      </c>
      <c r="Q701" s="20">
        <f t="shared" si="42"/>
        <v>10044.22520573045</v>
      </c>
      <c r="R701" s="22">
        <f t="shared" si="43"/>
        <v>0.28544015612267198</v>
      </c>
    </row>
    <row r="702" spans="1:18">
      <c r="A702" s="18">
        <v>1701</v>
      </c>
      <c r="B702" s="19" t="s">
        <v>310</v>
      </c>
      <c r="C702" s="18">
        <v>2024</v>
      </c>
      <c r="D702" s="18" t="s">
        <v>55</v>
      </c>
      <c r="E702" s="18" t="s">
        <v>98</v>
      </c>
      <c r="F702" s="18" t="s">
        <v>99</v>
      </c>
      <c r="G702" s="18" t="s">
        <v>47</v>
      </c>
      <c r="H702" s="18" t="s">
        <v>107</v>
      </c>
      <c r="I702" s="18" t="s">
        <v>60</v>
      </c>
      <c r="J702" s="18" t="s">
        <v>102</v>
      </c>
      <c r="K702" s="18">
        <v>8</v>
      </c>
      <c r="L702" s="20">
        <v>2139.39</v>
      </c>
      <c r="M702" s="21">
        <v>0</v>
      </c>
      <c r="N702" s="21">
        <v>0.58080479392808204</v>
      </c>
      <c r="O702" s="20">
        <f t="shared" si="40"/>
        <v>17115.12</v>
      </c>
      <c r="P702" s="20">
        <f t="shared" si="41"/>
        <v>9940.5437446543947</v>
      </c>
      <c r="Q702" s="20">
        <f t="shared" si="42"/>
        <v>7174.5762553456043</v>
      </c>
      <c r="R702" s="22">
        <f t="shared" si="43"/>
        <v>0.41919520607191796</v>
      </c>
    </row>
    <row r="703" spans="1:18">
      <c r="A703" s="18">
        <v>1702</v>
      </c>
      <c r="B703" s="19" t="s">
        <v>310</v>
      </c>
      <c r="C703" s="18">
        <v>2024</v>
      </c>
      <c r="D703" s="18" t="s">
        <v>55</v>
      </c>
      <c r="E703" s="18" t="s">
        <v>98</v>
      </c>
      <c r="F703" s="18" t="s">
        <v>99</v>
      </c>
      <c r="G703" s="18" t="s">
        <v>50</v>
      </c>
      <c r="H703" s="18" t="s">
        <v>83</v>
      </c>
      <c r="I703" s="18" t="s">
        <v>52</v>
      </c>
      <c r="J703" s="18" t="s">
        <v>91</v>
      </c>
      <c r="K703" s="18">
        <v>3</v>
      </c>
      <c r="L703" s="20">
        <v>3497.16</v>
      </c>
      <c r="M703" s="21">
        <v>0.2</v>
      </c>
      <c r="N703" s="21">
        <v>0.67895716912262205</v>
      </c>
      <c r="O703" s="20">
        <f t="shared" si="40"/>
        <v>8393.1839999999993</v>
      </c>
      <c r="P703" s="20">
        <f t="shared" si="41"/>
        <v>5698.6124485652854</v>
      </c>
      <c r="Q703" s="20">
        <f t="shared" si="42"/>
        <v>2694.5715514347139</v>
      </c>
      <c r="R703" s="22">
        <f t="shared" si="43"/>
        <v>0.32104283087737789</v>
      </c>
    </row>
    <row r="704" spans="1:18">
      <c r="A704" s="18">
        <v>1703</v>
      </c>
      <c r="B704" s="19" t="s">
        <v>311</v>
      </c>
      <c r="C704" s="18">
        <v>2024</v>
      </c>
      <c r="D704" s="18" t="s">
        <v>55</v>
      </c>
      <c r="E704" s="18" t="s">
        <v>79</v>
      </c>
      <c r="F704" s="18" t="s">
        <v>105</v>
      </c>
      <c r="G704" s="18" t="s">
        <v>50</v>
      </c>
      <c r="H704" s="18" t="s">
        <v>83</v>
      </c>
      <c r="I704" s="18" t="s">
        <v>62</v>
      </c>
      <c r="J704" s="18" t="s">
        <v>102</v>
      </c>
      <c r="K704" s="18">
        <v>6</v>
      </c>
      <c r="L704" s="20">
        <v>3528.37</v>
      </c>
      <c r="M704" s="21">
        <v>0.15</v>
      </c>
      <c r="N704" s="21">
        <v>0.63721370230368701</v>
      </c>
      <c r="O704" s="20">
        <f t="shared" si="40"/>
        <v>17994.687000000002</v>
      </c>
      <c r="P704" s="20">
        <f t="shared" si="41"/>
        <v>11466.461125066027</v>
      </c>
      <c r="Q704" s="20">
        <f t="shared" si="42"/>
        <v>6528.2258749339744</v>
      </c>
      <c r="R704" s="22">
        <f t="shared" si="43"/>
        <v>0.36278629769631304</v>
      </c>
    </row>
    <row r="705" spans="1:18">
      <c r="A705" s="18">
        <v>1704</v>
      </c>
      <c r="B705" s="19" t="s">
        <v>311</v>
      </c>
      <c r="C705" s="18">
        <v>2024</v>
      </c>
      <c r="D705" s="18" t="s">
        <v>55</v>
      </c>
      <c r="E705" s="18" t="s">
        <v>98</v>
      </c>
      <c r="F705" s="18" t="s">
        <v>99</v>
      </c>
      <c r="G705" s="18" t="s">
        <v>50</v>
      </c>
      <c r="H705" s="18" t="s">
        <v>87</v>
      </c>
      <c r="I705" s="18" t="s">
        <v>43</v>
      </c>
      <c r="J705" s="18" t="s">
        <v>91</v>
      </c>
      <c r="K705" s="18">
        <v>9</v>
      </c>
      <c r="L705" s="20">
        <v>9721.31</v>
      </c>
      <c r="M705" s="21">
        <v>0</v>
      </c>
      <c r="N705" s="21">
        <v>0.71905601361325</v>
      </c>
      <c r="O705" s="20">
        <f t="shared" si="40"/>
        <v>87491.79</v>
      </c>
      <c r="P705" s="20">
        <f t="shared" si="41"/>
        <v>62911.497741287603</v>
      </c>
      <c r="Q705" s="20">
        <f t="shared" si="42"/>
        <v>24580.29225871239</v>
      </c>
      <c r="R705" s="22">
        <f t="shared" si="43"/>
        <v>0.28094398638675</v>
      </c>
    </row>
    <row r="706" spans="1:18">
      <c r="A706" s="18">
        <v>1705</v>
      </c>
      <c r="B706" s="19" t="s">
        <v>312</v>
      </c>
      <c r="C706" s="18">
        <v>2024</v>
      </c>
      <c r="D706" s="18" t="s">
        <v>55</v>
      </c>
      <c r="E706" s="18" t="s">
        <v>79</v>
      </c>
      <c r="F706" s="18" t="s">
        <v>100</v>
      </c>
      <c r="G706" s="18" t="s">
        <v>47</v>
      </c>
      <c r="H706" s="18" t="s">
        <v>107</v>
      </c>
      <c r="I706" s="18" t="s">
        <v>46</v>
      </c>
      <c r="J706" s="18" t="s">
        <v>91</v>
      </c>
      <c r="K706" s="18">
        <v>3</v>
      </c>
      <c r="L706" s="20">
        <v>2101.64</v>
      </c>
      <c r="M706" s="21">
        <v>0.05</v>
      </c>
      <c r="N706" s="21">
        <v>0.63390280103124297</v>
      </c>
      <c r="O706" s="20">
        <f t="shared" ref="O706:O769" si="44">K706*L706*(1-M706)</f>
        <v>5989.674</v>
      </c>
      <c r="P706" s="20">
        <f t="shared" ref="P706:P769" si="45">O706*N706</f>
        <v>3796.8711258640092</v>
      </c>
      <c r="Q706" s="20">
        <f t="shared" ref="Q706:Q769" si="46">O706-P706</f>
        <v>2192.8028741359908</v>
      </c>
      <c r="R706" s="22">
        <f t="shared" ref="R706:R769" si="47">IF(O706=0,0,Q706/O706)</f>
        <v>0.36609719896875703</v>
      </c>
    </row>
    <row r="707" spans="1:18">
      <c r="A707" s="18">
        <v>1706</v>
      </c>
      <c r="B707" s="19" t="s">
        <v>312</v>
      </c>
      <c r="C707" s="18">
        <v>2024</v>
      </c>
      <c r="D707" s="18" t="s">
        <v>55</v>
      </c>
      <c r="E707" s="18" t="s">
        <v>98</v>
      </c>
      <c r="F707" s="18" t="s">
        <v>117</v>
      </c>
      <c r="G707" s="18" t="s">
        <v>47</v>
      </c>
      <c r="H707" s="18" t="s">
        <v>107</v>
      </c>
      <c r="I707" s="18" t="s">
        <v>60</v>
      </c>
      <c r="J707" s="18" t="s">
        <v>102</v>
      </c>
      <c r="K707" s="18">
        <v>2</v>
      </c>
      <c r="L707" s="20">
        <v>2203.0500000000002</v>
      </c>
      <c r="M707" s="21">
        <v>0.2</v>
      </c>
      <c r="N707" s="21">
        <v>0.58664949948294398</v>
      </c>
      <c r="O707" s="20">
        <f t="shared" si="44"/>
        <v>3524.8800000000006</v>
      </c>
      <c r="P707" s="20">
        <f t="shared" si="45"/>
        <v>2067.8690877374397</v>
      </c>
      <c r="Q707" s="20">
        <f t="shared" si="46"/>
        <v>1457.0109122625609</v>
      </c>
      <c r="R707" s="22">
        <f t="shared" si="47"/>
        <v>0.41335050051705607</v>
      </c>
    </row>
    <row r="708" spans="1:18">
      <c r="A708" s="18">
        <v>1707</v>
      </c>
      <c r="B708" s="19" t="s">
        <v>312</v>
      </c>
      <c r="C708" s="18">
        <v>2024</v>
      </c>
      <c r="D708" s="18" t="s">
        <v>55</v>
      </c>
      <c r="E708" s="18" t="s">
        <v>79</v>
      </c>
      <c r="F708" s="18" t="s">
        <v>80</v>
      </c>
      <c r="G708" s="18" t="s">
        <v>44</v>
      </c>
      <c r="H708" s="18" t="s">
        <v>95</v>
      </c>
      <c r="I708" s="18" t="s">
        <v>54</v>
      </c>
      <c r="J708" s="18" t="s">
        <v>91</v>
      </c>
      <c r="K708" s="18">
        <v>11</v>
      </c>
      <c r="L708" s="20">
        <v>4634.9399999999996</v>
      </c>
      <c r="M708" s="21">
        <v>0.05</v>
      </c>
      <c r="N708" s="21">
        <v>0.68708874389226404</v>
      </c>
      <c r="O708" s="20">
        <f t="shared" si="44"/>
        <v>48435.122999999992</v>
      </c>
      <c r="P708" s="20">
        <f t="shared" si="45"/>
        <v>33279.2278223373</v>
      </c>
      <c r="Q708" s="20">
        <f t="shared" si="46"/>
        <v>15155.895177662693</v>
      </c>
      <c r="R708" s="22">
        <f t="shared" si="47"/>
        <v>0.31291125610773601</v>
      </c>
    </row>
    <row r="709" spans="1:18">
      <c r="A709" s="18">
        <v>1708</v>
      </c>
      <c r="B709" s="19" t="s">
        <v>313</v>
      </c>
      <c r="C709" s="18">
        <v>2024</v>
      </c>
      <c r="D709" s="18" t="s">
        <v>55</v>
      </c>
      <c r="E709" s="18" t="s">
        <v>79</v>
      </c>
      <c r="F709" s="18" t="s">
        <v>80</v>
      </c>
      <c r="G709" s="18" t="s">
        <v>47</v>
      </c>
      <c r="H709" s="18" t="s">
        <v>81</v>
      </c>
      <c r="I709" s="18" t="s">
        <v>40</v>
      </c>
      <c r="J709" s="18" t="s">
        <v>82</v>
      </c>
      <c r="K709" s="18">
        <v>9</v>
      </c>
      <c r="L709" s="20">
        <v>782.51</v>
      </c>
      <c r="M709" s="21">
        <v>0.1</v>
      </c>
      <c r="N709" s="21">
        <v>0.63239890089677697</v>
      </c>
      <c r="O709" s="20">
        <f t="shared" si="44"/>
        <v>6338.3310000000001</v>
      </c>
      <c r="P709" s="20">
        <f t="shared" si="45"/>
        <v>4008.3535579199693</v>
      </c>
      <c r="Q709" s="20">
        <f t="shared" si="46"/>
        <v>2329.9774420800309</v>
      </c>
      <c r="R709" s="22">
        <f t="shared" si="47"/>
        <v>0.36760109910322303</v>
      </c>
    </row>
    <row r="710" spans="1:18">
      <c r="A710" s="18">
        <v>1709</v>
      </c>
      <c r="B710" s="19" t="s">
        <v>313</v>
      </c>
      <c r="C710" s="18">
        <v>2024</v>
      </c>
      <c r="D710" s="18" t="s">
        <v>55</v>
      </c>
      <c r="E710" s="18" t="s">
        <v>88</v>
      </c>
      <c r="F710" s="18" t="s">
        <v>110</v>
      </c>
      <c r="G710" s="18" t="s">
        <v>44</v>
      </c>
      <c r="H710" s="18" t="s">
        <v>119</v>
      </c>
      <c r="I710" s="18" t="s">
        <v>60</v>
      </c>
      <c r="J710" s="18" t="s">
        <v>82</v>
      </c>
      <c r="K710" s="18">
        <v>4</v>
      </c>
      <c r="L710" s="20">
        <v>7206.57</v>
      </c>
      <c r="M710" s="21">
        <v>0.15</v>
      </c>
      <c r="N710" s="21">
        <v>0.67268567188032402</v>
      </c>
      <c r="O710" s="20">
        <f t="shared" si="44"/>
        <v>24502.338</v>
      </c>
      <c r="P710" s="20">
        <f t="shared" si="45"/>
        <v>16482.371700168795</v>
      </c>
      <c r="Q710" s="20">
        <f t="shared" si="46"/>
        <v>8019.9662998312051</v>
      </c>
      <c r="R710" s="22">
        <f t="shared" si="47"/>
        <v>0.32731432811967598</v>
      </c>
    </row>
    <row r="711" spans="1:18">
      <c r="A711" s="18">
        <v>1710</v>
      </c>
      <c r="B711" s="19" t="s">
        <v>313</v>
      </c>
      <c r="C711" s="18">
        <v>2024</v>
      </c>
      <c r="D711" s="18" t="s">
        <v>55</v>
      </c>
      <c r="E711" s="18" t="s">
        <v>79</v>
      </c>
      <c r="F711" s="18" t="s">
        <v>105</v>
      </c>
      <c r="G711" s="18" t="s">
        <v>50</v>
      </c>
      <c r="H711" s="18" t="s">
        <v>83</v>
      </c>
      <c r="I711" s="18" t="s">
        <v>43</v>
      </c>
      <c r="J711" s="18" t="s">
        <v>82</v>
      </c>
      <c r="K711" s="18">
        <v>1</v>
      </c>
      <c r="L711" s="20">
        <v>3492.83</v>
      </c>
      <c r="M711" s="21">
        <v>0.05</v>
      </c>
      <c r="N711" s="21">
        <v>0.68821014070893605</v>
      </c>
      <c r="O711" s="20">
        <f t="shared" si="44"/>
        <v>3318.1884999999997</v>
      </c>
      <c r="P711" s="20">
        <f t="shared" si="45"/>
        <v>2283.6109744837731</v>
      </c>
      <c r="Q711" s="20">
        <f t="shared" si="46"/>
        <v>1034.5775255162266</v>
      </c>
      <c r="R711" s="22">
        <f t="shared" si="47"/>
        <v>0.31178985929106401</v>
      </c>
    </row>
    <row r="712" spans="1:18">
      <c r="A712" s="18">
        <v>1711</v>
      </c>
      <c r="B712" s="19" t="s">
        <v>313</v>
      </c>
      <c r="C712" s="18">
        <v>2024</v>
      </c>
      <c r="D712" s="18" t="s">
        <v>55</v>
      </c>
      <c r="E712" s="18" t="s">
        <v>88</v>
      </c>
      <c r="F712" s="18" t="s">
        <v>89</v>
      </c>
      <c r="G712" s="18" t="s">
        <v>47</v>
      </c>
      <c r="H712" s="18" t="s">
        <v>81</v>
      </c>
      <c r="I712" s="18" t="s">
        <v>52</v>
      </c>
      <c r="J712" s="18" t="s">
        <v>82</v>
      </c>
      <c r="K712" s="18">
        <v>12</v>
      </c>
      <c r="L712" s="20">
        <v>825.17</v>
      </c>
      <c r="M712" s="21">
        <v>0</v>
      </c>
      <c r="N712" s="21">
        <v>0.57574289568784098</v>
      </c>
      <c r="O712" s="20">
        <f t="shared" si="44"/>
        <v>9902.0399999999991</v>
      </c>
      <c r="P712" s="20">
        <f t="shared" si="45"/>
        <v>5701.0291828168283</v>
      </c>
      <c r="Q712" s="20">
        <f t="shared" si="46"/>
        <v>4201.0108171831707</v>
      </c>
      <c r="R712" s="22">
        <f t="shared" si="47"/>
        <v>0.42425710431215902</v>
      </c>
    </row>
    <row r="713" spans="1:18">
      <c r="A713" s="18">
        <v>1712</v>
      </c>
      <c r="B713" s="19" t="s">
        <v>314</v>
      </c>
      <c r="C713" s="18">
        <v>2024</v>
      </c>
      <c r="D713" s="18" t="s">
        <v>55</v>
      </c>
      <c r="E713" s="18" t="s">
        <v>88</v>
      </c>
      <c r="F713" s="18" t="s">
        <v>89</v>
      </c>
      <c r="G713" s="18" t="s">
        <v>44</v>
      </c>
      <c r="H713" s="18" t="s">
        <v>119</v>
      </c>
      <c r="I713" s="18" t="s">
        <v>46</v>
      </c>
      <c r="J713" s="18" t="s">
        <v>82</v>
      </c>
      <c r="K713" s="18">
        <v>7</v>
      </c>
      <c r="L713" s="20">
        <v>7133.57</v>
      </c>
      <c r="M713" s="21">
        <v>0</v>
      </c>
      <c r="N713" s="21">
        <v>0.56554705950439899</v>
      </c>
      <c r="O713" s="20">
        <f t="shared" si="44"/>
        <v>49934.99</v>
      </c>
      <c r="P713" s="20">
        <f t="shared" si="45"/>
        <v>28240.586760881568</v>
      </c>
      <c r="Q713" s="20">
        <f t="shared" si="46"/>
        <v>21694.40323911843</v>
      </c>
      <c r="R713" s="22">
        <f t="shared" si="47"/>
        <v>0.43445294049560101</v>
      </c>
    </row>
    <row r="714" spans="1:18">
      <c r="A714" s="18">
        <v>1713</v>
      </c>
      <c r="B714" s="19" t="s">
        <v>314</v>
      </c>
      <c r="C714" s="18">
        <v>2024</v>
      </c>
      <c r="D714" s="18" t="s">
        <v>55</v>
      </c>
      <c r="E714" s="18" t="s">
        <v>85</v>
      </c>
      <c r="F714" s="18" t="s">
        <v>121</v>
      </c>
      <c r="G714" s="18" t="s">
        <v>41</v>
      </c>
      <c r="H714" s="18" t="s">
        <v>101</v>
      </c>
      <c r="I714" s="18" t="s">
        <v>43</v>
      </c>
      <c r="J714" s="18" t="s">
        <v>82</v>
      </c>
      <c r="K714" s="18">
        <v>11</v>
      </c>
      <c r="L714" s="20">
        <v>55074.14</v>
      </c>
      <c r="M714" s="21">
        <v>0</v>
      </c>
      <c r="N714" s="21">
        <v>0.64381646829682904</v>
      </c>
      <c r="O714" s="20">
        <f t="shared" si="44"/>
        <v>605815.54</v>
      </c>
      <c r="P714" s="20">
        <f t="shared" si="45"/>
        <v>390034.02140213636</v>
      </c>
      <c r="Q714" s="20">
        <f t="shared" si="46"/>
        <v>215781.51859786367</v>
      </c>
      <c r="R714" s="22">
        <f t="shared" si="47"/>
        <v>0.35618353170317102</v>
      </c>
    </row>
    <row r="715" spans="1:18">
      <c r="A715" s="18">
        <v>1714</v>
      </c>
      <c r="B715" s="19" t="s">
        <v>314</v>
      </c>
      <c r="C715" s="18">
        <v>2024</v>
      </c>
      <c r="D715" s="18" t="s">
        <v>55</v>
      </c>
      <c r="E715" s="18" t="s">
        <v>98</v>
      </c>
      <c r="F715" s="18" t="s">
        <v>117</v>
      </c>
      <c r="G715" s="18" t="s">
        <v>41</v>
      </c>
      <c r="H715" s="18" t="s">
        <v>106</v>
      </c>
      <c r="I715" s="18" t="s">
        <v>40</v>
      </c>
      <c r="J715" s="18" t="s">
        <v>82</v>
      </c>
      <c r="K715" s="18">
        <v>2</v>
      </c>
      <c r="L715" s="20">
        <v>2605.02</v>
      </c>
      <c r="M715" s="21">
        <v>0</v>
      </c>
      <c r="N715" s="21">
        <v>0.66752060935076296</v>
      </c>
      <c r="O715" s="20">
        <f t="shared" si="44"/>
        <v>5210.04</v>
      </c>
      <c r="P715" s="20">
        <f t="shared" si="45"/>
        <v>3477.8090755418489</v>
      </c>
      <c r="Q715" s="20">
        <f t="shared" si="46"/>
        <v>1732.2309244581511</v>
      </c>
      <c r="R715" s="22">
        <f t="shared" si="47"/>
        <v>0.33247939064923709</v>
      </c>
    </row>
    <row r="716" spans="1:18">
      <c r="A716" s="18">
        <v>1715</v>
      </c>
      <c r="B716" s="19" t="s">
        <v>315</v>
      </c>
      <c r="C716" s="18">
        <v>2024</v>
      </c>
      <c r="D716" s="18" t="s">
        <v>55</v>
      </c>
      <c r="E716" s="18" t="s">
        <v>88</v>
      </c>
      <c r="F716" s="18" t="s">
        <v>93</v>
      </c>
      <c r="G716" s="18" t="s">
        <v>47</v>
      </c>
      <c r="H716" s="18" t="s">
        <v>81</v>
      </c>
      <c r="I716" s="18" t="s">
        <v>43</v>
      </c>
      <c r="J716" s="18" t="s">
        <v>82</v>
      </c>
      <c r="K716" s="18">
        <v>12</v>
      </c>
      <c r="L716" s="20">
        <v>835.35</v>
      </c>
      <c r="M716" s="21">
        <v>0.15</v>
      </c>
      <c r="N716" s="21">
        <v>0.61956730835468099</v>
      </c>
      <c r="O716" s="20">
        <f t="shared" si="44"/>
        <v>8520.57</v>
      </c>
      <c r="P716" s="20">
        <f t="shared" si="45"/>
        <v>5279.0666205476437</v>
      </c>
      <c r="Q716" s="20">
        <f t="shared" si="46"/>
        <v>3241.5033794523561</v>
      </c>
      <c r="R716" s="22">
        <f t="shared" si="47"/>
        <v>0.38043269164531907</v>
      </c>
    </row>
    <row r="717" spans="1:18">
      <c r="A717" s="18">
        <v>1716</v>
      </c>
      <c r="B717" s="19" t="s">
        <v>315</v>
      </c>
      <c r="C717" s="18">
        <v>2024</v>
      </c>
      <c r="D717" s="18" t="s">
        <v>55</v>
      </c>
      <c r="E717" s="18" t="s">
        <v>88</v>
      </c>
      <c r="F717" s="18" t="s">
        <v>93</v>
      </c>
      <c r="G717" s="18" t="s">
        <v>44</v>
      </c>
      <c r="H717" s="18" t="s">
        <v>95</v>
      </c>
      <c r="I717" s="18" t="s">
        <v>62</v>
      </c>
      <c r="J717" s="18" t="s">
        <v>82</v>
      </c>
      <c r="K717" s="18">
        <v>2</v>
      </c>
      <c r="L717" s="20">
        <v>4643.8100000000004</v>
      </c>
      <c r="M717" s="21">
        <v>0</v>
      </c>
      <c r="N717" s="21">
        <v>0.65576774808317095</v>
      </c>
      <c r="O717" s="20">
        <f t="shared" si="44"/>
        <v>9287.6200000000008</v>
      </c>
      <c r="P717" s="20">
        <f t="shared" si="45"/>
        <v>6090.5216524522211</v>
      </c>
      <c r="Q717" s="20">
        <f t="shared" si="46"/>
        <v>3197.0983475477797</v>
      </c>
      <c r="R717" s="22">
        <f t="shared" si="47"/>
        <v>0.34423225191682899</v>
      </c>
    </row>
    <row r="718" spans="1:18">
      <c r="A718" s="18">
        <v>1717</v>
      </c>
      <c r="B718" s="19" t="s">
        <v>315</v>
      </c>
      <c r="C718" s="18">
        <v>2024</v>
      </c>
      <c r="D718" s="18" t="s">
        <v>55</v>
      </c>
      <c r="E718" s="18" t="s">
        <v>88</v>
      </c>
      <c r="F718" s="18" t="s">
        <v>89</v>
      </c>
      <c r="G718" s="18" t="s">
        <v>44</v>
      </c>
      <c r="H718" s="18" t="s">
        <v>95</v>
      </c>
      <c r="I718" s="18" t="s">
        <v>40</v>
      </c>
      <c r="J718" s="18" t="s">
        <v>102</v>
      </c>
      <c r="K718" s="18">
        <v>2</v>
      </c>
      <c r="L718" s="20">
        <v>4690.8999999999996</v>
      </c>
      <c r="M718" s="21">
        <v>0.15</v>
      </c>
      <c r="N718" s="21">
        <v>0.720259362023705</v>
      </c>
      <c r="O718" s="20">
        <f t="shared" si="44"/>
        <v>7974.5299999999988</v>
      </c>
      <c r="P718" s="20">
        <f t="shared" si="45"/>
        <v>5743.7298902388957</v>
      </c>
      <c r="Q718" s="20">
        <f t="shared" si="46"/>
        <v>2230.8001097611032</v>
      </c>
      <c r="R718" s="22">
        <f t="shared" si="47"/>
        <v>0.27974063797629495</v>
      </c>
    </row>
    <row r="719" spans="1:18">
      <c r="A719" s="18">
        <v>1718</v>
      </c>
      <c r="B719" s="19" t="s">
        <v>316</v>
      </c>
      <c r="C719" s="18">
        <v>2024</v>
      </c>
      <c r="D719" s="18" t="s">
        <v>55</v>
      </c>
      <c r="E719" s="18" t="s">
        <v>98</v>
      </c>
      <c r="F719" s="18" t="s">
        <v>99</v>
      </c>
      <c r="G719" s="18" t="s">
        <v>44</v>
      </c>
      <c r="H719" s="18" t="s">
        <v>114</v>
      </c>
      <c r="I719" s="18" t="s">
        <v>43</v>
      </c>
      <c r="J719" s="18" t="s">
        <v>82</v>
      </c>
      <c r="K719" s="18">
        <v>6</v>
      </c>
      <c r="L719" s="20">
        <v>9433.17</v>
      </c>
      <c r="M719" s="21">
        <v>0.1</v>
      </c>
      <c r="N719" s="21">
        <v>0.59285480009652802</v>
      </c>
      <c r="O719" s="20">
        <f t="shared" si="44"/>
        <v>50939.118000000002</v>
      </c>
      <c r="P719" s="20">
        <f t="shared" si="45"/>
        <v>30199.500618983453</v>
      </c>
      <c r="Q719" s="20">
        <f t="shared" si="46"/>
        <v>20739.617381016549</v>
      </c>
      <c r="R719" s="22">
        <f t="shared" si="47"/>
        <v>0.40714519990347198</v>
      </c>
    </row>
    <row r="720" spans="1:18">
      <c r="A720" s="18">
        <v>1719</v>
      </c>
      <c r="B720" s="19" t="s">
        <v>316</v>
      </c>
      <c r="C720" s="18">
        <v>2024</v>
      </c>
      <c r="D720" s="18" t="s">
        <v>55</v>
      </c>
      <c r="E720" s="18" t="s">
        <v>88</v>
      </c>
      <c r="F720" s="18" t="s">
        <v>89</v>
      </c>
      <c r="G720" s="18" t="s">
        <v>41</v>
      </c>
      <c r="H720" s="18" t="s">
        <v>106</v>
      </c>
      <c r="I720" s="18" t="s">
        <v>43</v>
      </c>
      <c r="J720" s="18" t="s">
        <v>91</v>
      </c>
      <c r="K720" s="18">
        <v>2</v>
      </c>
      <c r="L720" s="20">
        <v>2504.9299999999998</v>
      </c>
      <c r="M720" s="21">
        <v>0.1</v>
      </c>
      <c r="N720" s="21">
        <v>0.70245473587699303</v>
      </c>
      <c r="O720" s="20">
        <f t="shared" si="44"/>
        <v>4508.8739999999998</v>
      </c>
      <c r="P720" s="20">
        <f t="shared" si="45"/>
        <v>3167.279894772641</v>
      </c>
      <c r="Q720" s="20">
        <f t="shared" si="46"/>
        <v>1341.5941052273588</v>
      </c>
      <c r="R720" s="22">
        <f t="shared" si="47"/>
        <v>0.29754526412300697</v>
      </c>
    </row>
    <row r="721" spans="1:18">
      <c r="A721" s="18">
        <v>1720</v>
      </c>
      <c r="B721" s="19" t="s">
        <v>316</v>
      </c>
      <c r="C721" s="18">
        <v>2024</v>
      </c>
      <c r="D721" s="18" t="s">
        <v>55</v>
      </c>
      <c r="E721" s="18" t="s">
        <v>98</v>
      </c>
      <c r="F721" s="18" t="s">
        <v>99</v>
      </c>
      <c r="G721" s="18" t="s">
        <v>41</v>
      </c>
      <c r="H721" s="18" t="s">
        <v>90</v>
      </c>
      <c r="I721" s="18" t="s">
        <v>54</v>
      </c>
      <c r="J721" s="18" t="s">
        <v>91</v>
      </c>
      <c r="K721" s="18">
        <v>2</v>
      </c>
      <c r="L721" s="20">
        <v>17792.61</v>
      </c>
      <c r="M721" s="21">
        <v>0.1</v>
      </c>
      <c r="N721" s="21">
        <v>0.67007790168549797</v>
      </c>
      <c r="O721" s="20">
        <f t="shared" si="44"/>
        <v>32026.698</v>
      </c>
      <c r="P721" s="20">
        <f t="shared" si="45"/>
        <v>21460.382593755134</v>
      </c>
      <c r="Q721" s="20">
        <f t="shared" si="46"/>
        <v>10566.315406244867</v>
      </c>
      <c r="R721" s="22">
        <f t="shared" si="47"/>
        <v>0.32992209831450203</v>
      </c>
    </row>
    <row r="722" spans="1:18">
      <c r="A722" s="18">
        <v>1721</v>
      </c>
      <c r="B722" s="19" t="s">
        <v>316</v>
      </c>
      <c r="C722" s="18">
        <v>2024</v>
      </c>
      <c r="D722" s="18" t="s">
        <v>55</v>
      </c>
      <c r="E722" s="18" t="s">
        <v>98</v>
      </c>
      <c r="F722" s="18" t="s">
        <v>99</v>
      </c>
      <c r="G722" s="18" t="s">
        <v>50</v>
      </c>
      <c r="H722" s="18" t="s">
        <v>83</v>
      </c>
      <c r="I722" s="18" t="s">
        <v>60</v>
      </c>
      <c r="J722" s="18" t="s">
        <v>91</v>
      </c>
      <c r="K722" s="18">
        <v>5</v>
      </c>
      <c r="L722" s="20">
        <v>3669.74</v>
      </c>
      <c r="M722" s="21">
        <v>0.1</v>
      </c>
      <c r="N722" s="21">
        <v>0.58775699713345397</v>
      </c>
      <c r="O722" s="20">
        <f t="shared" si="44"/>
        <v>16513.829999999998</v>
      </c>
      <c r="P722" s="20">
        <f t="shared" si="45"/>
        <v>9706.1191319723457</v>
      </c>
      <c r="Q722" s="20">
        <f t="shared" si="46"/>
        <v>6807.7108680276524</v>
      </c>
      <c r="R722" s="22">
        <f t="shared" si="47"/>
        <v>0.41224300286654597</v>
      </c>
    </row>
    <row r="723" spans="1:18">
      <c r="A723" s="18">
        <v>1722</v>
      </c>
      <c r="B723" s="19" t="s">
        <v>316</v>
      </c>
      <c r="C723" s="18">
        <v>2024</v>
      </c>
      <c r="D723" s="18" t="s">
        <v>55</v>
      </c>
      <c r="E723" s="18" t="s">
        <v>79</v>
      </c>
      <c r="F723" s="18" t="s">
        <v>105</v>
      </c>
      <c r="G723" s="18" t="s">
        <v>47</v>
      </c>
      <c r="H723" s="18" t="s">
        <v>81</v>
      </c>
      <c r="I723" s="18" t="s">
        <v>40</v>
      </c>
      <c r="J723" s="18" t="s">
        <v>102</v>
      </c>
      <c r="K723" s="18">
        <v>8</v>
      </c>
      <c r="L723" s="20">
        <v>813.77</v>
      </c>
      <c r="M723" s="21">
        <v>0.1</v>
      </c>
      <c r="N723" s="21">
        <v>0.63761167008081399</v>
      </c>
      <c r="O723" s="20">
        <f t="shared" si="44"/>
        <v>5859.1440000000002</v>
      </c>
      <c r="P723" s="20">
        <f t="shared" si="45"/>
        <v>3735.8585910839811</v>
      </c>
      <c r="Q723" s="20">
        <f t="shared" si="46"/>
        <v>2123.2854089160192</v>
      </c>
      <c r="R723" s="22">
        <f t="shared" si="47"/>
        <v>0.36238832991918601</v>
      </c>
    </row>
    <row r="724" spans="1:18">
      <c r="A724" s="18">
        <v>1723</v>
      </c>
      <c r="B724" s="19" t="s">
        <v>317</v>
      </c>
      <c r="C724" s="18">
        <v>2024</v>
      </c>
      <c r="D724" s="18" t="s">
        <v>55</v>
      </c>
      <c r="E724" s="18" t="s">
        <v>79</v>
      </c>
      <c r="F724" s="18" t="s">
        <v>100</v>
      </c>
      <c r="G724" s="18" t="s">
        <v>50</v>
      </c>
      <c r="H724" s="18" t="s">
        <v>97</v>
      </c>
      <c r="I724" s="18" t="s">
        <v>62</v>
      </c>
      <c r="J724" s="18" t="s">
        <v>82</v>
      </c>
      <c r="K724" s="18">
        <v>12</v>
      </c>
      <c r="L724" s="20">
        <v>12510.35</v>
      </c>
      <c r="M724" s="21">
        <v>0</v>
      </c>
      <c r="N724" s="21">
        <v>0.56294208223180497</v>
      </c>
      <c r="O724" s="20">
        <f t="shared" si="44"/>
        <v>150124.20000000001</v>
      </c>
      <c r="P724" s="20">
        <f t="shared" si="45"/>
        <v>84511.229741383941</v>
      </c>
      <c r="Q724" s="20">
        <f t="shared" si="46"/>
        <v>65612.970258616071</v>
      </c>
      <c r="R724" s="22">
        <f t="shared" si="47"/>
        <v>0.43705791776819503</v>
      </c>
    </row>
    <row r="725" spans="1:18">
      <c r="A725" s="18">
        <v>1724</v>
      </c>
      <c r="B725" s="19" t="s">
        <v>317</v>
      </c>
      <c r="C725" s="18">
        <v>2024</v>
      </c>
      <c r="D725" s="18" t="s">
        <v>55</v>
      </c>
      <c r="E725" s="18" t="s">
        <v>88</v>
      </c>
      <c r="F725" s="18" t="s">
        <v>89</v>
      </c>
      <c r="G725" s="18" t="s">
        <v>44</v>
      </c>
      <c r="H725" s="18" t="s">
        <v>95</v>
      </c>
      <c r="I725" s="18" t="s">
        <v>56</v>
      </c>
      <c r="J725" s="18" t="s">
        <v>82</v>
      </c>
      <c r="K725" s="18">
        <v>4</v>
      </c>
      <c r="L725" s="20">
        <v>4652.1499999999996</v>
      </c>
      <c r="M725" s="21">
        <v>0.2</v>
      </c>
      <c r="N725" s="21">
        <v>0.64982202243584097</v>
      </c>
      <c r="O725" s="20">
        <f t="shared" si="44"/>
        <v>14886.88</v>
      </c>
      <c r="P725" s="20">
        <f t="shared" si="45"/>
        <v>9673.8224693596712</v>
      </c>
      <c r="Q725" s="20">
        <f t="shared" si="46"/>
        <v>5213.057530640328</v>
      </c>
      <c r="R725" s="22">
        <f t="shared" si="47"/>
        <v>0.35017797756415908</v>
      </c>
    </row>
    <row r="726" spans="1:18">
      <c r="A726" s="18">
        <v>1725</v>
      </c>
      <c r="B726" s="19" t="s">
        <v>318</v>
      </c>
      <c r="C726" s="18">
        <v>2024</v>
      </c>
      <c r="D726" s="18" t="s">
        <v>55</v>
      </c>
      <c r="E726" s="18" t="s">
        <v>85</v>
      </c>
      <c r="F726" s="18" t="s">
        <v>121</v>
      </c>
      <c r="G726" s="18" t="s">
        <v>50</v>
      </c>
      <c r="H726" s="18" t="s">
        <v>87</v>
      </c>
      <c r="I726" s="18" t="s">
        <v>62</v>
      </c>
      <c r="J726" s="18" t="s">
        <v>91</v>
      </c>
      <c r="K726" s="18">
        <v>8</v>
      </c>
      <c r="L726" s="20">
        <v>9510.84</v>
      </c>
      <c r="M726" s="21">
        <v>0</v>
      </c>
      <c r="N726" s="21">
        <v>0.70359991111551901</v>
      </c>
      <c r="O726" s="20">
        <f t="shared" si="44"/>
        <v>76086.720000000001</v>
      </c>
      <c r="P726" s="20">
        <f t="shared" si="45"/>
        <v>53534.609429071381</v>
      </c>
      <c r="Q726" s="20">
        <f t="shared" si="46"/>
        <v>22552.11057092862</v>
      </c>
      <c r="R726" s="22">
        <f t="shared" si="47"/>
        <v>0.29640008888448105</v>
      </c>
    </row>
    <row r="727" spans="1:18">
      <c r="A727" s="18">
        <v>1726</v>
      </c>
      <c r="B727" s="19" t="s">
        <v>318</v>
      </c>
      <c r="C727" s="18">
        <v>2024</v>
      </c>
      <c r="D727" s="18" t="s">
        <v>55</v>
      </c>
      <c r="E727" s="18" t="s">
        <v>79</v>
      </c>
      <c r="F727" s="18" t="s">
        <v>100</v>
      </c>
      <c r="G727" s="18" t="s">
        <v>47</v>
      </c>
      <c r="H727" s="18" t="s">
        <v>107</v>
      </c>
      <c r="I727" s="18" t="s">
        <v>58</v>
      </c>
      <c r="J727" s="18" t="s">
        <v>82</v>
      </c>
      <c r="K727" s="18">
        <v>11</v>
      </c>
      <c r="L727" s="20">
        <v>2297.33</v>
      </c>
      <c r="M727" s="21">
        <v>0</v>
      </c>
      <c r="N727" s="21">
        <v>0.56992067804604496</v>
      </c>
      <c r="O727" s="20">
        <f t="shared" si="44"/>
        <v>25270.629999999997</v>
      </c>
      <c r="P727" s="20">
        <f t="shared" si="45"/>
        <v>14402.254584250724</v>
      </c>
      <c r="Q727" s="20">
        <f t="shared" si="46"/>
        <v>10868.375415749273</v>
      </c>
      <c r="R727" s="22">
        <f t="shared" si="47"/>
        <v>0.43007932195395504</v>
      </c>
    </row>
    <row r="728" spans="1:18">
      <c r="A728" s="18">
        <v>1727</v>
      </c>
      <c r="B728" s="19" t="s">
        <v>318</v>
      </c>
      <c r="C728" s="18">
        <v>2024</v>
      </c>
      <c r="D728" s="18" t="s">
        <v>55</v>
      </c>
      <c r="E728" s="18" t="s">
        <v>79</v>
      </c>
      <c r="F728" s="18" t="s">
        <v>100</v>
      </c>
      <c r="G728" s="18" t="s">
        <v>50</v>
      </c>
      <c r="H728" s="18" t="s">
        <v>87</v>
      </c>
      <c r="I728" s="18" t="s">
        <v>40</v>
      </c>
      <c r="J728" s="18" t="s">
        <v>82</v>
      </c>
      <c r="K728" s="18">
        <v>7</v>
      </c>
      <c r="L728" s="20">
        <v>9599.35</v>
      </c>
      <c r="M728" s="21">
        <v>0.05</v>
      </c>
      <c r="N728" s="21">
        <v>0.58054733023457605</v>
      </c>
      <c r="O728" s="20">
        <f t="shared" si="44"/>
        <v>63835.677499999991</v>
      </c>
      <c r="P728" s="20">
        <f t="shared" si="45"/>
        <v>37059.632146340387</v>
      </c>
      <c r="Q728" s="20">
        <f t="shared" si="46"/>
        <v>26776.045353659603</v>
      </c>
      <c r="R728" s="22">
        <f t="shared" si="47"/>
        <v>0.419452669765424</v>
      </c>
    </row>
    <row r="729" spans="1:18">
      <c r="A729" s="18">
        <v>1728</v>
      </c>
      <c r="B729" s="19" t="s">
        <v>318</v>
      </c>
      <c r="C729" s="18">
        <v>2024</v>
      </c>
      <c r="D729" s="18" t="s">
        <v>55</v>
      </c>
      <c r="E729" s="18" t="s">
        <v>79</v>
      </c>
      <c r="F729" s="18" t="s">
        <v>100</v>
      </c>
      <c r="G729" s="18" t="s">
        <v>50</v>
      </c>
      <c r="H729" s="18" t="s">
        <v>97</v>
      </c>
      <c r="I729" s="18" t="s">
        <v>49</v>
      </c>
      <c r="J729" s="18" t="s">
        <v>91</v>
      </c>
      <c r="K729" s="18">
        <v>11</v>
      </c>
      <c r="L729" s="20">
        <v>11997.48</v>
      </c>
      <c r="M729" s="21">
        <v>0.15</v>
      </c>
      <c r="N729" s="21">
        <v>0.60233305475479104</v>
      </c>
      <c r="O729" s="20">
        <f t="shared" si="44"/>
        <v>112176.43799999999</v>
      </c>
      <c r="P729" s="20">
        <f t="shared" si="45"/>
        <v>67567.576572051417</v>
      </c>
      <c r="Q729" s="20">
        <f t="shared" si="46"/>
        <v>44608.861427948577</v>
      </c>
      <c r="R729" s="22">
        <f t="shared" si="47"/>
        <v>0.39766694524520896</v>
      </c>
    </row>
    <row r="730" spans="1:18">
      <c r="A730" s="18">
        <v>1729</v>
      </c>
      <c r="B730" s="19" t="s">
        <v>319</v>
      </c>
      <c r="C730" s="18">
        <v>2024</v>
      </c>
      <c r="D730" s="18" t="s">
        <v>55</v>
      </c>
      <c r="E730" s="18" t="s">
        <v>79</v>
      </c>
      <c r="F730" s="18" t="s">
        <v>100</v>
      </c>
      <c r="G730" s="18" t="s">
        <v>50</v>
      </c>
      <c r="H730" s="18" t="s">
        <v>83</v>
      </c>
      <c r="I730" s="18" t="s">
        <v>56</v>
      </c>
      <c r="J730" s="18" t="s">
        <v>91</v>
      </c>
      <c r="K730" s="18">
        <v>6</v>
      </c>
      <c r="L730" s="20">
        <v>3623.51</v>
      </c>
      <c r="M730" s="21">
        <v>0.1</v>
      </c>
      <c r="N730" s="21">
        <v>0.64193124776479804</v>
      </c>
      <c r="O730" s="20">
        <f t="shared" si="44"/>
        <v>19566.954000000002</v>
      </c>
      <c r="P730" s="20">
        <f t="shared" si="45"/>
        <v>12560.639196176407</v>
      </c>
      <c r="Q730" s="20">
        <f t="shared" si="46"/>
        <v>7006.314803823594</v>
      </c>
      <c r="R730" s="22">
        <f t="shared" si="47"/>
        <v>0.35806875223520196</v>
      </c>
    </row>
    <row r="731" spans="1:18">
      <c r="A731" s="18">
        <v>1730</v>
      </c>
      <c r="B731" s="19" t="s">
        <v>319</v>
      </c>
      <c r="C731" s="18">
        <v>2024</v>
      </c>
      <c r="D731" s="18" t="s">
        <v>55</v>
      </c>
      <c r="E731" s="18" t="s">
        <v>79</v>
      </c>
      <c r="F731" s="18" t="s">
        <v>100</v>
      </c>
      <c r="G731" s="18" t="s">
        <v>47</v>
      </c>
      <c r="H731" s="18" t="s">
        <v>103</v>
      </c>
      <c r="I731" s="18" t="s">
        <v>46</v>
      </c>
      <c r="J731" s="18" t="s">
        <v>91</v>
      </c>
      <c r="K731" s="18">
        <v>7</v>
      </c>
      <c r="L731" s="20">
        <v>3083.04</v>
      </c>
      <c r="M731" s="21">
        <v>0.2</v>
      </c>
      <c r="N731" s="21">
        <v>0.62781609816469996</v>
      </c>
      <c r="O731" s="20">
        <f t="shared" si="44"/>
        <v>17265.024000000001</v>
      </c>
      <c r="P731" s="20">
        <f t="shared" si="45"/>
        <v>10839.260002399902</v>
      </c>
      <c r="Q731" s="20">
        <f t="shared" si="46"/>
        <v>6425.7639976000992</v>
      </c>
      <c r="R731" s="22">
        <f t="shared" si="47"/>
        <v>0.37218390183530004</v>
      </c>
    </row>
    <row r="732" spans="1:18">
      <c r="A732" s="18">
        <v>1731</v>
      </c>
      <c r="B732" s="19" t="s">
        <v>319</v>
      </c>
      <c r="C732" s="18">
        <v>2024</v>
      </c>
      <c r="D732" s="18" t="s">
        <v>55</v>
      </c>
      <c r="E732" s="18" t="s">
        <v>79</v>
      </c>
      <c r="F732" s="18" t="s">
        <v>80</v>
      </c>
      <c r="G732" s="18" t="s">
        <v>50</v>
      </c>
      <c r="H732" s="18" t="s">
        <v>87</v>
      </c>
      <c r="I732" s="18" t="s">
        <v>60</v>
      </c>
      <c r="J732" s="18" t="s">
        <v>102</v>
      </c>
      <c r="K732" s="18">
        <v>9</v>
      </c>
      <c r="L732" s="20">
        <v>9568.6</v>
      </c>
      <c r="M732" s="21">
        <v>0.1</v>
      </c>
      <c r="N732" s="21">
        <v>0.66245108225100002</v>
      </c>
      <c r="O732" s="20">
        <f t="shared" si="44"/>
        <v>77505.66</v>
      </c>
      <c r="P732" s="20">
        <f t="shared" si="45"/>
        <v>51343.708347578046</v>
      </c>
      <c r="Q732" s="20">
        <f t="shared" si="46"/>
        <v>26161.951652421958</v>
      </c>
      <c r="R732" s="22">
        <f t="shared" si="47"/>
        <v>0.33754891774899998</v>
      </c>
    </row>
    <row r="733" spans="1:18">
      <c r="A733" s="18">
        <v>1732</v>
      </c>
      <c r="B733" s="19" t="s">
        <v>319</v>
      </c>
      <c r="C733" s="18">
        <v>2024</v>
      </c>
      <c r="D733" s="18" t="s">
        <v>55</v>
      </c>
      <c r="E733" s="18" t="s">
        <v>88</v>
      </c>
      <c r="F733" s="18" t="s">
        <v>93</v>
      </c>
      <c r="G733" s="18" t="s">
        <v>41</v>
      </c>
      <c r="H733" s="18" t="s">
        <v>112</v>
      </c>
      <c r="I733" s="18" t="s">
        <v>52</v>
      </c>
      <c r="J733" s="18" t="s">
        <v>91</v>
      </c>
      <c r="K733" s="18">
        <v>10</v>
      </c>
      <c r="L733" s="20">
        <v>6282.52</v>
      </c>
      <c r="M733" s="21">
        <v>0.15</v>
      </c>
      <c r="N733" s="21">
        <v>0.68529755674714399</v>
      </c>
      <c r="O733" s="20">
        <f t="shared" si="44"/>
        <v>53401.420000000006</v>
      </c>
      <c r="P733" s="20">
        <f t="shared" si="45"/>
        <v>36595.862652828073</v>
      </c>
      <c r="Q733" s="20">
        <f t="shared" si="46"/>
        <v>16805.557347171933</v>
      </c>
      <c r="R733" s="22">
        <f t="shared" si="47"/>
        <v>0.31470244325285601</v>
      </c>
    </row>
    <row r="734" spans="1:18">
      <c r="A734" s="18">
        <v>1733</v>
      </c>
      <c r="B734" s="19" t="s">
        <v>320</v>
      </c>
      <c r="C734" s="18">
        <v>2024</v>
      </c>
      <c r="D734" s="18" t="s">
        <v>55</v>
      </c>
      <c r="E734" s="18" t="s">
        <v>98</v>
      </c>
      <c r="F734" s="18" t="s">
        <v>117</v>
      </c>
      <c r="G734" s="18" t="s">
        <v>41</v>
      </c>
      <c r="H734" s="18" t="s">
        <v>90</v>
      </c>
      <c r="I734" s="18" t="s">
        <v>46</v>
      </c>
      <c r="J734" s="18" t="s">
        <v>91</v>
      </c>
      <c r="K734" s="18">
        <v>6</v>
      </c>
      <c r="L734" s="20">
        <v>18557.2</v>
      </c>
      <c r="M734" s="21">
        <v>0.15</v>
      </c>
      <c r="N734" s="21">
        <v>0.555379968531719</v>
      </c>
      <c r="O734" s="20">
        <f t="shared" si="44"/>
        <v>94641.72</v>
      </c>
      <c r="P734" s="20">
        <f t="shared" si="45"/>
        <v>52562.115475387764</v>
      </c>
      <c r="Q734" s="20">
        <f t="shared" si="46"/>
        <v>42079.604524612238</v>
      </c>
      <c r="R734" s="22">
        <f t="shared" si="47"/>
        <v>0.444620031468281</v>
      </c>
    </row>
    <row r="735" spans="1:18">
      <c r="A735" s="18">
        <v>1734</v>
      </c>
      <c r="B735" s="19" t="s">
        <v>320</v>
      </c>
      <c r="C735" s="18">
        <v>2024</v>
      </c>
      <c r="D735" s="18" t="s">
        <v>55</v>
      </c>
      <c r="E735" s="18" t="s">
        <v>98</v>
      </c>
      <c r="F735" s="18" t="s">
        <v>109</v>
      </c>
      <c r="G735" s="18" t="s">
        <v>41</v>
      </c>
      <c r="H735" s="18" t="s">
        <v>112</v>
      </c>
      <c r="I735" s="18" t="s">
        <v>54</v>
      </c>
      <c r="J735" s="18" t="s">
        <v>91</v>
      </c>
      <c r="K735" s="18">
        <v>7</v>
      </c>
      <c r="L735" s="20">
        <v>5910.76</v>
      </c>
      <c r="M735" s="21">
        <v>0.2</v>
      </c>
      <c r="N735" s="21">
        <v>0.59884577728452404</v>
      </c>
      <c r="O735" s="20">
        <f t="shared" si="44"/>
        <v>33100.256000000001</v>
      </c>
      <c r="P735" s="20">
        <f t="shared" si="45"/>
        <v>19821.948532636732</v>
      </c>
      <c r="Q735" s="20">
        <f t="shared" si="46"/>
        <v>13278.307467363269</v>
      </c>
      <c r="R735" s="22">
        <f t="shared" si="47"/>
        <v>0.40115422271547596</v>
      </c>
    </row>
    <row r="736" spans="1:18">
      <c r="A736" s="18">
        <v>1735</v>
      </c>
      <c r="B736" s="19" t="s">
        <v>320</v>
      </c>
      <c r="C736" s="18">
        <v>2024</v>
      </c>
      <c r="D736" s="18" t="s">
        <v>55</v>
      </c>
      <c r="E736" s="18" t="s">
        <v>88</v>
      </c>
      <c r="F736" s="18" t="s">
        <v>93</v>
      </c>
      <c r="G736" s="18" t="s">
        <v>47</v>
      </c>
      <c r="H736" s="18" t="s">
        <v>103</v>
      </c>
      <c r="I736" s="18" t="s">
        <v>43</v>
      </c>
      <c r="J736" s="18" t="s">
        <v>102</v>
      </c>
      <c r="K736" s="18">
        <v>2</v>
      </c>
      <c r="L736" s="20">
        <v>3318.06</v>
      </c>
      <c r="M736" s="21">
        <v>0</v>
      </c>
      <c r="N736" s="21">
        <v>0.61751885141399399</v>
      </c>
      <c r="O736" s="20">
        <f t="shared" si="44"/>
        <v>6636.12</v>
      </c>
      <c r="P736" s="20">
        <f t="shared" si="45"/>
        <v>4097.929200245434</v>
      </c>
      <c r="Q736" s="20">
        <f t="shared" si="46"/>
        <v>2538.1907997545659</v>
      </c>
      <c r="R736" s="22">
        <f t="shared" si="47"/>
        <v>0.38248114858600596</v>
      </c>
    </row>
    <row r="737" spans="1:18">
      <c r="A737" s="18">
        <v>1736</v>
      </c>
      <c r="B737" s="19" t="s">
        <v>320</v>
      </c>
      <c r="C737" s="18">
        <v>2024</v>
      </c>
      <c r="D737" s="18" t="s">
        <v>55</v>
      </c>
      <c r="E737" s="18" t="s">
        <v>79</v>
      </c>
      <c r="F737" s="18" t="s">
        <v>80</v>
      </c>
      <c r="G737" s="18" t="s">
        <v>47</v>
      </c>
      <c r="H737" s="18" t="s">
        <v>81</v>
      </c>
      <c r="I737" s="18" t="s">
        <v>58</v>
      </c>
      <c r="J737" s="18" t="s">
        <v>102</v>
      </c>
      <c r="K737" s="18">
        <v>7</v>
      </c>
      <c r="L737" s="20">
        <v>805.44</v>
      </c>
      <c r="M737" s="21">
        <v>0.1</v>
      </c>
      <c r="N737" s="21">
        <v>0.60332377705037898</v>
      </c>
      <c r="O737" s="20">
        <f t="shared" si="44"/>
        <v>5074.2719999999999</v>
      </c>
      <c r="P737" s="20">
        <f t="shared" si="45"/>
        <v>3061.4289488209806</v>
      </c>
      <c r="Q737" s="20">
        <f t="shared" si="46"/>
        <v>2012.8430511790193</v>
      </c>
      <c r="R737" s="22">
        <f t="shared" si="47"/>
        <v>0.39667622294962102</v>
      </c>
    </row>
    <row r="738" spans="1:18">
      <c r="A738" s="18">
        <v>1737</v>
      </c>
      <c r="B738" s="19" t="s">
        <v>321</v>
      </c>
      <c r="C738" s="18">
        <v>2024</v>
      </c>
      <c r="D738" s="18" t="s">
        <v>55</v>
      </c>
      <c r="E738" s="18" t="s">
        <v>79</v>
      </c>
      <c r="F738" s="18" t="s">
        <v>105</v>
      </c>
      <c r="G738" s="18" t="s">
        <v>50</v>
      </c>
      <c r="H738" s="18" t="s">
        <v>87</v>
      </c>
      <c r="I738" s="18" t="s">
        <v>56</v>
      </c>
      <c r="J738" s="18" t="s">
        <v>91</v>
      </c>
      <c r="K738" s="18">
        <v>10</v>
      </c>
      <c r="L738" s="20">
        <v>9117.84</v>
      </c>
      <c r="M738" s="21">
        <v>0.1</v>
      </c>
      <c r="N738" s="21">
        <v>0.57001133664081105</v>
      </c>
      <c r="O738" s="20">
        <f t="shared" si="44"/>
        <v>82060.56</v>
      </c>
      <c r="P738" s="20">
        <f t="shared" si="45"/>
        <v>46775.449491093474</v>
      </c>
      <c r="Q738" s="20">
        <f t="shared" si="46"/>
        <v>35285.110508906524</v>
      </c>
      <c r="R738" s="22">
        <f t="shared" si="47"/>
        <v>0.42998866335918895</v>
      </c>
    </row>
    <row r="739" spans="1:18">
      <c r="A739" s="18">
        <v>1738</v>
      </c>
      <c r="B739" s="19" t="s">
        <v>321</v>
      </c>
      <c r="C739" s="18">
        <v>2024</v>
      </c>
      <c r="D739" s="18" t="s">
        <v>55</v>
      </c>
      <c r="E739" s="18" t="s">
        <v>88</v>
      </c>
      <c r="F739" s="18" t="s">
        <v>89</v>
      </c>
      <c r="G739" s="18" t="s">
        <v>50</v>
      </c>
      <c r="H739" s="18" t="s">
        <v>87</v>
      </c>
      <c r="I739" s="18" t="s">
        <v>54</v>
      </c>
      <c r="J739" s="18" t="s">
        <v>82</v>
      </c>
      <c r="K739" s="18">
        <v>10</v>
      </c>
      <c r="L739" s="20">
        <v>9309.5400000000009</v>
      </c>
      <c r="M739" s="21">
        <v>0.1</v>
      </c>
      <c r="N739" s="21">
        <v>0.59035172536515002</v>
      </c>
      <c r="O739" s="20">
        <f t="shared" si="44"/>
        <v>83785.860000000015</v>
      </c>
      <c r="P739" s="20">
        <f t="shared" si="45"/>
        <v>49463.127012202916</v>
      </c>
      <c r="Q739" s="20">
        <f t="shared" si="46"/>
        <v>34322.732987797099</v>
      </c>
      <c r="R739" s="22">
        <f t="shared" si="47"/>
        <v>0.40964827463484998</v>
      </c>
    </row>
    <row r="740" spans="1:18">
      <c r="A740" s="18">
        <v>1739</v>
      </c>
      <c r="B740" s="19" t="s">
        <v>321</v>
      </c>
      <c r="C740" s="18">
        <v>2024</v>
      </c>
      <c r="D740" s="18" t="s">
        <v>55</v>
      </c>
      <c r="E740" s="18" t="s">
        <v>79</v>
      </c>
      <c r="F740" s="18" t="s">
        <v>80</v>
      </c>
      <c r="G740" s="18" t="s">
        <v>44</v>
      </c>
      <c r="H740" s="18" t="s">
        <v>114</v>
      </c>
      <c r="I740" s="18" t="s">
        <v>52</v>
      </c>
      <c r="J740" s="18" t="s">
        <v>82</v>
      </c>
      <c r="K740" s="18">
        <v>5</v>
      </c>
      <c r="L740" s="20">
        <v>9446.6</v>
      </c>
      <c r="M740" s="21">
        <v>0.1</v>
      </c>
      <c r="N740" s="21">
        <v>0.71092060390991896</v>
      </c>
      <c r="O740" s="20">
        <f t="shared" si="44"/>
        <v>42509.700000000004</v>
      </c>
      <c r="P740" s="20">
        <f t="shared" si="45"/>
        <v>30221.021596029484</v>
      </c>
      <c r="Q740" s="20">
        <f t="shared" si="46"/>
        <v>12288.67840397052</v>
      </c>
      <c r="R740" s="22">
        <f t="shared" si="47"/>
        <v>0.28907939609008104</v>
      </c>
    </row>
    <row r="741" spans="1:18">
      <c r="A741" s="18">
        <v>1740</v>
      </c>
      <c r="B741" s="19" t="s">
        <v>321</v>
      </c>
      <c r="C741" s="18">
        <v>2024</v>
      </c>
      <c r="D741" s="18" t="s">
        <v>55</v>
      </c>
      <c r="E741" s="18" t="s">
        <v>79</v>
      </c>
      <c r="F741" s="18" t="s">
        <v>80</v>
      </c>
      <c r="G741" s="18" t="s">
        <v>41</v>
      </c>
      <c r="H741" s="18" t="s">
        <v>106</v>
      </c>
      <c r="I741" s="18" t="s">
        <v>52</v>
      </c>
      <c r="J741" s="18" t="s">
        <v>82</v>
      </c>
      <c r="K741" s="18">
        <v>10</v>
      </c>
      <c r="L741" s="20">
        <v>2575.3000000000002</v>
      </c>
      <c r="M741" s="21">
        <v>0.1</v>
      </c>
      <c r="N741" s="21">
        <v>0.63542117805740095</v>
      </c>
      <c r="O741" s="20">
        <f t="shared" si="44"/>
        <v>23177.7</v>
      </c>
      <c r="P741" s="20">
        <f t="shared" si="45"/>
        <v>14727.601438661022</v>
      </c>
      <c r="Q741" s="20">
        <f t="shared" si="46"/>
        <v>8450.0985613389785</v>
      </c>
      <c r="R741" s="22">
        <f t="shared" si="47"/>
        <v>0.36457882194259905</v>
      </c>
    </row>
    <row r="742" spans="1:18">
      <c r="A742" s="18">
        <v>1741</v>
      </c>
      <c r="B742" s="19" t="s">
        <v>321</v>
      </c>
      <c r="C742" s="18">
        <v>2024</v>
      </c>
      <c r="D742" s="18" t="s">
        <v>55</v>
      </c>
      <c r="E742" s="18" t="s">
        <v>98</v>
      </c>
      <c r="F742" s="18" t="s">
        <v>117</v>
      </c>
      <c r="G742" s="18" t="s">
        <v>47</v>
      </c>
      <c r="H742" s="18" t="s">
        <v>103</v>
      </c>
      <c r="I742" s="18" t="s">
        <v>52</v>
      </c>
      <c r="J742" s="18" t="s">
        <v>91</v>
      </c>
      <c r="K742" s="18">
        <v>11</v>
      </c>
      <c r="L742" s="20">
        <v>3212.78</v>
      </c>
      <c r="M742" s="21">
        <v>0</v>
      </c>
      <c r="N742" s="21">
        <v>0.63286285013303301</v>
      </c>
      <c r="O742" s="20">
        <f t="shared" si="44"/>
        <v>35340.58</v>
      </c>
      <c r="P742" s="20">
        <f t="shared" si="45"/>
        <v>22365.740184154463</v>
      </c>
      <c r="Q742" s="20">
        <f t="shared" si="46"/>
        <v>12974.839815845538</v>
      </c>
      <c r="R742" s="22">
        <f t="shared" si="47"/>
        <v>0.36713714986696705</v>
      </c>
    </row>
    <row r="743" spans="1:18">
      <c r="A743" s="18">
        <v>1742</v>
      </c>
      <c r="B743" s="19" t="s">
        <v>322</v>
      </c>
      <c r="C743" s="18">
        <v>2024</v>
      </c>
      <c r="D743" s="18" t="s">
        <v>55</v>
      </c>
      <c r="E743" s="18" t="s">
        <v>85</v>
      </c>
      <c r="F743" s="18" t="s">
        <v>94</v>
      </c>
      <c r="G743" s="18" t="s">
        <v>44</v>
      </c>
      <c r="H743" s="18" t="s">
        <v>119</v>
      </c>
      <c r="I743" s="18" t="s">
        <v>60</v>
      </c>
      <c r="J743" s="18" t="s">
        <v>82</v>
      </c>
      <c r="K743" s="18">
        <v>10</v>
      </c>
      <c r="L743" s="20">
        <v>6999.44</v>
      </c>
      <c r="M743" s="21">
        <v>0.2</v>
      </c>
      <c r="N743" s="21">
        <v>0.742423414921623</v>
      </c>
      <c r="O743" s="20">
        <f t="shared" si="44"/>
        <v>55995.519999999997</v>
      </c>
      <c r="P743" s="20">
        <f t="shared" si="45"/>
        <v>41572.385178712037</v>
      </c>
      <c r="Q743" s="20">
        <f t="shared" si="46"/>
        <v>14423.13482128796</v>
      </c>
      <c r="R743" s="22">
        <f t="shared" si="47"/>
        <v>0.257576585078377</v>
      </c>
    </row>
    <row r="744" spans="1:18">
      <c r="A744" s="18">
        <v>1743</v>
      </c>
      <c r="B744" s="19" t="s">
        <v>322</v>
      </c>
      <c r="C744" s="18">
        <v>2024</v>
      </c>
      <c r="D744" s="18" t="s">
        <v>55</v>
      </c>
      <c r="E744" s="18" t="s">
        <v>85</v>
      </c>
      <c r="F744" s="18" t="s">
        <v>121</v>
      </c>
      <c r="G744" s="18" t="s">
        <v>50</v>
      </c>
      <c r="H744" s="18" t="s">
        <v>87</v>
      </c>
      <c r="I744" s="18" t="s">
        <v>40</v>
      </c>
      <c r="J744" s="18" t="s">
        <v>102</v>
      </c>
      <c r="K744" s="18">
        <v>4</v>
      </c>
      <c r="L744" s="20">
        <v>9371.06</v>
      </c>
      <c r="M744" s="21">
        <v>0</v>
      </c>
      <c r="N744" s="21">
        <v>0.59807478956948601</v>
      </c>
      <c r="O744" s="20">
        <f t="shared" si="44"/>
        <v>37484.239999999998</v>
      </c>
      <c r="P744" s="20">
        <f t="shared" si="45"/>
        <v>22418.378950172108</v>
      </c>
      <c r="Q744" s="20">
        <f t="shared" si="46"/>
        <v>15065.86104982789</v>
      </c>
      <c r="R744" s="22">
        <f t="shared" si="47"/>
        <v>0.40192521043051405</v>
      </c>
    </row>
    <row r="745" spans="1:18">
      <c r="A745" s="18">
        <v>1744</v>
      </c>
      <c r="B745" s="19" t="s">
        <v>322</v>
      </c>
      <c r="C745" s="18">
        <v>2024</v>
      </c>
      <c r="D745" s="18" t="s">
        <v>55</v>
      </c>
      <c r="E745" s="18" t="s">
        <v>98</v>
      </c>
      <c r="F745" s="18" t="s">
        <v>109</v>
      </c>
      <c r="G745" s="18" t="s">
        <v>50</v>
      </c>
      <c r="H745" s="18" t="s">
        <v>97</v>
      </c>
      <c r="I745" s="18" t="s">
        <v>43</v>
      </c>
      <c r="J745" s="18" t="s">
        <v>102</v>
      </c>
      <c r="K745" s="18">
        <v>4</v>
      </c>
      <c r="L745" s="20">
        <v>12415.16</v>
      </c>
      <c r="M745" s="21">
        <v>0.05</v>
      </c>
      <c r="N745" s="21">
        <v>0.71474214089966503</v>
      </c>
      <c r="O745" s="20">
        <f t="shared" si="44"/>
        <v>47177.608</v>
      </c>
      <c r="P745" s="20">
        <f t="shared" si="45"/>
        <v>33719.824544445168</v>
      </c>
      <c r="Q745" s="20">
        <f t="shared" si="46"/>
        <v>13457.783455554832</v>
      </c>
      <c r="R745" s="22">
        <f t="shared" si="47"/>
        <v>0.28525785910033491</v>
      </c>
    </row>
    <row r="746" spans="1:18">
      <c r="A746" s="18">
        <v>1745</v>
      </c>
      <c r="B746" s="19" t="s">
        <v>322</v>
      </c>
      <c r="C746" s="18">
        <v>2024</v>
      </c>
      <c r="D746" s="18" t="s">
        <v>55</v>
      </c>
      <c r="E746" s="18" t="s">
        <v>88</v>
      </c>
      <c r="F746" s="18" t="s">
        <v>89</v>
      </c>
      <c r="G746" s="18" t="s">
        <v>44</v>
      </c>
      <c r="H746" s="18" t="s">
        <v>114</v>
      </c>
      <c r="I746" s="18" t="s">
        <v>49</v>
      </c>
      <c r="J746" s="18" t="s">
        <v>82</v>
      </c>
      <c r="K746" s="18">
        <v>3</v>
      </c>
      <c r="L746" s="20">
        <v>8722.7199999999993</v>
      </c>
      <c r="M746" s="21">
        <v>0</v>
      </c>
      <c r="N746" s="21">
        <v>0.70940895203833099</v>
      </c>
      <c r="O746" s="20">
        <f t="shared" si="44"/>
        <v>26168.159999999996</v>
      </c>
      <c r="P746" s="20">
        <f t="shared" si="45"/>
        <v>18563.92696237137</v>
      </c>
      <c r="Q746" s="20">
        <f t="shared" si="46"/>
        <v>7604.2330376286263</v>
      </c>
      <c r="R746" s="22">
        <f t="shared" si="47"/>
        <v>0.29059104796166896</v>
      </c>
    </row>
    <row r="747" spans="1:18">
      <c r="A747" s="18">
        <v>1746</v>
      </c>
      <c r="B747" s="19" t="s">
        <v>323</v>
      </c>
      <c r="C747" s="18">
        <v>2024</v>
      </c>
      <c r="D747" s="18" t="s">
        <v>57</v>
      </c>
      <c r="E747" s="18" t="s">
        <v>85</v>
      </c>
      <c r="F747" s="18" t="s">
        <v>121</v>
      </c>
      <c r="G747" s="18" t="s">
        <v>50</v>
      </c>
      <c r="H747" s="18" t="s">
        <v>97</v>
      </c>
      <c r="I747" s="18" t="s">
        <v>40</v>
      </c>
      <c r="J747" s="18" t="s">
        <v>82</v>
      </c>
      <c r="K747" s="18">
        <v>3</v>
      </c>
      <c r="L747" s="20">
        <v>11727.25</v>
      </c>
      <c r="M747" s="21">
        <v>0</v>
      </c>
      <c r="N747" s="21">
        <v>0.60167936949382705</v>
      </c>
      <c r="O747" s="20">
        <f t="shared" si="44"/>
        <v>35181.75</v>
      </c>
      <c r="P747" s="20">
        <f t="shared" si="45"/>
        <v>21168.133157689452</v>
      </c>
      <c r="Q747" s="20">
        <f t="shared" si="46"/>
        <v>14013.616842310548</v>
      </c>
      <c r="R747" s="22">
        <f t="shared" si="47"/>
        <v>0.39832063050617289</v>
      </c>
    </row>
    <row r="748" spans="1:18">
      <c r="A748" s="18">
        <v>1747</v>
      </c>
      <c r="B748" s="19" t="s">
        <v>323</v>
      </c>
      <c r="C748" s="18">
        <v>2024</v>
      </c>
      <c r="D748" s="18" t="s">
        <v>57</v>
      </c>
      <c r="E748" s="18" t="s">
        <v>98</v>
      </c>
      <c r="F748" s="18" t="s">
        <v>99</v>
      </c>
      <c r="G748" s="18" t="s">
        <v>44</v>
      </c>
      <c r="H748" s="18" t="s">
        <v>95</v>
      </c>
      <c r="I748" s="18" t="s">
        <v>40</v>
      </c>
      <c r="J748" s="18" t="s">
        <v>102</v>
      </c>
      <c r="K748" s="18">
        <v>8</v>
      </c>
      <c r="L748" s="20">
        <v>4627.01</v>
      </c>
      <c r="M748" s="21">
        <v>0</v>
      </c>
      <c r="N748" s="21">
        <v>0.72191680058316199</v>
      </c>
      <c r="O748" s="20">
        <f t="shared" si="44"/>
        <v>37016.080000000002</v>
      </c>
      <c r="P748" s="20">
        <f t="shared" si="45"/>
        <v>26722.53004373037</v>
      </c>
      <c r="Q748" s="20">
        <f t="shared" si="46"/>
        <v>10293.549956269631</v>
      </c>
      <c r="R748" s="22">
        <f t="shared" si="47"/>
        <v>0.27808319941683807</v>
      </c>
    </row>
    <row r="749" spans="1:18">
      <c r="A749" s="18">
        <v>1748</v>
      </c>
      <c r="B749" s="19" t="s">
        <v>323</v>
      </c>
      <c r="C749" s="18">
        <v>2024</v>
      </c>
      <c r="D749" s="18" t="s">
        <v>57</v>
      </c>
      <c r="E749" s="18" t="s">
        <v>79</v>
      </c>
      <c r="F749" s="18" t="s">
        <v>105</v>
      </c>
      <c r="G749" s="18" t="s">
        <v>47</v>
      </c>
      <c r="H749" s="18" t="s">
        <v>81</v>
      </c>
      <c r="I749" s="18" t="s">
        <v>56</v>
      </c>
      <c r="J749" s="18" t="s">
        <v>91</v>
      </c>
      <c r="K749" s="18">
        <v>11</v>
      </c>
      <c r="L749" s="20">
        <v>812.59</v>
      </c>
      <c r="M749" s="21">
        <v>0</v>
      </c>
      <c r="N749" s="21">
        <v>0.62937901011580499</v>
      </c>
      <c r="O749" s="20">
        <f t="shared" si="44"/>
        <v>8938.49</v>
      </c>
      <c r="P749" s="20">
        <f t="shared" si="45"/>
        <v>5625.6979881300213</v>
      </c>
      <c r="Q749" s="20">
        <f t="shared" si="46"/>
        <v>3312.7920118699785</v>
      </c>
      <c r="R749" s="22">
        <f t="shared" si="47"/>
        <v>0.37062098988419506</v>
      </c>
    </row>
    <row r="750" spans="1:18">
      <c r="A750" s="18">
        <v>1749</v>
      </c>
      <c r="B750" s="19" t="s">
        <v>323</v>
      </c>
      <c r="C750" s="18">
        <v>2024</v>
      </c>
      <c r="D750" s="18" t="s">
        <v>57</v>
      </c>
      <c r="E750" s="18" t="s">
        <v>88</v>
      </c>
      <c r="F750" s="18" t="s">
        <v>110</v>
      </c>
      <c r="G750" s="18" t="s">
        <v>41</v>
      </c>
      <c r="H750" s="18" t="s">
        <v>90</v>
      </c>
      <c r="I750" s="18" t="s">
        <v>60</v>
      </c>
      <c r="J750" s="18" t="s">
        <v>102</v>
      </c>
      <c r="K750" s="18">
        <v>10</v>
      </c>
      <c r="L750" s="20">
        <v>18809.41</v>
      </c>
      <c r="M750" s="21">
        <v>0.15</v>
      </c>
      <c r="N750" s="21">
        <v>0.60036161168880897</v>
      </c>
      <c r="O750" s="20">
        <f t="shared" si="44"/>
        <v>159879.98500000002</v>
      </c>
      <c r="P750" s="20">
        <f t="shared" si="45"/>
        <v>95985.805471382613</v>
      </c>
      <c r="Q750" s="20">
        <f t="shared" si="46"/>
        <v>63894.179528617402</v>
      </c>
      <c r="R750" s="22">
        <f t="shared" si="47"/>
        <v>0.39963838831119103</v>
      </c>
    </row>
    <row r="751" spans="1:18">
      <c r="A751" s="18">
        <v>1750</v>
      </c>
      <c r="B751" s="19" t="s">
        <v>324</v>
      </c>
      <c r="C751" s="18">
        <v>2024</v>
      </c>
      <c r="D751" s="18" t="s">
        <v>57</v>
      </c>
      <c r="E751" s="18" t="s">
        <v>88</v>
      </c>
      <c r="F751" s="18" t="s">
        <v>93</v>
      </c>
      <c r="G751" s="18" t="s">
        <v>41</v>
      </c>
      <c r="H751" s="18" t="s">
        <v>106</v>
      </c>
      <c r="I751" s="18" t="s">
        <v>54</v>
      </c>
      <c r="J751" s="18" t="s">
        <v>102</v>
      </c>
      <c r="K751" s="18">
        <v>12</v>
      </c>
      <c r="L751" s="20">
        <v>2472.4899999999998</v>
      </c>
      <c r="M751" s="21">
        <v>0.2</v>
      </c>
      <c r="N751" s="21">
        <v>0.69879179483046805</v>
      </c>
      <c r="O751" s="20">
        <f t="shared" si="44"/>
        <v>23735.903999999999</v>
      </c>
      <c r="P751" s="20">
        <f t="shared" si="45"/>
        <v>16586.454958083687</v>
      </c>
      <c r="Q751" s="20">
        <f t="shared" si="46"/>
        <v>7149.4490419163121</v>
      </c>
      <c r="R751" s="22">
        <f t="shared" si="47"/>
        <v>0.3012082051695319</v>
      </c>
    </row>
    <row r="752" spans="1:18">
      <c r="A752" s="18">
        <v>1751</v>
      </c>
      <c r="B752" s="19" t="s">
        <v>324</v>
      </c>
      <c r="C752" s="18">
        <v>2024</v>
      </c>
      <c r="D752" s="18" t="s">
        <v>57</v>
      </c>
      <c r="E752" s="18" t="s">
        <v>85</v>
      </c>
      <c r="F752" s="18" t="s">
        <v>86</v>
      </c>
      <c r="G752" s="18" t="s">
        <v>44</v>
      </c>
      <c r="H752" s="18" t="s">
        <v>119</v>
      </c>
      <c r="I752" s="18" t="s">
        <v>46</v>
      </c>
      <c r="J752" s="18" t="s">
        <v>82</v>
      </c>
      <c r="K752" s="18">
        <v>5</v>
      </c>
      <c r="L752" s="20">
        <v>6957.63</v>
      </c>
      <c r="M752" s="21">
        <v>0.05</v>
      </c>
      <c r="N752" s="21">
        <v>0.72257998673540502</v>
      </c>
      <c r="O752" s="20">
        <f t="shared" si="44"/>
        <v>33048.7425</v>
      </c>
      <c r="P752" s="20">
        <f t="shared" si="45"/>
        <v>23880.359917271817</v>
      </c>
      <c r="Q752" s="20">
        <f t="shared" si="46"/>
        <v>9168.3825827281835</v>
      </c>
      <c r="R752" s="22">
        <f t="shared" si="47"/>
        <v>0.27742001326459498</v>
      </c>
    </row>
    <row r="753" spans="1:18">
      <c r="A753" s="18">
        <v>1752</v>
      </c>
      <c r="B753" s="19" t="s">
        <v>325</v>
      </c>
      <c r="C753" s="18">
        <v>2024</v>
      </c>
      <c r="D753" s="18" t="s">
        <v>57</v>
      </c>
      <c r="E753" s="18" t="s">
        <v>85</v>
      </c>
      <c r="F753" s="18" t="s">
        <v>94</v>
      </c>
      <c r="G753" s="18" t="s">
        <v>47</v>
      </c>
      <c r="H753" s="18" t="s">
        <v>103</v>
      </c>
      <c r="I753" s="18" t="s">
        <v>43</v>
      </c>
      <c r="J753" s="18" t="s">
        <v>91</v>
      </c>
      <c r="K753" s="18">
        <v>9</v>
      </c>
      <c r="L753" s="20">
        <v>3175.61</v>
      </c>
      <c r="M753" s="21">
        <v>0.2</v>
      </c>
      <c r="N753" s="21">
        <v>0.59926933789747305</v>
      </c>
      <c r="O753" s="20">
        <f t="shared" si="44"/>
        <v>22864.392000000003</v>
      </c>
      <c r="P753" s="20">
        <f t="shared" si="45"/>
        <v>13701.929055268281</v>
      </c>
      <c r="Q753" s="20">
        <f t="shared" si="46"/>
        <v>9162.462944731722</v>
      </c>
      <c r="R753" s="22">
        <f t="shared" si="47"/>
        <v>0.40073066210252695</v>
      </c>
    </row>
    <row r="754" spans="1:18">
      <c r="A754" s="18">
        <v>1753</v>
      </c>
      <c r="B754" s="19" t="s">
        <v>325</v>
      </c>
      <c r="C754" s="18">
        <v>2024</v>
      </c>
      <c r="D754" s="18" t="s">
        <v>57</v>
      </c>
      <c r="E754" s="18" t="s">
        <v>98</v>
      </c>
      <c r="F754" s="18" t="s">
        <v>117</v>
      </c>
      <c r="G754" s="18" t="s">
        <v>47</v>
      </c>
      <c r="H754" s="18" t="s">
        <v>107</v>
      </c>
      <c r="I754" s="18" t="s">
        <v>54</v>
      </c>
      <c r="J754" s="18" t="s">
        <v>91</v>
      </c>
      <c r="K754" s="18">
        <v>1</v>
      </c>
      <c r="L754" s="20">
        <v>2231.9899999999998</v>
      </c>
      <c r="M754" s="21">
        <v>0.15</v>
      </c>
      <c r="N754" s="21">
        <v>0.55696188634853505</v>
      </c>
      <c r="O754" s="20">
        <f t="shared" si="44"/>
        <v>1897.1914999999997</v>
      </c>
      <c r="P754" s="20">
        <f t="shared" si="45"/>
        <v>1056.6633566044065</v>
      </c>
      <c r="Q754" s="20">
        <f t="shared" si="46"/>
        <v>840.52814339559313</v>
      </c>
      <c r="R754" s="22">
        <f t="shared" si="47"/>
        <v>0.44303811365146495</v>
      </c>
    </row>
    <row r="755" spans="1:18">
      <c r="A755" s="18">
        <v>1754</v>
      </c>
      <c r="B755" s="19" t="s">
        <v>326</v>
      </c>
      <c r="C755" s="18">
        <v>2024</v>
      </c>
      <c r="D755" s="18" t="s">
        <v>57</v>
      </c>
      <c r="E755" s="18" t="s">
        <v>88</v>
      </c>
      <c r="F755" s="18" t="s">
        <v>89</v>
      </c>
      <c r="G755" s="18" t="s">
        <v>50</v>
      </c>
      <c r="H755" s="18" t="s">
        <v>97</v>
      </c>
      <c r="I755" s="18" t="s">
        <v>54</v>
      </c>
      <c r="J755" s="18" t="s">
        <v>102</v>
      </c>
      <c r="K755" s="18">
        <v>2</v>
      </c>
      <c r="L755" s="20">
        <v>12041.89</v>
      </c>
      <c r="M755" s="21">
        <v>0</v>
      </c>
      <c r="N755" s="21">
        <v>0.72152942782998497</v>
      </c>
      <c r="O755" s="20">
        <f t="shared" si="44"/>
        <v>24083.78</v>
      </c>
      <c r="P755" s="20">
        <f t="shared" si="45"/>
        <v>17377.156003383236</v>
      </c>
      <c r="Q755" s="20">
        <f t="shared" si="46"/>
        <v>6706.6239966167632</v>
      </c>
      <c r="R755" s="22">
        <f t="shared" si="47"/>
        <v>0.27847057217001497</v>
      </c>
    </row>
    <row r="756" spans="1:18">
      <c r="A756" s="18">
        <v>1755</v>
      </c>
      <c r="B756" s="19" t="s">
        <v>326</v>
      </c>
      <c r="C756" s="18">
        <v>2024</v>
      </c>
      <c r="D756" s="18" t="s">
        <v>57</v>
      </c>
      <c r="E756" s="18" t="s">
        <v>85</v>
      </c>
      <c r="F756" s="18" t="s">
        <v>86</v>
      </c>
      <c r="G756" s="18" t="s">
        <v>50</v>
      </c>
      <c r="H756" s="18" t="s">
        <v>97</v>
      </c>
      <c r="I756" s="18" t="s">
        <v>52</v>
      </c>
      <c r="J756" s="18" t="s">
        <v>82</v>
      </c>
      <c r="K756" s="18">
        <v>4</v>
      </c>
      <c r="L756" s="20">
        <v>11756.91</v>
      </c>
      <c r="M756" s="21">
        <v>0</v>
      </c>
      <c r="N756" s="21">
        <v>0.73317816024846705</v>
      </c>
      <c r="O756" s="20">
        <f t="shared" si="44"/>
        <v>47027.64</v>
      </c>
      <c r="P756" s="20">
        <f t="shared" si="45"/>
        <v>34479.638576027217</v>
      </c>
      <c r="Q756" s="20">
        <f t="shared" si="46"/>
        <v>12548.001423972783</v>
      </c>
      <c r="R756" s="22">
        <f t="shared" si="47"/>
        <v>0.26682183975153301</v>
      </c>
    </row>
    <row r="757" spans="1:18">
      <c r="A757" s="18">
        <v>1756</v>
      </c>
      <c r="B757" s="19" t="s">
        <v>327</v>
      </c>
      <c r="C757" s="18">
        <v>2024</v>
      </c>
      <c r="D757" s="18" t="s">
        <v>57</v>
      </c>
      <c r="E757" s="18" t="s">
        <v>85</v>
      </c>
      <c r="F757" s="18" t="s">
        <v>86</v>
      </c>
      <c r="G757" s="18" t="s">
        <v>47</v>
      </c>
      <c r="H757" s="18" t="s">
        <v>81</v>
      </c>
      <c r="I757" s="18" t="s">
        <v>58</v>
      </c>
      <c r="J757" s="18" t="s">
        <v>91</v>
      </c>
      <c r="K757" s="18">
        <v>12</v>
      </c>
      <c r="L757" s="20">
        <v>793.04</v>
      </c>
      <c r="M757" s="21">
        <v>0.05</v>
      </c>
      <c r="N757" s="21">
        <v>0.69347720358128295</v>
      </c>
      <c r="O757" s="20">
        <f t="shared" si="44"/>
        <v>9040.655999999999</v>
      </c>
      <c r="P757" s="20">
        <f t="shared" si="45"/>
        <v>6269.4888414203469</v>
      </c>
      <c r="Q757" s="20">
        <f t="shared" si="46"/>
        <v>2771.1671585796521</v>
      </c>
      <c r="R757" s="22">
        <f t="shared" si="47"/>
        <v>0.30652279641871699</v>
      </c>
    </row>
    <row r="758" spans="1:18">
      <c r="A758" s="18">
        <v>1757</v>
      </c>
      <c r="B758" s="19" t="s">
        <v>327</v>
      </c>
      <c r="C758" s="18">
        <v>2024</v>
      </c>
      <c r="D758" s="18" t="s">
        <v>57</v>
      </c>
      <c r="E758" s="18" t="s">
        <v>79</v>
      </c>
      <c r="F758" s="18" t="s">
        <v>100</v>
      </c>
      <c r="G758" s="18" t="s">
        <v>47</v>
      </c>
      <c r="H758" s="18" t="s">
        <v>103</v>
      </c>
      <c r="I758" s="18" t="s">
        <v>43</v>
      </c>
      <c r="J758" s="18" t="s">
        <v>91</v>
      </c>
      <c r="K758" s="18">
        <v>7</v>
      </c>
      <c r="L758" s="20">
        <v>3232.68</v>
      </c>
      <c r="M758" s="21">
        <v>0.15</v>
      </c>
      <c r="N758" s="21">
        <v>0.69755710412080296</v>
      </c>
      <c r="O758" s="20">
        <f t="shared" si="44"/>
        <v>19234.446</v>
      </c>
      <c r="P758" s="20">
        <f t="shared" si="45"/>
        <v>13417.124451127962</v>
      </c>
      <c r="Q758" s="20">
        <f t="shared" si="46"/>
        <v>5817.321548872038</v>
      </c>
      <c r="R758" s="22">
        <f t="shared" si="47"/>
        <v>0.30244289587919704</v>
      </c>
    </row>
    <row r="759" spans="1:18">
      <c r="A759" s="18">
        <v>1758</v>
      </c>
      <c r="B759" s="19" t="s">
        <v>327</v>
      </c>
      <c r="C759" s="18">
        <v>2024</v>
      </c>
      <c r="D759" s="18" t="s">
        <v>57</v>
      </c>
      <c r="E759" s="18" t="s">
        <v>85</v>
      </c>
      <c r="F759" s="18" t="s">
        <v>94</v>
      </c>
      <c r="G759" s="18" t="s">
        <v>41</v>
      </c>
      <c r="H759" s="18" t="s">
        <v>90</v>
      </c>
      <c r="I759" s="18" t="s">
        <v>46</v>
      </c>
      <c r="J759" s="18" t="s">
        <v>102</v>
      </c>
      <c r="K759" s="18">
        <v>8</v>
      </c>
      <c r="L759" s="20">
        <v>18523.830000000002</v>
      </c>
      <c r="M759" s="21">
        <v>0</v>
      </c>
      <c r="N759" s="21">
        <v>0.55061516076424999</v>
      </c>
      <c r="O759" s="20">
        <f t="shared" si="44"/>
        <v>148190.64000000001</v>
      </c>
      <c r="P759" s="20">
        <f t="shared" si="45"/>
        <v>81596.013067357097</v>
      </c>
      <c r="Q759" s="20">
        <f t="shared" si="46"/>
        <v>66594.626932642917</v>
      </c>
      <c r="R759" s="22">
        <f t="shared" si="47"/>
        <v>0.44938483923575007</v>
      </c>
    </row>
    <row r="760" spans="1:18">
      <c r="A760" s="18">
        <v>1759</v>
      </c>
      <c r="B760" s="19" t="s">
        <v>327</v>
      </c>
      <c r="C760" s="18">
        <v>2024</v>
      </c>
      <c r="D760" s="18" t="s">
        <v>57</v>
      </c>
      <c r="E760" s="18" t="s">
        <v>88</v>
      </c>
      <c r="F760" s="18" t="s">
        <v>93</v>
      </c>
      <c r="G760" s="18" t="s">
        <v>47</v>
      </c>
      <c r="H760" s="18" t="s">
        <v>107</v>
      </c>
      <c r="I760" s="18" t="s">
        <v>62</v>
      </c>
      <c r="J760" s="18" t="s">
        <v>82</v>
      </c>
      <c r="K760" s="18">
        <v>2</v>
      </c>
      <c r="L760" s="20">
        <v>2124.7199999999998</v>
      </c>
      <c r="M760" s="21">
        <v>0.15</v>
      </c>
      <c r="N760" s="21">
        <v>0.69271278823862203</v>
      </c>
      <c r="O760" s="20">
        <f t="shared" si="44"/>
        <v>3612.0239999999994</v>
      </c>
      <c r="P760" s="20">
        <f t="shared" si="45"/>
        <v>2502.09521622482</v>
      </c>
      <c r="Q760" s="20">
        <f t="shared" si="46"/>
        <v>1109.9287837751795</v>
      </c>
      <c r="R760" s="22">
        <f t="shared" si="47"/>
        <v>0.30728721176137802</v>
      </c>
    </row>
    <row r="761" spans="1:18">
      <c r="A761" s="18">
        <v>1760</v>
      </c>
      <c r="B761" s="19" t="s">
        <v>328</v>
      </c>
      <c r="C761" s="18">
        <v>2024</v>
      </c>
      <c r="D761" s="18" t="s">
        <v>57</v>
      </c>
      <c r="E761" s="18" t="s">
        <v>85</v>
      </c>
      <c r="F761" s="18" t="s">
        <v>121</v>
      </c>
      <c r="G761" s="18" t="s">
        <v>50</v>
      </c>
      <c r="H761" s="18" t="s">
        <v>97</v>
      </c>
      <c r="I761" s="18" t="s">
        <v>46</v>
      </c>
      <c r="J761" s="18" t="s">
        <v>91</v>
      </c>
      <c r="K761" s="18">
        <v>3</v>
      </c>
      <c r="L761" s="20">
        <v>12224.96</v>
      </c>
      <c r="M761" s="21">
        <v>0.05</v>
      </c>
      <c r="N761" s="21">
        <v>0.70990573358803599</v>
      </c>
      <c r="O761" s="20">
        <f t="shared" si="44"/>
        <v>34841.135999999999</v>
      </c>
      <c r="P761" s="20">
        <f t="shared" si="45"/>
        <v>24733.922211120527</v>
      </c>
      <c r="Q761" s="20">
        <f t="shared" si="46"/>
        <v>10107.213788879471</v>
      </c>
      <c r="R761" s="22">
        <f t="shared" si="47"/>
        <v>0.29009426641196406</v>
      </c>
    </row>
    <row r="762" spans="1:18">
      <c r="A762" s="18">
        <v>1761</v>
      </c>
      <c r="B762" s="19" t="s">
        <v>328</v>
      </c>
      <c r="C762" s="18">
        <v>2024</v>
      </c>
      <c r="D762" s="18" t="s">
        <v>57</v>
      </c>
      <c r="E762" s="18" t="s">
        <v>88</v>
      </c>
      <c r="F762" s="18" t="s">
        <v>110</v>
      </c>
      <c r="G762" s="18" t="s">
        <v>50</v>
      </c>
      <c r="H762" s="18" t="s">
        <v>97</v>
      </c>
      <c r="I762" s="18" t="s">
        <v>46</v>
      </c>
      <c r="J762" s="18" t="s">
        <v>91</v>
      </c>
      <c r="K762" s="18">
        <v>7</v>
      </c>
      <c r="L762" s="20">
        <v>12533.71</v>
      </c>
      <c r="M762" s="21">
        <v>0.15</v>
      </c>
      <c r="N762" s="21">
        <v>0.59489742669572598</v>
      </c>
      <c r="O762" s="20">
        <f t="shared" si="44"/>
        <v>74575.574500000002</v>
      </c>
      <c r="P762" s="20">
        <f t="shared" si="45"/>
        <v>44364.817364405404</v>
      </c>
      <c r="Q762" s="20">
        <f t="shared" si="46"/>
        <v>30210.757135594598</v>
      </c>
      <c r="R762" s="22">
        <f t="shared" si="47"/>
        <v>0.40510257330427402</v>
      </c>
    </row>
    <row r="763" spans="1:18">
      <c r="A763" s="18">
        <v>1762</v>
      </c>
      <c r="B763" s="19" t="s">
        <v>328</v>
      </c>
      <c r="C763" s="18">
        <v>2024</v>
      </c>
      <c r="D763" s="18" t="s">
        <v>57</v>
      </c>
      <c r="E763" s="18" t="s">
        <v>79</v>
      </c>
      <c r="F763" s="18" t="s">
        <v>80</v>
      </c>
      <c r="G763" s="18" t="s">
        <v>44</v>
      </c>
      <c r="H763" s="18" t="s">
        <v>119</v>
      </c>
      <c r="I763" s="18" t="s">
        <v>58</v>
      </c>
      <c r="J763" s="18" t="s">
        <v>82</v>
      </c>
      <c r="K763" s="18">
        <v>5</v>
      </c>
      <c r="L763" s="20">
        <v>7140.88</v>
      </c>
      <c r="M763" s="21">
        <v>0</v>
      </c>
      <c r="N763" s="21">
        <v>0.55995659291898503</v>
      </c>
      <c r="O763" s="20">
        <f t="shared" si="44"/>
        <v>35704.400000000001</v>
      </c>
      <c r="P763" s="20">
        <f t="shared" si="45"/>
        <v>19992.914176216611</v>
      </c>
      <c r="Q763" s="20">
        <f t="shared" si="46"/>
        <v>15711.485823783391</v>
      </c>
      <c r="R763" s="22">
        <f t="shared" si="47"/>
        <v>0.44004340708101491</v>
      </c>
    </row>
    <row r="764" spans="1:18">
      <c r="A764" s="18">
        <v>1763</v>
      </c>
      <c r="B764" s="19" t="s">
        <v>329</v>
      </c>
      <c r="C764" s="18">
        <v>2024</v>
      </c>
      <c r="D764" s="18" t="s">
        <v>57</v>
      </c>
      <c r="E764" s="18" t="s">
        <v>98</v>
      </c>
      <c r="F764" s="18" t="s">
        <v>117</v>
      </c>
      <c r="G764" s="18" t="s">
        <v>41</v>
      </c>
      <c r="H764" s="18" t="s">
        <v>106</v>
      </c>
      <c r="I764" s="18" t="s">
        <v>46</v>
      </c>
      <c r="J764" s="18" t="s">
        <v>102</v>
      </c>
      <c r="K764" s="18">
        <v>2</v>
      </c>
      <c r="L764" s="20">
        <v>2378.5300000000002</v>
      </c>
      <c r="M764" s="21">
        <v>0.15</v>
      </c>
      <c r="N764" s="21">
        <v>0.63703174706304</v>
      </c>
      <c r="O764" s="20">
        <f t="shared" si="44"/>
        <v>4043.5010000000002</v>
      </c>
      <c r="P764" s="20">
        <f t="shared" si="45"/>
        <v>2575.8385062811494</v>
      </c>
      <c r="Q764" s="20">
        <f t="shared" si="46"/>
        <v>1467.6624937188508</v>
      </c>
      <c r="R764" s="22">
        <f t="shared" si="47"/>
        <v>0.36296825293696</v>
      </c>
    </row>
    <row r="765" spans="1:18">
      <c r="A765" s="18">
        <v>1764</v>
      </c>
      <c r="B765" s="19" t="s">
        <v>329</v>
      </c>
      <c r="C765" s="18">
        <v>2024</v>
      </c>
      <c r="D765" s="18" t="s">
        <v>57</v>
      </c>
      <c r="E765" s="18" t="s">
        <v>85</v>
      </c>
      <c r="F765" s="18" t="s">
        <v>94</v>
      </c>
      <c r="G765" s="18" t="s">
        <v>50</v>
      </c>
      <c r="H765" s="18" t="s">
        <v>83</v>
      </c>
      <c r="I765" s="18" t="s">
        <v>49</v>
      </c>
      <c r="J765" s="18" t="s">
        <v>102</v>
      </c>
      <c r="K765" s="18">
        <v>4</v>
      </c>
      <c r="L765" s="20">
        <v>3391.69</v>
      </c>
      <c r="M765" s="21">
        <v>0.05</v>
      </c>
      <c r="N765" s="21">
        <v>0.607592394570176</v>
      </c>
      <c r="O765" s="20">
        <f t="shared" si="44"/>
        <v>12888.422</v>
      </c>
      <c r="P765" s="20">
        <f t="shared" si="45"/>
        <v>7830.9071852109373</v>
      </c>
      <c r="Q765" s="20">
        <f t="shared" si="46"/>
        <v>5057.5148147890632</v>
      </c>
      <c r="R765" s="22">
        <f t="shared" si="47"/>
        <v>0.392407605429824</v>
      </c>
    </row>
    <row r="766" spans="1:18">
      <c r="A766" s="18">
        <v>1765</v>
      </c>
      <c r="B766" s="19" t="s">
        <v>329</v>
      </c>
      <c r="C766" s="18">
        <v>2024</v>
      </c>
      <c r="D766" s="18" t="s">
        <v>57</v>
      </c>
      <c r="E766" s="18" t="s">
        <v>85</v>
      </c>
      <c r="F766" s="18" t="s">
        <v>121</v>
      </c>
      <c r="G766" s="18" t="s">
        <v>44</v>
      </c>
      <c r="H766" s="18" t="s">
        <v>114</v>
      </c>
      <c r="I766" s="18" t="s">
        <v>49</v>
      </c>
      <c r="J766" s="18" t="s">
        <v>102</v>
      </c>
      <c r="K766" s="18">
        <v>4</v>
      </c>
      <c r="L766" s="20">
        <v>9445.69</v>
      </c>
      <c r="M766" s="21">
        <v>0.05</v>
      </c>
      <c r="N766" s="21">
        <v>0.69534161340771405</v>
      </c>
      <c r="O766" s="20">
        <f t="shared" si="44"/>
        <v>35893.622000000003</v>
      </c>
      <c r="P766" s="20">
        <f t="shared" si="45"/>
        <v>24958.329032526621</v>
      </c>
      <c r="Q766" s="20">
        <f t="shared" si="46"/>
        <v>10935.292967473382</v>
      </c>
      <c r="R766" s="22">
        <f t="shared" si="47"/>
        <v>0.304658386592286</v>
      </c>
    </row>
    <row r="767" spans="1:18">
      <c r="A767" s="18">
        <v>1766</v>
      </c>
      <c r="B767" s="19" t="s">
        <v>329</v>
      </c>
      <c r="C767" s="18">
        <v>2024</v>
      </c>
      <c r="D767" s="18" t="s">
        <v>57</v>
      </c>
      <c r="E767" s="18" t="s">
        <v>88</v>
      </c>
      <c r="F767" s="18" t="s">
        <v>89</v>
      </c>
      <c r="G767" s="18" t="s">
        <v>44</v>
      </c>
      <c r="H767" s="18" t="s">
        <v>114</v>
      </c>
      <c r="I767" s="18" t="s">
        <v>46</v>
      </c>
      <c r="J767" s="18" t="s">
        <v>82</v>
      </c>
      <c r="K767" s="18">
        <v>5</v>
      </c>
      <c r="L767" s="20">
        <v>9428.52</v>
      </c>
      <c r="M767" s="21">
        <v>0</v>
      </c>
      <c r="N767" s="21">
        <v>0.67353604801144695</v>
      </c>
      <c r="O767" s="20">
        <f t="shared" si="44"/>
        <v>47142.600000000006</v>
      </c>
      <c r="P767" s="20">
        <f t="shared" si="45"/>
        <v>31752.240496984443</v>
      </c>
      <c r="Q767" s="20">
        <f t="shared" si="46"/>
        <v>15390.359503015563</v>
      </c>
      <c r="R767" s="22">
        <f t="shared" si="47"/>
        <v>0.32646395198855305</v>
      </c>
    </row>
    <row r="768" spans="1:18">
      <c r="A768" s="18">
        <v>1767</v>
      </c>
      <c r="B768" s="19" t="s">
        <v>329</v>
      </c>
      <c r="C768" s="18">
        <v>2024</v>
      </c>
      <c r="D768" s="18" t="s">
        <v>57</v>
      </c>
      <c r="E768" s="18" t="s">
        <v>88</v>
      </c>
      <c r="F768" s="18" t="s">
        <v>89</v>
      </c>
      <c r="G768" s="18" t="s">
        <v>50</v>
      </c>
      <c r="H768" s="18" t="s">
        <v>83</v>
      </c>
      <c r="I768" s="18" t="s">
        <v>40</v>
      </c>
      <c r="J768" s="18" t="s">
        <v>91</v>
      </c>
      <c r="K768" s="18">
        <v>3</v>
      </c>
      <c r="L768" s="20">
        <v>3630.01</v>
      </c>
      <c r="M768" s="21">
        <v>0.2</v>
      </c>
      <c r="N768" s="21">
        <v>0.62951094312496902</v>
      </c>
      <c r="O768" s="20">
        <f t="shared" si="44"/>
        <v>8712.0240000000013</v>
      </c>
      <c r="P768" s="20">
        <f t="shared" si="45"/>
        <v>5484.3144447673658</v>
      </c>
      <c r="Q768" s="20">
        <f t="shared" si="46"/>
        <v>3227.7095552326355</v>
      </c>
      <c r="R768" s="22">
        <f t="shared" si="47"/>
        <v>0.37048905687503098</v>
      </c>
    </row>
    <row r="769" spans="1:18">
      <c r="A769" s="18">
        <v>1768</v>
      </c>
      <c r="B769" s="19" t="s">
        <v>330</v>
      </c>
      <c r="C769" s="18">
        <v>2024</v>
      </c>
      <c r="D769" s="18" t="s">
        <v>57</v>
      </c>
      <c r="E769" s="18" t="s">
        <v>85</v>
      </c>
      <c r="F769" s="18" t="s">
        <v>94</v>
      </c>
      <c r="G769" s="18" t="s">
        <v>50</v>
      </c>
      <c r="H769" s="18" t="s">
        <v>87</v>
      </c>
      <c r="I769" s="18" t="s">
        <v>62</v>
      </c>
      <c r="J769" s="18" t="s">
        <v>91</v>
      </c>
      <c r="K769" s="18">
        <v>2</v>
      </c>
      <c r="L769" s="20">
        <v>9115.52</v>
      </c>
      <c r="M769" s="21">
        <v>0</v>
      </c>
      <c r="N769" s="21">
        <v>0.56042252232560896</v>
      </c>
      <c r="O769" s="20">
        <f t="shared" si="44"/>
        <v>18231.04</v>
      </c>
      <c r="P769" s="20">
        <f t="shared" si="45"/>
        <v>10217.085421419071</v>
      </c>
      <c r="Q769" s="20">
        <f t="shared" si="46"/>
        <v>8013.9545785809296</v>
      </c>
      <c r="R769" s="22">
        <f t="shared" si="47"/>
        <v>0.43957747767439098</v>
      </c>
    </row>
    <row r="770" spans="1:18">
      <c r="A770" s="18">
        <v>1769</v>
      </c>
      <c r="B770" s="19" t="s">
        <v>330</v>
      </c>
      <c r="C770" s="18">
        <v>2024</v>
      </c>
      <c r="D770" s="18" t="s">
        <v>57</v>
      </c>
      <c r="E770" s="18" t="s">
        <v>88</v>
      </c>
      <c r="F770" s="18" t="s">
        <v>89</v>
      </c>
      <c r="G770" s="18" t="s">
        <v>47</v>
      </c>
      <c r="H770" s="18" t="s">
        <v>103</v>
      </c>
      <c r="I770" s="18" t="s">
        <v>62</v>
      </c>
      <c r="J770" s="18" t="s">
        <v>102</v>
      </c>
      <c r="K770" s="18">
        <v>12</v>
      </c>
      <c r="L770" s="20">
        <v>3299.15</v>
      </c>
      <c r="M770" s="21">
        <v>0</v>
      </c>
      <c r="N770" s="21">
        <v>0.60073137656530995</v>
      </c>
      <c r="O770" s="20">
        <f t="shared" ref="O770:O833" si="48">K770*L770*(1-M770)</f>
        <v>39589.800000000003</v>
      </c>
      <c r="P770" s="20">
        <f t="shared" ref="P770:P833" si="49">O770*N770</f>
        <v>23782.835051945309</v>
      </c>
      <c r="Q770" s="20">
        <f t="shared" ref="Q770:Q833" si="50">O770-P770</f>
        <v>15806.964948054694</v>
      </c>
      <c r="R770" s="22">
        <f t="shared" ref="R770:R833" si="51">IF(O770=0,0,Q770/O770)</f>
        <v>0.39926862343469005</v>
      </c>
    </row>
    <row r="771" spans="1:18">
      <c r="A771" s="18">
        <v>1770</v>
      </c>
      <c r="B771" s="19" t="s">
        <v>330</v>
      </c>
      <c r="C771" s="18">
        <v>2024</v>
      </c>
      <c r="D771" s="18" t="s">
        <v>57</v>
      </c>
      <c r="E771" s="18" t="s">
        <v>85</v>
      </c>
      <c r="F771" s="18" t="s">
        <v>121</v>
      </c>
      <c r="G771" s="18" t="s">
        <v>50</v>
      </c>
      <c r="H771" s="18" t="s">
        <v>87</v>
      </c>
      <c r="I771" s="18" t="s">
        <v>54</v>
      </c>
      <c r="J771" s="18" t="s">
        <v>82</v>
      </c>
      <c r="K771" s="18">
        <v>9</v>
      </c>
      <c r="L771" s="20">
        <v>9064.07</v>
      </c>
      <c r="M771" s="21">
        <v>0</v>
      </c>
      <c r="N771" s="21">
        <v>0.60205833043138202</v>
      </c>
      <c r="O771" s="20">
        <f t="shared" si="48"/>
        <v>81576.63</v>
      </c>
      <c r="P771" s="20">
        <f t="shared" si="49"/>
        <v>49113.889660018591</v>
      </c>
      <c r="Q771" s="20">
        <f t="shared" si="50"/>
        <v>32462.740339981414</v>
      </c>
      <c r="R771" s="22">
        <f t="shared" si="51"/>
        <v>0.39794166956861804</v>
      </c>
    </row>
    <row r="772" spans="1:18">
      <c r="A772" s="18">
        <v>1771</v>
      </c>
      <c r="B772" s="19" t="s">
        <v>331</v>
      </c>
      <c r="C772" s="18">
        <v>2024</v>
      </c>
      <c r="D772" s="18" t="s">
        <v>57</v>
      </c>
      <c r="E772" s="18" t="s">
        <v>98</v>
      </c>
      <c r="F772" s="18" t="s">
        <v>109</v>
      </c>
      <c r="G772" s="18" t="s">
        <v>44</v>
      </c>
      <c r="H772" s="18" t="s">
        <v>119</v>
      </c>
      <c r="I772" s="18" t="s">
        <v>54</v>
      </c>
      <c r="J772" s="18" t="s">
        <v>102</v>
      </c>
      <c r="K772" s="18">
        <v>9</v>
      </c>
      <c r="L772" s="20">
        <v>6953.05</v>
      </c>
      <c r="M772" s="21">
        <v>0.05</v>
      </c>
      <c r="N772" s="21">
        <v>0.57336841123293303</v>
      </c>
      <c r="O772" s="20">
        <f t="shared" si="48"/>
        <v>59448.577499999999</v>
      </c>
      <c r="P772" s="20">
        <f t="shared" si="49"/>
        <v>34085.936431232891</v>
      </c>
      <c r="Q772" s="20">
        <f t="shared" si="50"/>
        <v>25362.641068767109</v>
      </c>
      <c r="R772" s="22">
        <f t="shared" si="51"/>
        <v>0.42663158876706697</v>
      </c>
    </row>
    <row r="773" spans="1:18">
      <c r="A773" s="18">
        <v>1772</v>
      </c>
      <c r="B773" s="19" t="s">
        <v>331</v>
      </c>
      <c r="C773" s="18">
        <v>2024</v>
      </c>
      <c r="D773" s="18" t="s">
        <v>57</v>
      </c>
      <c r="E773" s="18" t="s">
        <v>79</v>
      </c>
      <c r="F773" s="18" t="s">
        <v>100</v>
      </c>
      <c r="G773" s="18" t="s">
        <v>50</v>
      </c>
      <c r="H773" s="18" t="s">
        <v>97</v>
      </c>
      <c r="I773" s="18" t="s">
        <v>54</v>
      </c>
      <c r="J773" s="18" t="s">
        <v>91</v>
      </c>
      <c r="K773" s="18">
        <v>5</v>
      </c>
      <c r="L773" s="20">
        <v>12483.35</v>
      </c>
      <c r="M773" s="21">
        <v>0.05</v>
      </c>
      <c r="N773" s="21">
        <v>0.67258631412623704</v>
      </c>
      <c r="O773" s="20">
        <f t="shared" si="48"/>
        <v>59295.912499999999</v>
      </c>
      <c r="P773" s="20">
        <f t="shared" si="49"/>
        <v>39881.619231126868</v>
      </c>
      <c r="Q773" s="20">
        <f t="shared" si="50"/>
        <v>19414.293268873131</v>
      </c>
      <c r="R773" s="22">
        <f t="shared" si="51"/>
        <v>0.32741368587376291</v>
      </c>
    </row>
    <row r="774" spans="1:18">
      <c r="A774" s="18">
        <v>1773</v>
      </c>
      <c r="B774" s="19" t="s">
        <v>331</v>
      </c>
      <c r="C774" s="18">
        <v>2024</v>
      </c>
      <c r="D774" s="18" t="s">
        <v>57</v>
      </c>
      <c r="E774" s="18" t="s">
        <v>98</v>
      </c>
      <c r="F774" s="18" t="s">
        <v>99</v>
      </c>
      <c r="G774" s="18" t="s">
        <v>47</v>
      </c>
      <c r="H774" s="18" t="s">
        <v>107</v>
      </c>
      <c r="I774" s="18" t="s">
        <v>46</v>
      </c>
      <c r="J774" s="18" t="s">
        <v>91</v>
      </c>
      <c r="K774" s="18">
        <v>12</v>
      </c>
      <c r="L774" s="20">
        <v>2308.8000000000002</v>
      </c>
      <c r="M774" s="21">
        <v>0</v>
      </c>
      <c r="N774" s="21">
        <v>0.66113494165693798</v>
      </c>
      <c r="O774" s="20">
        <f t="shared" si="48"/>
        <v>27705.600000000002</v>
      </c>
      <c r="P774" s="20">
        <f t="shared" si="49"/>
        <v>18317.140239570461</v>
      </c>
      <c r="Q774" s="20">
        <f t="shared" si="50"/>
        <v>9388.4597604295413</v>
      </c>
      <c r="R774" s="22">
        <f t="shared" si="51"/>
        <v>0.33886505834306208</v>
      </c>
    </row>
    <row r="775" spans="1:18">
      <c r="A775" s="18">
        <v>1774</v>
      </c>
      <c r="B775" s="19" t="s">
        <v>331</v>
      </c>
      <c r="C775" s="18">
        <v>2024</v>
      </c>
      <c r="D775" s="18" t="s">
        <v>57</v>
      </c>
      <c r="E775" s="18" t="s">
        <v>85</v>
      </c>
      <c r="F775" s="18" t="s">
        <v>86</v>
      </c>
      <c r="G775" s="18" t="s">
        <v>44</v>
      </c>
      <c r="H775" s="18" t="s">
        <v>119</v>
      </c>
      <c r="I775" s="18" t="s">
        <v>40</v>
      </c>
      <c r="J775" s="18" t="s">
        <v>82</v>
      </c>
      <c r="K775" s="18">
        <v>3</v>
      </c>
      <c r="L775" s="20">
        <v>6675.1</v>
      </c>
      <c r="M775" s="21">
        <v>0.05</v>
      </c>
      <c r="N775" s="21">
        <v>0.58271099136168203</v>
      </c>
      <c r="O775" s="20">
        <f t="shared" si="48"/>
        <v>19024.035000000003</v>
      </c>
      <c r="P775" s="20">
        <f t="shared" si="49"/>
        <v>11085.514294549339</v>
      </c>
      <c r="Q775" s="20">
        <f t="shared" si="50"/>
        <v>7938.5207054506645</v>
      </c>
      <c r="R775" s="22">
        <f t="shared" si="51"/>
        <v>0.41728900863831797</v>
      </c>
    </row>
    <row r="776" spans="1:18">
      <c r="A776" s="18">
        <v>1775</v>
      </c>
      <c r="B776" s="19" t="s">
        <v>331</v>
      </c>
      <c r="C776" s="18">
        <v>2024</v>
      </c>
      <c r="D776" s="18" t="s">
        <v>57</v>
      </c>
      <c r="E776" s="18" t="s">
        <v>85</v>
      </c>
      <c r="F776" s="18" t="s">
        <v>121</v>
      </c>
      <c r="G776" s="18" t="s">
        <v>41</v>
      </c>
      <c r="H776" s="18" t="s">
        <v>112</v>
      </c>
      <c r="I776" s="18" t="s">
        <v>40</v>
      </c>
      <c r="J776" s="18" t="s">
        <v>91</v>
      </c>
      <c r="K776" s="18">
        <v>6</v>
      </c>
      <c r="L776" s="20">
        <v>6293.29</v>
      </c>
      <c r="M776" s="21">
        <v>0.15</v>
      </c>
      <c r="N776" s="21">
        <v>0.64703990289235103</v>
      </c>
      <c r="O776" s="20">
        <f t="shared" si="48"/>
        <v>32095.778999999999</v>
      </c>
      <c r="P776" s="20">
        <f t="shared" si="49"/>
        <v>20767.249727414357</v>
      </c>
      <c r="Q776" s="20">
        <f t="shared" si="50"/>
        <v>11328.529272585642</v>
      </c>
      <c r="R776" s="22">
        <f t="shared" si="51"/>
        <v>0.35296009710764903</v>
      </c>
    </row>
    <row r="777" spans="1:18">
      <c r="A777" s="18">
        <v>1776</v>
      </c>
      <c r="B777" s="19" t="s">
        <v>332</v>
      </c>
      <c r="C777" s="18">
        <v>2024</v>
      </c>
      <c r="D777" s="18" t="s">
        <v>57</v>
      </c>
      <c r="E777" s="18" t="s">
        <v>79</v>
      </c>
      <c r="F777" s="18" t="s">
        <v>80</v>
      </c>
      <c r="G777" s="18" t="s">
        <v>44</v>
      </c>
      <c r="H777" s="18" t="s">
        <v>119</v>
      </c>
      <c r="I777" s="18" t="s">
        <v>54</v>
      </c>
      <c r="J777" s="18" t="s">
        <v>82</v>
      </c>
      <c r="K777" s="18">
        <v>4</v>
      </c>
      <c r="L777" s="20">
        <v>7257.72</v>
      </c>
      <c r="M777" s="21">
        <v>0</v>
      </c>
      <c r="N777" s="21">
        <v>0.71699073190732998</v>
      </c>
      <c r="O777" s="20">
        <f t="shared" si="48"/>
        <v>29030.880000000001</v>
      </c>
      <c r="P777" s="20">
        <f t="shared" si="49"/>
        <v>20814.87189911387</v>
      </c>
      <c r="Q777" s="20">
        <f t="shared" si="50"/>
        <v>8216.0081008861307</v>
      </c>
      <c r="R777" s="22">
        <f t="shared" si="51"/>
        <v>0.28300926809266996</v>
      </c>
    </row>
    <row r="778" spans="1:18">
      <c r="A778" s="18">
        <v>1777</v>
      </c>
      <c r="B778" s="19" t="s">
        <v>332</v>
      </c>
      <c r="C778" s="18">
        <v>2024</v>
      </c>
      <c r="D778" s="18" t="s">
        <v>57</v>
      </c>
      <c r="E778" s="18" t="s">
        <v>98</v>
      </c>
      <c r="F778" s="18" t="s">
        <v>99</v>
      </c>
      <c r="G778" s="18" t="s">
        <v>44</v>
      </c>
      <c r="H778" s="18" t="s">
        <v>95</v>
      </c>
      <c r="I778" s="18" t="s">
        <v>40</v>
      </c>
      <c r="J778" s="18" t="s">
        <v>102</v>
      </c>
      <c r="K778" s="18">
        <v>10</v>
      </c>
      <c r="L778" s="20">
        <v>4356.26</v>
      </c>
      <c r="M778" s="21">
        <v>0</v>
      </c>
      <c r="N778" s="21">
        <v>0.59923148716725905</v>
      </c>
      <c r="O778" s="20">
        <f t="shared" si="48"/>
        <v>43562.600000000006</v>
      </c>
      <c r="P778" s="20">
        <f t="shared" si="49"/>
        <v>26104.081582872441</v>
      </c>
      <c r="Q778" s="20">
        <f t="shared" si="50"/>
        <v>17458.518417127565</v>
      </c>
      <c r="R778" s="22">
        <f t="shared" si="51"/>
        <v>0.40076851283274101</v>
      </c>
    </row>
    <row r="779" spans="1:18">
      <c r="A779" s="18">
        <v>1778</v>
      </c>
      <c r="B779" s="19" t="s">
        <v>332</v>
      </c>
      <c r="C779" s="18">
        <v>2024</v>
      </c>
      <c r="D779" s="18" t="s">
        <v>57</v>
      </c>
      <c r="E779" s="18" t="s">
        <v>85</v>
      </c>
      <c r="F779" s="18" t="s">
        <v>94</v>
      </c>
      <c r="G779" s="18" t="s">
        <v>41</v>
      </c>
      <c r="H779" s="18" t="s">
        <v>106</v>
      </c>
      <c r="I779" s="18" t="s">
        <v>40</v>
      </c>
      <c r="J779" s="18" t="s">
        <v>91</v>
      </c>
      <c r="K779" s="18">
        <v>11</v>
      </c>
      <c r="L779" s="20">
        <v>2620.33</v>
      </c>
      <c r="M779" s="21">
        <v>0</v>
      </c>
      <c r="N779" s="21">
        <v>0.62883396055334595</v>
      </c>
      <c r="O779" s="20">
        <f t="shared" si="48"/>
        <v>28823.629999999997</v>
      </c>
      <c r="P779" s="20">
        <f t="shared" si="49"/>
        <v>18125.277410424238</v>
      </c>
      <c r="Q779" s="20">
        <f t="shared" si="50"/>
        <v>10698.352589575759</v>
      </c>
      <c r="R779" s="22">
        <f t="shared" si="51"/>
        <v>0.37116603944665405</v>
      </c>
    </row>
    <row r="780" spans="1:18">
      <c r="A780" s="18">
        <v>1779</v>
      </c>
      <c r="B780" s="19" t="s">
        <v>332</v>
      </c>
      <c r="C780" s="18">
        <v>2024</v>
      </c>
      <c r="D780" s="18" t="s">
        <v>57</v>
      </c>
      <c r="E780" s="18" t="s">
        <v>79</v>
      </c>
      <c r="F780" s="18" t="s">
        <v>105</v>
      </c>
      <c r="G780" s="18" t="s">
        <v>44</v>
      </c>
      <c r="H780" s="18" t="s">
        <v>119</v>
      </c>
      <c r="I780" s="18" t="s">
        <v>43</v>
      </c>
      <c r="J780" s="18" t="s">
        <v>91</v>
      </c>
      <c r="K780" s="18">
        <v>12</v>
      </c>
      <c r="L780" s="20">
        <v>7111.68</v>
      </c>
      <c r="M780" s="21">
        <v>0.1</v>
      </c>
      <c r="N780" s="21">
        <v>0.67567134790897598</v>
      </c>
      <c r="O780" s="20">
        <f t="shared" si="48"/>
        <v>76806.144</v>
      </c>
      <c r="P780" s="20">
        <f t="shared" si="49"/>
        <v>51895.710844170906</v>
      </c>
      <c r="Q780" s="20">
        <f t="shared" si="50"/>
        <v>24910.433155829094</v>
      </c>
      <c r="R780" s="22">
        <f t="shared" si="51"/>
        <v>0.32432865209102407</v>
      </c>
    </row>
    <row r="781" spans="1:18">
      <c r="A781" s="18">
        <v>1780</v>
      </c>
      <c r="B781" s="19" t="s">
        <v>332</v>
      </c>
      <c r="C781" s="18">
        <v>2024</v>
      </c>
      <c r="D781" s="18" t="s">
        <v>57</v>
      </c>
      <c r="E781" s="18" t="s">
        <v>98</v>
      </c>
      <c r="F781" s="18" t="s">
        <v>99</v>
      </c>
      <c r="G781" s="18" t="s">
        <v>41</v>
      </c>
      <c r="H781" s="18" t="s">
        <v>106</v>
      </c>
      <c r="I781" s="18" t="s">
        <v>40</v>
      </c>
      <c r="J781" s="18" t="s">
        <v>102</v>
      </c>
      <c r="K781" s="18">
        <v>10</v>
      </c>
      <c r="L781" s="20">
        <v>2612.7199999999998</v>
      </c>
      <c r="M781" s="21">
        <v>0.05</v>
      </c>
      <c r="N781" s="21">
        <v>0.73948367943099902</v>
      </c>
      <c r="O781" s="20">
        <f t="shared" si="48"/>
        <v>24820.839999999997</v>
      </c>
      <c r="P781" s="20">
        <f t="shared" si="49"/>
        <v>18354.606089768116</v>
      </c>
      <c r="Q781" s="20">
        <f t="shared" si="50"/>
        <v>6466.2339102318801</v>
      </c>
      <c r="R781" s="22">
        <f t="shared" si="51"/>
        <v>0.26051632056900093</v>
      </c>
    </row>
    <row r="782" spans="1:18">
      <c r="A782" s="18">
        <v>1781</v>
      </c>
      <c r="B782" s="19" t="s">
        <v>333</v>
      </c>
      <c r="C782" s="18">
        <v>2024</v>
      </c>
      <c r="D782" s="18" t="s">
        <v>57</v>
      </c>
      <c r="E782" s="18" t="s">
        <v>88</v>
      </c>
      <c r="F782" s="18" t="s">
        <v>110</v>
      </c>
      <c r="G782" s="18" t="s">
        <v>47</v>
      </c>
      <c r="H782" s="18" t="s">
        <v>107</v>
      </c>
      <c r="I782" s="18" t="s">
        <v>40</v>
      </c>
      <c r="J782" s="18" t="s">
        <v>102</v>
      </c>
      <c r="K782" s="18">
        <v>2</v>
      </c>
      <c r="L782" s="20">
        <v>2210.37</v>
      </c>
      <c r="M782" s="21">
        <v>0.15</v>
      </c>
      <c r="N782" s="21">
        <v>0.62627818598233298</v>
      </c>
      <c r="O782" s="20">
        <f t="shared" si="48"/>
        <v>3757.6289999999999</v>
      </c>
      <c r="P782" s="20">
        <f t="shared" si="49"/>
        <v>2353.3210737146078</v>
      </c>
      <c r="Q782" s="20">
        <f t="shared" si="50"/>
        <v>1404.3079262853921</v>
      </c>
      <c r="R782" s="22">
        <f t="shared" si="51"/>
        <v>0.37372181401766702</v>
      </c>
    </row>
    <row r="783" spans="1:18">
      <c r="A783" s="18">
        <v>1782</v>
      </c>
      <c r="B783" s="19" t="s">
        <v>333</v>
      </c>
      <c r="C783" s="18">
        <v>2024</v>
      </c>
      <c r="D783" s="18" t="s">
        <v>57</v>
      </c>
      <c r="E783" s="18" t="s">
        <v>85</v>
      </c>
      <c r="F783" s="18" t="s">
        <v>121</v>
      </c>
      <c r="G783" s="18" t="s">
        <v>44</v>
      </c>
      <c r="H783" s="18" t="s">
        <v>119</v>
      </c>
      <c r="I783" s="18" t="s">
        <v>56</v>
      </c>
      <c r="J783" s="18" t="s">
        <v>82</v>
      </c>
      <c r="K783" s="18">
        <v>1</v>
      </c>
      <c r="L783" s="20">
        <v>7246.64</v>
      </c>
      <c r="M783" s="21">
        <v>0</v>
      </c>
      <c r="N783" s="21">
        <v>0.62770058032794696</v>
      </c>
      <c r="O783" s="20">
        <f t="shared" si="48"/>
        <v>7246.64</v>
      </c>
      <c r="P783" s="20">
        <f t="shared" si="49"/>
        <v>4548.7201334277133</v>
      </c>
      <c r="Q783" s="20">
        <f t="shared" si="50"/>
        <v>2697.919866572287</v>
      </c>
      <c r="R783" s="22">
        <f t="shared" si="51"/>
        <v>0.3722994196720531</v>
      </c>
    </row>
    <row r="784" spans="1:18">
      <c r="A784" s="18">
        <v>1783</v>
      </c>
      <c r="B784" s="19" t="s">
        <v>333</v>
      </c>
      <c r="C784" s="18">
        <v>2024</v>
      </c>
      <c r="D784" s="18" t="s">
        <v>57</v>
      </c>
      <c r="E784" s="18" t="s">
        <v>85</v>
      </c>
      <c r="F784" s="18" t="s">
        <v>121</v>
      </c>
      <c r="G784" s="18" t="s">
        <v>44</v>
      </c>
      <c r="H784" s="18" t="s">
        <v>119</v>
      </c>
      <c r="I784" s="18" t="s">
        <v>52</v>
      </c>
      <c r="J784" s="18" t="s">
        <v>91</v>
      </c>
      <c r="K784" s="18">
        <v>7</v>
      </c>
      <c r="L784" s="20">
        <v>7165.12</v>
      </c>
      <c r="M784" s="21">
        <v>0.05</v>
      </c>
      <c r="N784" s="21">
        <v>0.73074685437226605</v>
      </c>
      <c r="O784" s="20">
        <f t="shared" si="48"/>
        <v>47648.047999999995</v>
      </c>
      <c r="P784" s="20">
        <f t="shared" si="49"/>
        <v>34818.66119297874</v>
      </c>
      <c r="Q784" s="20">
        <f t="shared" si="50"/>
        <v>12829.386807021256</v>
      </c>
      <c r="R784" s="22">
        <f t="shared" si="51"/>
        <v>0.26925314562773395</v>
      </c>
    </row>
    <row r="785" spans="1:18">
      <c r="A785" s="18">
        <v>1784</v>
      </c>
      <c r="B785" s="19" t="s">
        <v>334</v>
      </c>
      <c r="C785" s="18">
        <v>2024</v>
      </c>
      <c r="D785" s="18" t="s">
        <v>57</v>
      </c>
      <c r="E785" s="18" t="s">
        <v>98</v>
      </c>
      <c r="F785" s="18" t="s">
        <v>99</v>
      </c>
      <c r="G785" s="18" t="s">
        <v>41</v>
      </c>
      <c r="H785" s="18" t="s">
        <v>106</v>
      </c>
      <c r="I785" s="18" t="s">
        <v>60</v>
      </c>
      <c r="J785" s="18" t="s">
        <v>82</v>
      </c>
      <c r="K785" s="18">
        <v>8</v>
      </c>
      <c r="L785" s="20">
        <v>2486.36</v>
      </c>
      <c r="M785" s="21">
        <v>0.1</v>
      </c>
      <c r="N785" s="21">
        <v>0.64528793732595402</v>
      </c>
      <c r="O785" s="20">
        <f t="shared" si="48"/>
        <v>17901.792000000001</v>
      </c>
      <c r="P785" s="20">
        <f t="shared" si="49"/>
        <v>11551.810434118266</v>
      </c>
      <c r="Q785" s="20">
        <f t="shared" si="50"/>
        <v>6349.9815658817352</v>
      </c>
      <c r="R785" s="22">
        <f t="shared" si="51"/>
        <v>0.35471206267404598</v>
      </c>
    </row>
    <row r="786" spans="1:18">
      <c r="A786" s="18">
        <v>1785</v>
      </c>
      <c r="B786" s="19" t="s">
        <v>334</v>
      </c>
      <c r="C786" s="18">
        <v>2024</v>
      </c>
      <c r="D786" s="18" t="s">
        <v>57</v>
      </c>
      <c r="E786" s="18" t="s">
        <v>85</v>
      </c>
      <c r="F786" s="18" t="s">
        <v>86</v>
      </c>
      <c r="G786" s="18" t="s">
        <v>50</v>
      </c>
      <c r="H786" s="18" t="s">
        <v>97</v>
      </c>
      <c r="I786" s="18" t="s">
        <v>62</v>
      </c>
      <c r="J786" s="18" t="s">
        <v>82</v>
      </c>
      <c r="K786" s="18">
        <v>7</v>
      </c>
      <c r="L786" s="20">
        <v>12156.82</v>
      </c>
      <c r="M786" s="21">
        <v>0</v>
      </c>
      <c r="N786" s="21">
        <v>0.55808761792382799</v>
      </c>
      <c r="O786" s="20">
        <f t="shared" si="48"/>
        <v>85097.739999999991</v>
      </c>
      <c r="P786" s="20">
        <f t="shared" si="49"/>
        <v>47491.995007301251</v>
      </c>
      <c r="Q786" s="20">
        <f t="shared" si="50"/>
        <v>37605.744992698739</v>
      </c>
      <c r="R786" s="22">
        <f t="shared" si="51"/>
        <v>0.44191238207617201</v>
      </c>
    </row>
    <row r="787" spans="1:18">
      <c r="A787" s="18">
        <v>1786</v>
      </c>
      <c r="B787" s="19" t="s">
        <v>334</v>
      </c>
      <c r="C787" s="18">
        <v>2024</v>
      </c>
      <c r="D787" s="18" t="s">
        <v>57</v>
      </c>
      <c r="E787" s="18" t="s">
        <v>98</v>
      </c>
      <c r="F787" s="18" t="s">
        <v>109</v>
      </c>
      <c r="G787" s="18" t="s">
        <v>44</v>
      </c>
      <c r="H787" s="18" t="s">
        <v>95</v>
      </c>
      <c r="I787" s="18" t="s">
        <v>46</v>
      </c>
      <c r="J787" s="18" t="s">
        <v>91</v>
      </c>
      <c r="K787" s="18">
        <v>9</v>
      </c>
      <c r="L787" s="20">
        <v>4558.3</v>
      </c>
      <c r="M787" s="21">
        <v>0.15</v>
      </c>
      <c r="N787" s="21">
        <v>0.56679402037069704</v>
      </c>
      <c r="O787" s="20">
        <f t="shared" si="48"/>
        <v>34870.995000000003</v>
      </c>
      <c r="P787" s="20">
        <f t="shared" si="49"/>
        <v>19764.671450376474</v>
      </c>
      <c r="Q787" s="20">
        <f t="shared" si="50"/>
        <v>15106.323549623528</v>
      </c>
      <c r="R787" s="22">
        <f t="shared" si="51"/>
        <v>0.43320597962930302</v>
      </c>
    </row>
    <row r="788" spans="1:18">
      <c r="A788" s="18">
        <v>1787</v>
      </c>
      <c r="B788" s="19" t="s">
        <v>335</v>
      </c>
      <c r="C788" s="18">
        <v>2024</v>
      </c>
      <c r="D788" s="18" t="s">
        <v>57</v>
      </c>
      <c r="E788" s="18" t="s">
        <v>85</v>
      </c>
      <c r="F788" s="18" t="s">
        <v>86</v>
      </c>
      <c r="G788" s="18" t="s">
        <v>50</v>
      </c>
      <c r="H788" s="18" t="s">
        <v>97</v>
      </c>
      <c r="I788" s="18" t="s">
        <v>46</v>
      </c>
      <c r="J788" s="18" t="s">
        <v>82</v>
      </c>
      <c r="K788" s="18">
        <v>11</v>
      </c>
      <c r="L788" s="20">
        <v>12483.48</v>
      </c>
      <c r="M788" s="21">
        <v>0</v>
      </c>
      <c r="N788" s="21">
        <v>0.65461841140349497</v>
      </c>
      <c r="O788" s="20">
        <f t="shared" si="48"/>
        <v>137318.28</v>
      </c>
      <c r="P788" s="20">
        <f t="shared" si="49"/>
        <v>89891.074310260316</v>
      </c>
      <c r="Q788" s="20">
        <f t="shared" si="50"/>
        <v>47427.205689739683</v>
      </c>
      <c r="R788" s="22">
        <f t="shared" si="51"/>
        <v>0.34538158859650503</v>
      </c>
    </row>
    <row r="789" spans="1:18">
      <c r="A789" s="18">
        <v>1788</v>
      </c>
      <c r="B789" s="19" t="s">
        <v>335</v>
      </c>
      <c r="C789" s="18">
        <v>2024</v>
      </c>
      <c r="D789" s="18" t="s">
        <v>57</v>
      </c>
      <c r="E789" s="18" t="s">
        <v>98</v>
      </c>
      <c r="F789" s="18" t="s">
        <v>99</v>
      </c>
      <c r="G789" s="18" t="s">
        <v>41</v>
      </c>
      <c r="H789" s="18" t="s">
        <v>90</v>
      </c>
      <c r="I789" s="18" t="s">
        <v>40</v>
      </c>
      <c r="J789" s="18" t="s">
        <v>102</v>
      </c>
      <c r="K789" s="18">
        <v>2</v>
      </c>
      <c r="L789" s="20">
        <v>18019.169999999998</v>
      </c>
      <c r="M789" s="21">
        <v>0.1</v>
      </c>
      <c r="N789" s="21">
        <v>0.56889687249758303</v>
      </c>
      <c r="O789" s="20">
        <f t="shared" si="48"/>
        <v>32434.505999999998</v>
      </c>
      <c r="P789" s="20">
        <f t="shared" si="49"/>
        <v>18451.889024404089</v>
      </c>
      <c r="Q789" s="20">
        <f t="shared" si="50"/>
        <v>13982.616975595909</v>
      </c>
      <c r="R789" s="22">
        <f t="shared" si="51"/>
        <v>0.43110312750241703</v>
      </c>
    </row>
    <row r="790" spans="1:18">
      <c r="A790" s="18">
        <v>1789</v>
      </c>
      <c r="B790" s="19" t="s">
        <v>335</v>
      </c>
      <c r="C790" s="18">
        <v>2024</v>
      </c>
      <c r="D790" s="18" t="s">
        <v>57</v>
      </c>
      <c r="E790" s="18" t="s">
        <v>98</v>
      </c>
      <c r="F790" s="18" t="s">
        <v>109</v>
      </c>
      <c r="G790" s="18" t="s">
        <v>47</v>
      </c>
      <c r="H790" s="18" t="s">
        <v>103</v>
      </c>
      <c r="I790" s="18" t="s">
        <v>43</v>
      </c>
      <c r="J790" s="18" t="s">
        <v>102</v>
      </c>
      <c r="K790" s="18">
        <v>1</v>
      </c>
      <c r="L790" s="20">
        <v>3076.46</v>
      </c>
      <c r="M790" s="21">
        <v>0.2</v>
      </c>
      <c r="N790" s="21">
        <v>0.64257578876547805</v>
      </c>
      <c r="O790" s="20">
        <f t="shared" si="48"/>
        <v>2461.1680000000001</v>
      </c>
      <c r="P790" s="20">
        <f t="shared" si="49"/>
        <v>1581.4869688843542</v>
      </c>
      <c r="Q790" s="20">
        <f t="shared" si="50"/>
        <v>879.68103111564596</v>
      </c>
      <c r="R790" s="22">
        <f t="shared" si="51"/>
        <v>0.35742421123452195</v>
      </c>
    </row>
    <row r="791" spans="1:18">
      <c r="A791" s="18">
        <v>1790</v>
      </c>
      <c r="B791" s="19" t="s">
        <v>335</v>
      </c>
      <c r="C791" s="18">
        <v>2024</v>
      </c>
      <c r="D791" s="18" t="s">
        <v>57</v>
      </c>
      <c r="E791" s="18" t="s">
        <v>88</v>
      </c>
      <c r="F791" s="18" t="s">
        <v>89</v>
      </c>
      <c r="G791" s="18" t="s">
        <v>41</v>
      </c>
      <c r="H791" s="18" t="s">
        <v>90</v>
      </c>
      <c r="I791" s="18" t="s">
        <v>56</v>
      </c>
      <c r="J791" s="18" t="s">
        <v>102</v>
      </c>
      <c r="K791" s="18">
        <v>5</v>
      </c>
      <c r="L791" s="20">
        <v>17665.099999999999</v>
      </c>
      <c r="M791" s="21">
        <v>0.2</v>
      </c>
      <c r="N791" s="21">
        <v>0.64099962973200397</v>
      </c>
      <c r="O791" s="20">
        <f t="shared" si="48"/>
        <v>70660.400000000009</v>
      </c>
      <c r="P791" s="20">
        <f t="shared" si="49"/>
        <v>45293.2902367153</v>
      </c>
      <c r="Q791" s="20">
        <f t="shared" si="50"/>
        <v>25367.109763284709</v>
      </c>
      <c r="R791" s="22">
        <f t="shared" si="51"/>
        <v>0.35900037026799603</v>
      </c>
    </row>
    <row r="792" spans="1:18">
      <c r="A792" s="18">
        <v>1791</v>
      </c>
      <c r="B792" s="19" t="s">
        <v>335</v>
      </c>
      <c r="C792" s="18">
        <v>2024</v>
      </c>
      <c r="D792" s="18" t="s">
        <v>57</v>
      </c>
      <c r="E792" s="18" t="s">
        <v>85</v>
      </c>
      <c r="F792" s="18" t="s">
        <v>94</v>
      </c>
      <c r="G792" s="18" t="s">
        <v>47</v>
      </c>
      <c r="H792" s="18" t="s">
        <v>107</v>
      </c>
      <c r="I792" s="18" t="s">
        <v>46</v>
      </c>
      <c r="J792" s="18" t="s">
        <v>82</v>
      </c>
      <c r="K792" s="18">
        <v>3</v>
      </c>
      <c r="L792" s="20">
        <v>2107.21</v>
      </c>
      <c r="M792" s="21">
        <v>0.15</v>
      </c>
      <c r="N792" s="21">
        <v>0.60186353455724695</v>
      </c>
      <c r="O792" s="20">
        <f t="shared" si="48"/>
        <v>5373.3855000000003</v>
      </c>
      <c r="P792" s="20">
        <f t="shared" si="49"/>
        <v>3234.0447895686598</v>
      </c>
      <c r="Q792" s="20">
        <f t="shared" si="50"/>
        <v>2139.3407104313405</v>
      </c>
      <c r="R792" s="22">
        <f t="shared" si="51"/>
        <v>0.39813646544275305</v>
      </c>
    </row>
    <row r="793" spans="1:18">
      <c r="A793" s="18">
        <v>1792</v>
      </c>
      <c r="B793" s="19" t="s">
        <v>336</v>
      </c>
      <c r="C793" s="18">
        <v>2024</v>
      </c>
      <c r="D793" s="18" t="s">
        <v>57</v>
      </c>
      <c r="E793" s="18" t="s">
        <v>85</v>
      </c>
      <c r="F793" s="18" t="s">
        <v>94</v>
      </c>
      <c r="G793" s="18" t="s">
        <v>41</v>
      </c>
      <c r="H793" s="18" t="s">
        <v>90</v>
      </c>
      <c r="I793" s="18" t="s">
        <v>56</v>
      </c>
      <c r="J793" s="18" t="s">
        <v>82</v>
      </c>
      <c r="K793" s="18">
        <v>1</v>
      </c>
      <c r="L793" s="20">
        <v>17409.12</v>
      </c>
      <c r="M793" s="21">
        <v>0.1</v>
      </c>
      <c r="N793" s="21">
        <v>0.64203260346026203</v>
      </c>
      <c r="O793" s="20">
        <f t="shared" si="48"/>
        <v>15668.207999999999</v>
      </c>
      <c r="P793" s="20">
        <f t="shared" si="49"/>
        <v>10059.500373796904</v>
      </c>
      <c r="Q793" s="20">
        <f t="shared" si="50"/>
        <v>5608.7076262030951</v>
      </c>
      <c r="R793" s="22">
        <f t="shared" si="51"/>
        <v>0.35796739653973803</v>
      </c>
    </row>
    <row r="794" spans="1:18">
      <c r="A794" s="18">
        <v>1793</v>
      </c>
      <c r="B794" s="19" t="s">
        <v>336</v>
      </c>
      <c r="C794" s="18">
        <v>2024</v>
      </c>
      <c r="D794" s="18" t="s">
        <v>57</v>
      </c>
      <c r="E794" s="18" t="s">
        <v>85</v>
      </c>
      <c r="F794" s="18" t="s">
        <v>94</v>
      </c>
      <c r="G794" s="18" t="s">
        <v>50</v>
      </c>
      <c r="H794" s="18" t="s">
        <v>97</v>
      </c>
      <c r="I794" s="18" t="s">
        <v>62</v>
      </c>
      <c r="J794" s="18" t="s">
        <v>102</v>
      </c>
      <c r="K794" s="18">
        <v>6</v>
      </c>
      <c r="L794" s="20">
        <v>12228.79</v>
      </c>
      <c r="M794" s="21">
        <v>0.2</v>
      </c>
      <c r="N794" s="21">
        <v>0.68502045779674803</v>
      </c>
      <c r="O794" s="20">
        <f t="shared" si="48"/>
        <v>58698.19200000001</v>
      </c>
      <c r="P794" s="20">
        <f t="shared" si="49"/>
        <v>40209.462355681419</v>
      </c>
      <c r="Q794" s="20">
        <f t="shared" si="50"/>
        <v>18488.729644318591</v>
      </c>
      <c r="R794" s="22">
        <f t="shared" si="51"/>
        <v>0.31497954220325197</v>
      </c>
    </row>
    <row r="795" spans="1:18">
      <c r="A795" s="18">
        <v>1794</v>
      </c>
      <c r="B795" s="19" t="s">
        <v>337</v>
      </c>
      <c r="C795" s="18">
        <v>2024</v>
      </c>
      <c r="D795" s="18" t="s">
        <v>57</v>
      </c>
      <c r="E795" s="18" t="s">
        <v>79</v>
      </c>
      <c r="F795" s="18" t="s">
        <v>100</v>
      </c>
      <c r="G795" s="18" t="s">
        <v>44</v>
      </c>
      <c r="H795" s="18" t="s">
        <v>119</v>
      </c>
      <c r="I795" s="18" t="s">
        <v>49</v>
      </c>
      <c r="J795" s="18" t="s">
        <v>82</v>
      </c>
      <c r="K795" s="18">
        <v>1</v>
      </c>
      <c r="L795" s="20">
        <v>7137.22</v>
      </c>
      <c r="M795" s="21">
        <v>0</v>
      </c>
      <c r="N795" s="21">
        <v>0.72180240605296997</v>
      </c>
      <c r="O795" s="20">
        <f t="shared" si="48"/>
        <v>7137.22</v>
      </c>
      <c r="P795" s="20">
        <f t="shared" si="49"/>
        <v>5151.6625685293784</v>
      </c>
      <c r="Q795" s="20">
        <f t="shared" si="50"/>
        <v>1985.5574314706219</v>
      </c>
      <c r="R795" s="22">
        <f t="shared" si="51"/>
        <v>0.27819759394703003</v>
      </c>
    </row>
    <row r="796" spans="1:18">
      <c r="A796" s="18">
        <v>1795</v>
      </c>
      <c r="B796" s="19" t="s">
        <v>337</v>
      </c>
      <c r="C796" s="18">
        <v>2024</v>
      </c>
      <c r="D796" s="18" t="s">
        <v>57</v>
      </c>
      <c r="E796" s="18" t="s">
        <v>88</v>
      </c>
      <c r="F796" s="18" t="s">
        <v>89</v>
      </c>
      <c r="G796" s="18" t="s">
        <v>44</v>
      </c>
      <c r="H796" s="18" t="s">
        <v>95</v>
      </c>
      <c r="I796" s="18" t="s">
        <v>49</v>
      </c>
      <c r="J796" s="18" t="s">
        <v>91</v>
      </c>
      <c r="K796" s="18">
        <v>11</v>
      </c>
      <c r="L796" s="20">
        <v>4661.1899999999996</v>
      </c>
      <c r="M796" s="21">
        <v>0.15</v>
      </c>
      <c r="N796" s="21">
        <v>0.58818289054348105</v>
      </c>
      <c r="O796" s="20">
        <f t="shared" si="48"/>
        <v>43582.126499999998</v>
      </c>
      <c r="P796" s="20">
        <f t="shared" si="49"/>
        <v>25634.261140801646</v>
      </c>
      <c r="Q796" s="20">
        <f t="shared" si="50"/>
        <v>17947.865359198353</v>
      </c>
      <c r="R796" s="22">
        <f t="shared" si="51"/>
        <v>0.41181710945651889</v>
      </c>
    </row>
    <row r="797" spans="1:18">
      <c r="A797" s="18">
        <v>1796</v>
      </c>
      <c r="B797" s="19" t="s">
        <v>337</v>
      </c>
      <c r="C797" s="18">
        <v>2024</v>
      </c>
      <c r="D797" s="18" t="s">
        <v>57</v>
      </c>
      <c r="E797" s="18" t="s">
        <v>98</v>
      </c>
      <c r="F797" s="18" t="s">
        <v>109</v>
      </c>
      <c r="G797" s="18" t="s">
        <v>44</v>
      </c>
      <c r="H797" s="18" t="s">
        <v>114</v>
      </c>
      <c r="I797" s="18" t="s">
        <v>56</v>
      </c>
      <c r="J797" s="18" t="s">
        <v>82</v>
      </c>
      <c r="K797" s="18">
        <v>2</v>
      </c>
      <c r="L797" s="20">
        <v>8699.49</v>
      </c>
      <c r="M797" s="21">
        <v>0</v>
      </c>
      <c r="N797" s="21">
        <v>0.69775623634844697</v>
      </c>
      <c r="O797" s="20">
        <f t="shared" si="48"/>
        <v>17398.98</v>
      </c>
      <c r="P797" s="20">
        <f t="shared" si="49"/>
        <v>12140.246801101901</v>
      </c>
      <c r="Q797" s="20">
        <f t="shared" si="50"/>
        <v>5258.7331988980986</v>
      </c>
      <c r="R797" s="22">
        <f t="shared" si="51"/>
        <v>0.30224376365155309</v>
      </c>
    </row>
    <row r="798" spans="1:18">
      <c r="A798" s="18">
        <v>1797</v>
      </c>
      <c r="B798" s="19" t="s">
        <v>337</v>
      </c>
      <c r="C798" s="18">
        <v>2024</v>
      </c>
      <c r="D798" s="18" t="s">
        <v>57</v>
      </c>
      <c r="E798" s="18" t="s">
        <v>85</v>
      </c>
      <c r="F798" s="18" t="s">
        <v>121</v>
      </c>
      <c r="G798" s="18" t="s">
        <v>50</v>
      </c>
      <c r="H798" s="18" t="s">
        <v>83</v>
      </c>
      <c r="I798" s="18" t="s">
        <v>58</v>
      </c>
      <c r="J798" s="18" t="s">
        <v>102</v>
      </c>
      <c r="K798" s="18">
        <v>4</v>
      </c>
      <c r="L798" s="20">
        <v>3395.47</v>
      </c>
      <c r="M798" s="21">
        <v>0.15</v>
      </c>
      <c r="N798" s="21">
        <v>0.71589015250480004</v>
      </c>
      <c r="O798" s="20">
        <f t="shared" si="48"/>
        <v>11544.597999999998</v>
      </c>
      <c r="P798" s="20">
        <f t="shared" si="49"/>
        <v>8264.6640228266078</v>
      </c>
      <c r="Q798" s="20">
        <f t="shared" si="50"/>
        <v>3279.9339771733903</v>
      </c>
      <c r="R798" s="22">
        <f t="shared" si="51"/>
        <v>0.28410984749520002</v>
      </c>
    </row>
    <row r="799" spans="1:18">
      <c r="A799" s="18">
        <v>1798</v>
      </c>
      <c r="B799" s="19" t="s">
        <v>338</v>
      </c>
      <c r="C799" s="18">
        <v>2024</v>
      </c>
      <c r="D799" s="18" t="s">
        <v>57</v>
      </c>
      <c r="E799" s="18" t="s">
        <v>79</v>
      </c>
      <c r="F799" s="18" t="s">
        <v>105</v>
      </c>
      <c r="G799" s="18" t="s">
        <v>41</v>
      </c>
      <c r="H799" s="18" t="s">
        <v>90</v>
      </c>
      <c r="I799" s="18" t="s">
        <v>56</v>
      </c>
      <c r="J799" s="18" t="s">
        <v>91</v>
      </c>
      <c r="K799" s="18">
        <v>8</v>
      </c>
      <c r="L799" s="20">
        <v>18426.740000000002</v>
      </c>
      <c r="M799" s="21">
        <v>0.15</v>
      </c>
      <c r="N799" s="21">
        <v>0.69621570937976895</v>
      </c>
      <c r="O799" s="20">
        <f t="shared" si="48"/>
        <v>125301.83200000001</v>
      </c>
      <c r="P799" s="20">
        <f t="shared" si="49"/>
        <v>87237.103852464643</v>
      </c>
      <c r="Q799" s="20">
        <f t="shared" si="50"/>
        <v>38064.728147535367</v>
      </c>
      <c r="R799" s="22">
        <f t="shared" si="51"/>
        <v>0.30378429062023105</v>
      </c>
    </row>
    <row r="800" spans="1:18">
      <c r="A800" s="18">
        <v>1799</v>
      </c>
      <c r="B800" s="19" t="s">
        <v>338</v>
      </c>
      <c r="C800" s="18">
        <v>2024</v>
      </c>
      <c r="D800" s="18" t="s">
        <v>57</v>
      </c>
      <c r="E800" s="18" t="s">
        <v>98</v>
      </c>
      <c r="F800" s="18" t="s">
        <v>117</v>
      </c>
      <c r="G800" s="18" t="s">
        <v>50</v>
      </c>
      <c r="H800" s="18" t="s">
        <v>97</v>
      </c>
      <c r="I800" s="18" t="s">
        <v>58</v>
      </c>
      <c r="J800" s="18" t="s">
        <v>102</v>
      </c>
      <c r="K800" s="18">
        <v>10</v>
      </c>
      <c r="L800" s="20">
        <v>12269.54</v>
      </c>
      <c r="M800" s="21">
        <v>0.2</v>
      </c>
      <c r="N800" s="21">
        <v>0.73101462843520804</v>
      </c>
      <c r="O800" s="20">
        <f t="shared" si="48"/>
        <v>98156.32</v>
      </c>
      <c r="P800" s="20">
        <f t="shared" si="49"/>
        <v>71753.705793367379</v>
      </c>
      <c r="Q800" s="20">
        <f t="shared" si="50"/>
        <v>26402.614206632628</v>
      </c>
      <c r="R800" s="22">
        <f t="shared" si="51"/>
        <v>0.26898537156479202</v>
      </c>
    </row>
    <row r="801" spans="1:18">
      <c r="A801" s="18">
        <v>1800</v>
      </c>
      <c r="B801" s="19" t="s">
        <v>338</v>
      </c>
      <c r="C801" s="18">
        <v>2024</v>
      </c>
      <c r="D801" s="18" t="s">
        <v>57</v>
      </c>
      <c r="E801" s="18" t="s">
        <v>85</v>
      </c>
      <c r="F801" s="18" t="s">
        <v>86</v>
      </c>
      <c r="G801" s="18" t="s">
        <v>41</v>
      </c>
      <c r="H801" s="18" t="s">
        <v>90</v>
      </c>
      <c r="I801" s="18" t="s">
        <v>56</v>
      </c>
      <c r="J801" s="18" t="s">
        <v>102</v>
      </c>
      <c r="K801" s="18">
        <v>6</v>
      </c>
      <c r="L801" s="20">
        <v>18095.86</v>
      </c>
      <c r="M801" s="21">
        <v>0.05</v>
      </c>
      <c r="N801" s="21">
        <v>0.72857543922707502</v>
      </c>
      <c r="O801" s="20">
        <f t="shared" si="48"/>
        <v>103146.402</v>
      </c>
      <c r="P801" s="20">
        <f t="shared" si="49"/>
        <v>75149.935141842449</v>
      </c>
      <c r="Q801" s="20">
        <f t="shared" si="50"/>
        <v>27996.466858157553</v>
      </c>
      <c r="R801" s="22">
        <f t="shared" si="51"/>
        <v>0.27142456077292498</v>
      </c>
    </row>
    <row r="802" spans="1:18">
      <c r="A802" s="18">
        <v>1801</v>
      </c>
      <c r="B802" s="19" t="s">
        <v>338</v>
      </c>
      <c r="C802" s="18">
        <v>2024</v>
      </c>
      <c r="D802" s="18" t="s">
        <v>57</v>
      </c>
      <c r="E802" s="18" t="s">
        <v>85</v>
      </c>
      <c r="F802" s="18" t="s">
        <v>121</v>
      </c>
      <c r="G802" s="18" t="s">
        <v>41</v>
      </c>
      <c r="H802" s="18" t="s">
        <v>112</v>
      </c>
      <c r="I802" s="18" t="s">
        <v>62</v>
      </c>
      <c r="J802" s="18" t="s">
        <v>102</v>
      </c>
      <c r="K802" s="18">
        <v>6</v>
      </c>
      <c r="L802" s="20">
        <v>5969</v>
      </c>
      <c r="M802" s="21">
        <v>0.1</v>
      </c>
      <c r="N802" s="21">
        <v>0.55416138494213396</v>
      </c>
      <c r="O802" s="20">
        <f t="shared" si="48"/>
        <v>32232.600000000002</v>
      </c>
      <c r="P802" s="20">
        <f t="shared" si="49"/>
        <v>17862.06225628583</v>
      </c>
      <c r="Q802" s="20">
        <f t="shared" si="50"/>
        <v>14370.537743714172</v>
      </c>
      <c r="R802" s="22">
        <f t="shared" si="51"/>
        <v>0.44583861505786598</v>
      </c>
    </row>
    <row r="803" spans="1:18">
      <c r="A803" s="18">
        <v>1802</v>
      </c>
      <c r="B803" s="19" t="s">
        <v>338</v>
      </c>
      <c r="C803" s="18">
        <v>2024</v>
      </c>
      <c r="D803" s="18" t="s">
        <v>57</v>
      </c>
      <c r="E803" s="18" t="s">
        <v>98</v>
      </c>
      <c r="F803" s="18" t="s">
        <v>99</v>
      </c>
      <c r="G803" s="18" t="s">
        <v>44</v>
      </c>
      <c r="H803" s="18" t="s">
        <v>114</v>
      </c>
      <c r="I803" s="18" t="s">
        <v>54</v>
      </c>
      <c r="J803" s="18" t="s">
        <v>91</v>
      </c>
      <c r="K803" s="18">
        <v>4</v>
      </c>
      <c r="L803" s="20">
        <v>9006.8700000000008</v>
      </c>
      <c r="M803" s="21">
        <v>0.15</v>
      </c>
      <c r="N803" s="21">
        <v>0.73181403083350405</v>
      </c>
      <c r="O803" s="20">
        <f t="shared" si="48"/>
        <v>30623.358</v>
      </c>
      <c r="P803" s="20">
        <f t="shared" si="49"/>
        <v>22410.603055637432</v>
      </c>
      <c r="Q803" s="20">
        <f t="shared" si="50"/>
        <v>8212.7549443625685</v>
      </c>
      <c r="R803" s="22">
        <f t="shared" si="51"/>
        <v>0.26818596916649601</v>
      </c>
    </row>
    <row r="804" spans="1:18">
      <c r="A804" s="18">
        <v>1803</v>
      </c>
      <c r="B804" s="19" t="s">
        <v>339</v>
      </c>
      <c r="C804" s="18">
        <v>2024</v>
      </c>
      <c r="D804" s="18" t="s">
        <v>57</v>
      </c>
      <c r="E804" s="18" t="s">
        <v>85</v>
      </c>
      <c r="F804" s="18" t="s">
        <v>86</v>
      </c>
      <c r="G804" s="18" t="s">
        <v>47</v>
      </c>
      <c r="H804" s="18" t="s">
        <v>103</v>
      </c>
      <c r="I804" s="18" t="s">
        <v>56</v>
      </c>
      <c r="J804" s="18" t="s">
        <v>91</v>
      </c>
      <c r="K804" s="18">
        <v>11</v>
      </c>
      <c r="L804" s="20">
        <v>3248.8</v>
      </c>
      <c r="M804" s="21">
        <v>0.05</v>
      </c>
      <c r="N804" s="21">
        <v>0.70919453274059996</v>
      </c>
      <c r="O804" s="20">
        <f t="shared" si="48"/>
        <v>33949.96</v>
      </c>
      <c r="P804" s="20">
        <f t="shared" si="49"/>
        <v>24077.126018762057</v>
      </c>
      <c r="Q804" s="20">
        <f t="shared" si="50"/>
        <v>9872.8339812379418</v>
      </c>
      <c r="R804" s="22">
        <f t="shared" si="51"/>
        <v>0.2908054672594001</v>
      </c>
    </row>
    <row r="805" spans="1:18">
      <c r="A805" s="18">
        <v>1804</v>
      </c>
      <c r="B805" s="19" t="s">
        <v>339</v>
      </c>
      <c r="C805" s="18">
        <v>2024</v>
      </c>
      <c r="D805" s="18" t="s">
        <v>57</v>
      </c>
      <c r="E805" s="18" t="s">
        <v>88</v>
      </c>
      <c r="F805" s="18" t="s">
        <v>93</v>
      </c>
      <c r="G805" s="18" t="s">
        <v>44</v>
      </c>
      <c r="H805" s="18" t="s">
        <v>114</v>
      </c>
      <c r="I805" s="18" t="s">
        <v>43</v>
      </c>
      <c r="J805" s="18" t="s">
        <v>102</v>
      </c>
      <c r="K805" s="18">
        <v>8</v>
      </c>
      <c r="L805" s="20">
        <v>8666.19</v>
      </c>
      <c r="M805" s="21">
        <v>0</v>
      </c>
      <c r="N805" s="21">
        <v>0.581262818881495</v>
      </c>
      <c r="O805" s="20">
        <f t="shared" si="48"/>
        <v>69329.52</v>
      </c>
      <c r="P805" s="20">
        <f t="shared" si="49"/>
        <v>40298.672226900984</v>
      </c>
      <c r="Q805" s="20">
        <f t="shared" si="50"/>
        <v>29030.84777309902</v>
      </c>
      <c r="R805" s="22">
        <f t="shared" si="51"/>
        <v>0.41873718111850505</v>
      </c>
    </row>
    <row r="806" spans="1:18">
      <c r="A806" s="18">
        <v>1805</v>
      </c>
      <c r="B806" s="19" t="s">
        <v>339</v>
      </c>
      <c r="C806" s="18">
        <v>2024</v>
      </c>
      <c r="D806" s="18" t="s">
        <v>57</v>
      </c>
      <c r="E806" s="18" t="s">
        <v>85</v>
      </c>
      <c r="F806" s="18" t="s">
        <v>86</v>
      </c>
      <c r="G806" s="18" t="s">
        <v>50</v>
      </c>
      <c r="H806" s="18" t="s">
        <v>97</v>
      </c>
      <c r="I806" s="18" t="s">
        <v>52</v>
      </c>
      <c r="J806" s="18" t="s">
        <v>82</v>
      </c>
      <c r="K806" s="18">
        <v>4</v>
      </c>
      <c r="L806" s="20">
        <v>12068.2</v>
      </c>
      <c r="M806" s="21">
        <v>0</v>
      </c>
      <c r="N806" s="21">
        <v>0.62175735068456295</v>
      </c>
      <c r="O806" s="20">
        <f t="shared" si="48"/>
        <v>48272.800000000003</v>
      </c>
      <c r="P806" s="20">
        <f t="shared" si="49"/>
        <v>30013.968238125773</v>
      </c>
      <c r="Q806" s="20">
        <f t="shared" si="50"/>
        <v>18258.831761874229</v>
      </c>
      <c r="R806" s="22">
        <f t="shared" si="51"/>
        <v>0.378242649315437</v>
      </c>
    </row>
    <row r="807" spans="1:18">
      <c r="A807" s="18">
        <v>1806</v>
      </c>
      <c r="B807" s="19" t="s">
        <v>339</v>
      </c>
      <c r="C807" s="18">
        <v>2024</v>
      </c>
      <c r="D807" s="18" t="s">
        <v>57</v>
      </c>
      <c r="E807" s="18" t="s">
        <v>98</v>
      </c>
      <c r="F807" s="18" t="s">
        <v>109</v>
      </c>
      <c r="G807" s="18" t="s">
        <v>44</v>
      </c>
      <c r="H807" s="18" t="s">
        <v>119</v>
      </c>
      <c r="I807" s="18" t="s">
        <v>60</v>
      </c>
      <c r="J807" s="18" t="s">
        <v>82</v>
      </c>
      <c r="K807" s="18">
        <v>2</v>
      </c>
      <c r="L807" s="20">
        <v>6886.41</v>
      </c>
      <c r="M807" s="21">
        <v>0</v>
      </c>
      <c r="N807" s="21">
        <v>0.673512584308818</v>
      </c>
      <c r="O807" s="20">
        <f t="shared" si="48"/>
        <v>13772.82</v>
      </c>
      <c r="P807" s="20">
        <f t="shared" si="49"/>
        <v>9276.1675914201751</v>
      </c>
      <c r="Q807" s="20">
        <f t="shared" si="50"/>
        <v>4496.6524085798246</v>
      </c>
      <c r="R807" s="22">
        <f t="shared" si="51"/>
        <v>0.32648741569118195</v>
      </c>
    </row>
    <row r="808" spans="1:18">
      <c r="A808" s="18">
        <v>1807</v>
      </c>
      <c r="B808" s="19" t="s">
        <v>340</v>
      </c>
      <c r="C808" s="18">
        <v>2024</v>
      </c>
      <c r="D808" s="18" t="s">
        <v>57</v>
      </c>
      <c r="E808" s="18" t="s">
        <v>88</v>
      </c>
      <c r="F808" s="18" t="s">
        <v>89</v>
      </c>
      <c r="G808" s="18" t="s">
        <v>47</v>
      </c>
      <c r="H808" s="18" t="s">
        <v>107</v>
      </c>
      <c r="I808" s="18" t="s">
        <v>54</v>
      </c>
      <c r="J808" s="18" t="s">
        <v>82</v>
      </c>
      <c r="K808" s="18">
        <v>9</v>
      </c>
      <c r="L808" s="20">
        <v>2148.85</v>
      </c>
      <c r="M808" s="21">
        <v>0</v>
      </c>
      <c r="N808" s="21">
        <v>0.720681629613244</v>
      </c>
      <c r="O808" s="20">
        <f t="shared" si="48"/>
        <v>19339.649999999998</v>
      </c>
      <c r="P808" s="20">
        <f t="shared" si="49"/>
        <v>13937.730478149773</v>
      </c>
      <c r="Q808" s="20">
        <f t="shared" si="50"/>
        <v>5401.9195218502246</v>
      </c>
      <c r="R808" s="22">
        <f t="shared" si="51"/>
        <v>0.279318370386756</v>
      </c>
    </row>
    <row r="809" spans="1:18">
      <c r="A809" s="18">
        <v>1808</v>
      </c>
      <c r="B809" s="19" t="s">
        <v>340</v>
      </c>
      <c r="C809" s="18">
        <v>2024</v>
      </c>
      <c r="D809" s="18" t="s">
        <v>57</v>
      </c>
      <c r="E809" s="18" t="s">
        <v>79</v>
      </c>
      <c r="F809" s="18" t="s">
        <v>80</v>
      </c>
      <c r="G809" s="18" t="s">
        <v>41</v>
      </c>
      <c r="H809" s="18" t="s">
        <v>112</v>
      </c>
      <c r="I809" s="18" t="s">
        <v>58</v>
      </c>
      <c r="J809" s="18" t="s">
        <v>82</v>
      </c>
      <c r="K809" s="18">
        <v>2</v>
      </c>
      <c r="L809" s="20">
        <v>6168.99</v>
      </c>
      <c r="M809" s="21">
        <v>0.15</v>
      </c>
      <c r="N809" s="21">
        <v>0.70643125155327802</v>
      </c>
      <c r="O809" s="20">
        <f t="shared" si="48"/>
        <v>10487.282999999999</v>
      </c>
      <c r="P809" s="20">
        <f t="shared" si="49"/>
        <v>7408.5444550834154</v>
      </c>
      <c r="Q809" s="20">
        <f t="shared" si="50"/>
        <v>3078.738544916584</v>
      </c>
      <c r="R809" s="22">
        <f t="shared" si="51"/>
        <v>0.29356874844672204</v>
      </c>
    </row>
    <row r="810" spans="1:18">
      <c r="A810" s="18">
        <v>1809</v>
      </c>
      <c r="B810" s="19" t="s">
        <v>341</v>
      </c>
      <c r="C810" s="18">
        <v>2024</v>
      </c>
      <c r="D810" s="18" t="s">
        <v>57</v>
      </c>
      <c r="E810" s="18" t="s">
        <v>79</v>
      </c>
      <c r="F810" s="18" t="s">
        <v>80</v>
      </c>
      <c r="G810" s="18" t="s">
        <v>41</v>
      </c>
      <c r="H810" s="18" t="s">
        <v>101</v>
      </c>
      <c r="I810" s="18" t="s">
        <v>43</v>
      </c>
      <c r="J810" s="18" t="s">
        <v>82</v>
      </c>
      <c r="K810" s="18">
        <v>6</v>
      </c>
      <c r="L810" s="20">
        <v>53113.68</v>
      </c>
      <c r="M810" s="21">
        <v>0.05</v>
      </c>
      <c r="N810" s="21">
        <v>0.69163267231213699</v>
      </c>
      <c r="O810" s="20">
        <f t="shared" si="48"/>
        <v>302747.97600000002</v>
      </c>
      <c r="P810" s="20">
        <f t="shared" si="49"/>
        <v>209390.39167797074</v>
      </c>
      <c r="Q810" s="20">
        <f t="shared" si="50"/>
        <v>93357.584322029288</v>
      </c>
      <c r="R810" s="22">
        <f t="shared" si="51"/>
        <v>0.30836732768786301</v>
      </c>
    </row>
    <row r="811" spans="1:18">
      <c r="A811" s="18">
        <v>1810</v>
      </c>
      <c r="B811" s="19" t="s">
        <v>341</v>
      </c>
      <c r="C811" s="18">
        <v>2024</v>
      </c>
      <c r="D811" s="18" t="s">
        <v>57</v>
      </c>
      <c r="E811" s="18" t="s">
        <v>85</v>
      </c>
      <c r="F811" s="18" t="s">
        <v>94</v>
      </c>
      <c r="G811" s="18" t="s">
        <v>41</v>
      </c>
      <c r="H811" s="18" t="s">
        <v>101</v>
      </c>
      <c r="I811" s="18" t="s">
        <v>54</v>
      </c>
      <c r="J811" s="18" t="s">
        <v>91</v>
      </c>
      <c r="K811" s="18">
        <v>3</v>
      </c>
      <c r="L811" s="20">
        <v>52926.41</v>
      </c>
      <c r="M811" s="21">
        <v>0</v>
      </c>
      <c r="N811" s="21">
        <v>0.63782169218307205</v>
      </c>
      <c r="O811" s="20">
        <f t="shared" si="48"/>
        <v>158779.23000000001</v>
      </c>
      <c r="P811" s="20">
        <f t="shared" si="49"/>
        <v>101272.8371621252</v>
      </c>
      <c r="Q811" s="20">
        <f t="shared" si="50"/>
        <v>57506.39283787481</v>
      </c>
      <c r="R811" s="22">
        <f t="shared" si="51"/>
        <v>0.362178307816928</v>
      </c>
    </row>
    <row r="812" spans="1:18">
      <c r="A812" s="18">
        <v>1811</v>
      </c>
      <c r="B812" s="19" t="s">
        <v>342</v>
      </c>
      <c r="C812" s="18">
        <v>2024</v>
      </c>
      <c r="D812" s="18" t="s">
        <v>57</v>
      </c>
      <c r="E812" s="18" t="s">
        <v>79</v>
      </c>
      <c r="F812" s="18" t="s">
        <v>100</v>
      </c>
      <c r="G812" s="18" t="s">
        <v>50</v>
      </c>
      <c r="H812" s="18" t="s">
        <v>97</v>
      </c>
      <c r="I812" s="18" t="s">
        <v>52</v>
      </c>
      <c r="J812" s="18" t="s">
        <v>102</v>
      </c>
      <c r="K812" s="18">
        <v>3</v>
      </c>
      <c r="L812" s="20">
        <v>11502.28</v>
      </c>
      <c r="M812" s="21">
        <v>0.05</v>
      </c>
      <c r="N812" s="21">
        <v>0.69303994887299103</v>
      </c>
      <c r="O812" s="20">
        <f t="shared" si="48"/>
        <v>32781.498</v>
      </c>
      <c r="P812" s="20">
        <f t="shared" si="49"/>
        <v>22718.887697900056</v>
      </c>
      <c r="Q812" s="20">
        <f t="shared" si="50"/>
        <v>10062.610302099944</v>
      </c>
      <c r="R812" s="22">
        <f t="shared" si="51"/>
        <v>0.30696005112700903</v>
      </c>
    </row>
    <row r="813" spans="1:18">
      <c r="A813" s="18">
        <v>1812</v>
      </c>
      <c r="B813" s="19" t="s">
        <v>342</v>
      </c>
      <c r="C813" s="18">
        <v>2024</v>
      </c>
      <c r="D813" s="18" t="s">
        <v>57</v>
      </c>
      <c r="E813" s="18" t="s">
        <v>85</v>
      </c>
      <c r="F813" s="18" t="s">
        <v>121</v>
      </c>
      <c r="G813" s="18" t="s">
        <v>44</v>
      </c>
      <c r="H813" s="18" t="s">
        <v>119</v>
      </c>
      <c r="I813" s="18" t="s">
        <v>60</v>
      </c>
      <c r="J813" s="18" t="s">
        <v>91</v>
      </c>
      <c r="K813" s="18">
        <v>4</v>
      </c>
      <c r="L813" s="20">
        <v>6746.6</v>
      </c>
      <c r="M813" s="21">
        <v>0.1</v>
      </c>
      <c r="N813" s="21">
        <v>0.63268188374939605</v>
      </c>
      <c r="O813" s="20">
        <f t="shared" si="48"/>
        <v>24287.760000000002</v>
      </c>
      <c r="P813" s="20">
        <f t="shared" si="49"/>
        <v>15366.425748853233</v>
      </c>
      <c r="Q813" s="20">
        <f t="shared" si="50"/>
        <v>8921.334251146769</v>
      </c>
      <c r="R813" s="22">
        <f t="shared" si="51"/>
        <v>0.36731811625060395</v>
      </c>
    </row>
    <row r="814" spans="1:18">
      <c r="A814" s="18">
        <v>1813</v>
      </c>
      <c r="B814" s="19" t="s">
        <v>342</v>
      </c>
      <c r="C814" s="18">
        <v>2024</v>
      </c>
      <c r="D814" s="18" t="s">
        <v>57</v>
      </c>
      <c r="E814" s="18" t="s">
        <v>85</v>
      </c>
      <c r="F814" s="18" t="s">
        <v>121</v>
      </c>
      <c r="G814" s="18" t="s">
        <v>47</v>
      </c>
      <c r="H814" s="18" t="s">
        <v>81</v>
      </c>
      <c r="I814" s="18" t="s">
        <v>58</v>
      </c>
      <c r="J814" s="18" t="s">
        <v>82</v>
      </c>
      <c r="K814" s="18">
        <v>1</v>
      </c>
      <c r="L814" s="20">
        <v>817.41</v>
      </c>
      <c r="M814" s="21">
        <v>0.15</v>
      </c>
      <c r="N814" s="21">
        <v>0.73872856806156195</v>
      </c>
      <c r="O814" s="20">
        <f t="shared" si="48"/>
        <v>694.79849999999999</v>
      </c>
      <c r="P814" s="20">
        <f t="shared" si="49"/>
        <v>513.26750099632113</v>
      </c>
      <c r="Q814" s="20">
        <f t="shared" si="50"/>
        <v>181.53099900367886</v>
      </c>
      <c r="R814" s="22">
        <f t="shared" si="51"/>
        <v>0.26127143193843805</v>
      </c>
    </row>
    <row r="815" spans="1:18">
      <c r="A815" s="18">
        <v>1814</v>
      </c>
      <c r="B815" s="19" t="s">
        <v>342</v>
      </c>
      <c r="C815" s="18">
        <v>2024</v>
      </c>
      <c r="D815" s="18" t="s">
        <v>57</v>
      </c>
      <c r="E815" s="18" t="s">
        <v>79</v>
      </c>
      <c r="F815" s="18" t="s">
        <v>105</v>
      </c>
      <c r="G815" s="18" t="s">
        <v>47</v>
      </c>
      <c r="H815" s="18" t="s">
        <v>107</v>
      </c>
      <c r="I815" s="18" t="s">
        <v>46</v>
      </c>
      <c r="J815" s="18" t="s">
        <v>91</v>
      </c>
      <c r="K815" s="18">
        <v>1</v>
      </c>
      <c r="L815" s="20">
        <v>2176.52</v>
      </c>
      <c r="M815" s="21">
        <v>0</v>
      </c>
      <c r="N815" s="21">
        <v>0.68203523445504699</v>
      </c>
      <c r="O815" s="20">
        <f t="shared" si="48"/>
        <v>2176.52</v>
      </c>
      <c r="P815" s="20">
        <f t="shared" si="49"/>
        <v>1484.4633284960989</v>
      </c>
      <c r="Q815" s="20">
        <f t="shared" si="50"/>
        <v>692.05667150390104</v>
      </c>
      <c r="R815" s="22">
        <f t="shared" si="51"/>
        <v>0.31796476554495295</v>
      </c>
    </row>
    <row r="816" spans="1:18">
      <c r="A816" s="18">
        <v>1815</v>
      </c>
      <c r="B816" s="19" t="s">
        <v>342</v>
      </c>
      <c r="C816" s="18">
        <v>2024</v>
      </c>
      <c r="D816" s="18" t="s">
        <v>57</v>
      </c>
      <c r="E816" s="18" t="s">
        <v>88</v>
      </c>
      <c r="F816" s="18" t="s">
        <v>93</v>
      </c>
      <c r="G816" s="18" t="s">
        <v>41</v>
      </c>
      <c r="H816" s="18" t="s">
        <v>106</v>
      </c>
      <c r="I816" s="18" t="s">
        <v>56</v>
      </c>
      <c r="J816" s="18" t="s">
        <v>91</v>
      </c>
      <c r="K816" s="18">
        <v>11</v>
      </c>
      <c r="L816" s="20">
        <v>2550.1999999999998</v>
      </c>
      <c r="M816" s="21">
        <v>0.05</v>
      </c>
      <c r="N816" s="21">
        <v>0.69431020877167204</v>
      </c>
      <c r="O816" s="20">
        <f t="shared" si="48"/>
        <v>26649.589999999997</v>
      </c>
      <c r="P816" s="20">
        <f t="shared" si="49"/>
        <v>18503.082396579463</v>
      </c>
      <c r="Q816" s="20">
        <f t="shared" si="50"/>
        <v>8146.507603420534</v>
      </c>
      <c r="R816" s="22">
        <f t="shared" si="51"/>
        <v>0.3056897912283279</v>
      </c>
    </row>
    <row r="817" spans="1:18">
      <c r="A817" s="18">
        <v>1816</v>
      </c>
      <c r="B817" s="19" t="s">
        <v>343</v>
      </c>
      <c r="C817" s="18">
        <v>2024</v>
      </c>
      <c r="D817" s="18" t="s">
        <v>57</v>
      </c>
      <c r="E817" s="18" t="s">
        <v>98</v>
      </c>
      <c r="F817" s="18" t="s">
        <v>117</v>
      </c>
      <c r="G817" s="18" t="s">
        <v>47</v>
      </c>
      <c r="H817" s="18" t="s">
        <v>103</v>
      </c>
      <c r="I817" s="18" t="s">
        <v>62</v>
      </c>
      <c r="J817" s="18" t="s">
        <v>82</v>
      </c>
      <c r="K817" s="18">
        <v>12</v>
      </c>
      <c r="L817" s="20">
        <v>3169.26</v>
      </c>
      <c r="M817" s="21">
        <v>0.2</v>
      </c>
      <c r="N817" s="21">
        <v>0.591026714276641</v>
      </c>
      <c r="O817" s="20">
        <f t="shared" si="48"/>
        <v>30424.896000000004</v>
      </c>
      <c r="P817" s="20">
        <f t="shared" si="49"/>
        <v>17981.92631508852</v>
      </c>
      <c r="Q817" s="20">
        <f t="shared" si="50"/>
        <v>12442.969684911484</v>
      </c>
      <c r="R817" s="22">
        <f t="shared" si="51"/>
        <v>0.408973285723359</v>
      </c>
    </row>
    <row r="818" spans="1:18">
      <c r="A818" s="18">
        <v>1817</v>
      </c>
      <c r="B818" s="19" t="s">
        <v>343</v>
      </c>
      <c r="C818" s="18">
        <v>2024</v>
      </c>
      <c r="D818" s="18" t="s">
        <v>57</v>
      </c>
      <c r="E818" s="18" t="s">
        <v>85</v>
      </c>
      <c r="F818" s="18" t="s">
        <v>94</v>
      </c>
      <c r="G818" s="18" t="s">
        <v>47</v>
      </c>
      <c r="H818" s="18" t="s">
        <v>103</v>
      </c>
      <c r="I818" s="18" t="s">
        <v>56</v>
      </c>
      <c r="J818" s="18" t="s">
        <v>82</v>
      </c>
      <c r="K818" s="18">
        <v>5</v>
      </c>
      <c r="L818" s="20">
        <v>3066.97</v>
      </c>
      <c r="M818" s="21">
        <v>0.15</v>
      </c>
      <c r="N818" s="21">
        <v>0.61689858494698002</v>
      </c>
      <c r="O818" s="20">
        <f t="shared" si="48"/>
        <v>13034.622499999998</v>
      </c>
      <c r="P818" s="20">
        <f t="shared" si="49"/>
        <v>8041.0401755680659</v>
      </c>
      <c r="Q818" s="20">
        <f t="shared" si="50"/>
        <v>4993.5823244319317</v>
      </c>
      <c r="R818" s="22">
        <f t="shared" si="51"/>
        <v>0.38310141505301998</v>
      </c>
    </row>
    <row r="819" spans="1:18">
      <c r="A819" s="18">
        <v>1818</v>
      </c>
      <c r="B819" s="19" t="s">
        <v>343</v>
      </c>
      <c r="C819" s="18">
        <v>2024</v>
      </c>
      <c r="D819" s="18" t="s">
        <v>57</v>
      </c>
      <c r="E819" s="18" t="s">
        <v>88</v>
      </c>
      <c r="F819" s="18" t="s">
        <v>93</v>
      </c>
      <c r="G819" s="18" t="s">
        <v>47</v>
      </c>
      <c r="H819" s="18" t="s">
        <v>81</v>
      </c>
      <c r="I819" s="18" t="s">
        <v>43</v>
      </c>
      <c r="J819" s="18" t="s">
        <v>102</v>
      </c>
      <c r="K819" s="18">
        <v>9</v>
      </c>
      <c r="L819" s="20">
        <v>784.98</v>
      </c>
      <c r="M819" s="21">
        <v>0.05</v>
      </c>
      <c r="N819" s="21">
        <v>0.70140926485610799</v>
      </c>
      <c r="O819" s="20">
        <f t="shared" si="48"/>
        <v>6711.5789999999997</v>
      </c>
      <c r="P819" s="20">
        <f t="shared" si="49"/>
        <v>4707.5636924136925</v>
      </c>
      <c r="Q819" s="20">
        <f t="shared" si="50"/>
        <v>2004.0153075863072</v>
      </c>
      <c r="R819" s="22">
        <f t="shared" si="51"/>
        <v>0.29859073514389195</v>
      </c>
    </row>
    <row r="820" spans="1:18">
      <c r="A820" s="18">
        <v>1819</v>
      </c>
      <c r="B820" s="19" t="s">
        <v>343</v>
      </c>
      <c r="C820" s="18">
        <v>2024</v>
      </c>
      <c r="D820" s="18" t="s">
        <v>57</v>
      </c>
      <c r="E820" s="18" t="s">
        <v>88</v>
      </c>
      <c r="F820" s="18" t="s">
        <v>110</v>
      </c>
      <c r="G820" s="18" t="s">
        <v>41</v>
      </c>
      <c r="H820" s="18" t="s">
        <v>106</v>
      </c>
      <c r="I820" s="18" t="s">
        <v>49</v>
      </c>
      <c r="J820" s="18" t="s">
        <v>91</v>
      </c>
      <c r="K820" s="18">
        <v>12</v>
      </c>
      <c r="L820" s="20">
        <v>2480.69</v>
      </c>
      <c r="M820" s="21">
        <v>0.15</v>
      </c>
      <c r="N820" s="21">
        <v>0.57208838124869199</v>
      </c>
      <c r="O820" s="20">
        <f t="shared" si="48"/>
        <v>25303.037999999997</v>
      </c>
      <c r="P820" s="20">
        <f t="shared" si="49"/>
        <v>14475.574050094139</v>
      </c>
      <c r="Q820" s="20">
        <f t="shared" si="50"/>
        <v>10827.463949905858</v>
      </c>
      <c r="R820" s="22">
        <f t="shared" si="51"/>
        <v>0.42791161875130801</v>
      </c>
    </row>
    <row r="821" spans="1:18">
      <c r="A821" s="18">
        <v>1820</v>
      </c>
      <c r="B821" s="19" t="s">
        <v>344</v>
      </c>
      <c r="C821" s="18">
        <v>2024</v>
      </c>
      <c r="D821" s="18" t="s">
        <v>57</v>
      </c>
      <c r="E821" s="18" t="s">
        <v>98</v>
      </c>
      <c r="F821" s="18" t="s">
        <v>109</v>
      </c>
      <c r="G821" s="18" t="s">
        <v>47</v>
      </c>
      <c r="H821" s="18" t="s">
        <v>81</v>
      </c>
      <c r="I821" s="18" t="s">
        <v>40</v>
      </c>
      <c r="J821" s="18" t="s">
        <v>102</v>
      </c>
      <c r="K821" s="18">
        <v>2</v>
      </c>
      <c r="L821" s="20">
        <v>795.9</v>
      </c>
      <c r="M821" s="21">
        <v>0.15</v>
      </c>
      <c r="N821" s="21">
        <v>0.69737173915686201</v>
      </c>
      <c r="O821" s="20">
        <f t="shared" si="48"/>
        <v>1353.03</v>
      </c>
      <c r="P821" s="20">
        <f t="shared" si="49"/>
        <v>943.564884231409</v>
      </c>
      <c r="Q821" s="20">
        <f t="shared" si="50"/>
        <v>409.46511576859098</v>
      </c>
      <c r="R821" s="22">
        <f t="shared" si="51"/>
        <v>0.30262826084313799</v>
      </c>
    </row>
    <row r="822" spans="1:18">
      <c r="A822" s="18">
        <v>1821</v>
      </c>
      <c r="B822" s="19" t="s">
        <v>344</v>
      </c>
      <c r="C822" s="18">
        <v>2024</v>
      </c>
      <c r="D822" s="18" t="s">
        <v>57</v>
      </c>
      <c r="E822" s="18" t="s">
        <v>85</v>
      </c>
      <c r="F822" s="18" t="s">
        <v>121</v>
      </c>
      <c r="G822" s="18" t="s">
        <v>44</v>
      </c>
      <c r="H822" s="18" t="s">
        <v>95</v>
      </c>
      <c r="I822" s="18" t="s">
        <v>62</v>
      </c>
      <c r="J822" s="18" t="s">
        <v>102</v>
      </c>
      <c r="K822" s="18">
        <v>12</v>
      </c>
      <c r="L822" s="20">
        <v>4677.45</v>
      </c>
      <c r="M822" s="21">
        <v>0.2</v>
      </c>
      <c r="N822" s="21">
        <v>0.68310410906864505</v>
      </c>
      <c r="O822" s="20">
        <f t="shared" si="48"/>
        <v>44903.519999999997</v>
      </c>
      <c r="P822" s="20">
        <f t="shared" si="49"/>
        <v>30673.779023646082</v>
      </c>
      <c r="Q822" s="20">
        <f t="shared" si="50"/>
        <v>14229.740976353914</v>
      </c>
      <c r="R822" s="22">
        <f t="shared" si="51"/>
        <v>0.31689589093135495</v>
      </c>
    </row>
    <row r="823" spans="1:18">
      <c r="A823" s="18">
        <v>1822</v>
      </c>
      <c r="B823" s="19" t="s">
        <v>345</v>
      </c>
      <c r="C823" s="18">
        <v>2024</v>
      </c>
      <c r="D823" s="18" t="s">
        <v>57</v>
      </c>
      <c r="E823" s="18" t="s">
        <v>98</v>
      </c>
      <c r="F823" s="18" t="s">
        <v>109</v>
      </c>
      <c r="G823" s="18" t="s">
        <v>47</v>
      </c>
      <c r="H823" s="18" t="s">
        <v>103</v>
      </c>
      <c r="I823" s="18" t="s">
        <v>62</v>
      </c>
      <c r="J823" s="18" t="s">
        <v>102</v>
      </c>
      <c r="K823" s="18">
        <v>3</v>
      </c>
      <c r="L823" s="20">
        <v>3268.59</v>
      </c>
      <c r="M823" s="21">
        <v>0.15</v>
      </c>
      <c r="N823" s="21">
        <v>0.69750246442501695</v>
      </c>
      <c r="O823" s="20">
        <f t="shared" si="48"/>
        <v>8334.9045000000006</v>
      </c>
      <c r="P823" s="20">
        <f t="shared" si="49"/>
        <v>5813.6164294971641</v>
      </c>
      <c r="Q823" s="20">
        <f t="shared" si="50"/>
        <v>2521.2880705028365</v>
      </c>
      <c r="R823" s="22">
        <f t="shared" si="51"/>
        <v>0.30249753557498305</v>
      </c>
    </row>
    <row r="824" spans="1:18">
      <c r="A824" s="18">
        <v>1823</v>
      </c>
      <c r="B824" s="19" t="s">
        <v>345</v>
      </c>
      <c r="C824" s="18">
        <v>2024</v>
      </c>
      <c r="D824" s="18" t="s">
        <v>57</v>
      </c>
      <c r="E824" s="18" t="s">
        <v>79</v>
      </c>
      <c r="F824" s="18" t="s">
        <v>105</v>
      </c>
      <c r="G824" s="18" t="s">
        <v>44</v>
      </c>
      <c r="H824" s="18" t="s">
        <v>114</v>
      </c>
      <c r="I824" s="18" t="s">
        <v>58</v>
      </c>
      <c r="J824" s="18" t="s">
        <v>82</v>
      </c>
      <c r="K824" s="18">
        <v>3</v>
      </c>
      <c r="L824" s="20">
        <v>9190.48</v>
      </c>
      <c r="M824" s="21">
        <v>0.1</v>
      </c>
      <c r="N824" s="21">
        <v>0.56638943268693798</v>
      </c>
      <c r="O824" s="20">
        <f t="shared" si="48"/>
        <v>24814.295999999998</v>
      </c>
      <c r="P824" s="20">
        <f t="shared" si="49"/>
        <v>14054.555033965753</v>
      </c>
      <c r="Q824" s="20">
        <f t="shared" si="50"/>
        <v>10759.740966034246</v>
      </c>
      <c r="R824" s="22">
        <f t="shared" si="51"/>
        <v>0.43361056731306202</v>
      </c>
    </row>
    <row r="825" spans="1:18">
      <c r="A825" s="18">
        <v>1824</v>
      </c>
      <c r="B825" s="19" t="s">
        <v>345</v>
      </c>
      <c r="C825" s="18">
        <v>2024</v>
      </c>
      <c r="D825" s="18" t="s">
        <v>57</v>
      </c>
      <c r="E825" s="18" t="s">
        <v>79</v>
      </c>
      <c r="F825" s="18" t="s">
        <v>105</v>
      </c>
      <c r="G825" s="18" t="s">
        <v>44</v>
      </c>
      <c r="H825" s="18" t="s">
        <v>114</v>
      </c>
      <c r="I825" s="18" t="s">
        <v>49</v>
      </c>
      <c r="J825" s="18" t="s">
        <v>91</v>
      </c>
      <c r="K825" s="18">
        <v>2</v>
      </c>
      <c r="L825" s="20">
        <v>8882.36</v>
      </c>
      <c r="M825" s="21">
        <v>0.15</v>
      </c>
      <c r="N825" s="21">
        <v>0.63055074153578194</v>
      </c>
      <c r="O825" s="20">
        <f t="shared" si="48"/>
        <v>15100.012000000001</v>
      </c>
      <c r="P825" s="20">
        <f t="shared" si="49"/>
        <v>9521.3237637992061</v>
      </c>
      <c r="Q825" s="20">
        <f t="shared" si="50"/>
        <v>5578.6882362007946</v>
      </c>
      <c r="R825" s="22">
        <f t="shared" si="51"/>
        <v>0.36944925846421806</v>
      </c>
    </row>
    <row r="826" spans="1:18">
      <c r="A826" s="18">
        <v>1825</v>
      </c>
      <c r="B826" s="19" t="s">
        <v>346</v>
      </c>
      <c r="C826" s="18">
        <v>2024</v>
      </c>
      <c r="D826" s="18" t="s">
        <v>57</v>
      </c>
      <c r="E826" s="18" t="s">
        <v>98</v>
      </c>
      <c r="F826" s="18" t="s">
        <v>99</v>
      </c>
      <c r="G826" s="18" t="s">
        <v>50</v>
      </c>
      <c r="H826" s="18" t="s">
        <v>87</v>
      </c>
      <c r="I826" s="18" t="s">
        <v>56</v>
      </c>
      <c r="J826" s="18" t="s">
        <v>91</v>
      </c>
      <c r="K826" s="18">
        <v>12</v>
      </c>
      <c r="L826" s="20">
        <v>9909.48</v>
      </c>
      <c r="M826" s="21">
        <v>0.1</v>
      </c>
      <c r="N826" s="21">
        <v>0.69634339209388596</v>
      </c>
      <c r="O826" s="20">
        <f t="shared" si="48"/>
        <v>107022.38399999999</v>
      </c>
      <c r="P826" s="20">
        <f t="shared" si="49"/>
        <v>74524.329904534417</v>
      </c>
      <c r="Q826" s="20">
        <f t="shared" si="50"/>
        <v>32498.054095465573</v>
      </c>
      <c r="R826" s="22">
        <f t="shared" si="51"/>
        <v>0.3036566079061141</v>
      </c>
    </row>
    <row r="827" spans="1:18">
      <c r="A827" s="18">
        <v>1826</v>
      </c>
      <c r="B827" s="19" t="s">
        <v>346</v>
      </c>
      <c r="C827" s="18">
        <v>2024</v>
      </c>
      <c r="D827" s="18" t="s">
        <v>57</v>
      </c>
      <c r="E827" s="18" t="s">
        <v>85</v>
      </c>
      <c r="F827" s="18" t="s">
        <v>86</v>
      </c>
      <c r="G827" s="18" t="s">
        <v>44</v>
      </c>
      <c r="H827" s="18" t="s">
        <v>95</v>
      </c>
      <c r="I827" s="18" t="s">
        <v>46</v>
      </c>
      <c r="J827" s="18" t="s">
        <v>91</v>
      </c>
      <c r="K827" s="18">
        <v>12</v>
      </c>
      <c r="L827" s="20">
        <v>4480.97</v>
      </c>
      <c r="M827" s="21">
        <v>0.2</v>
      </c>
      <c r="N827" s="21">
        <v>0.65263709703575301</v>
      </c>
      <c r="O827" s="20">
        <f t="shared" si="48"/>
        <v>43017.312000000005</v>
      </c>
      <c r="P827" s="20">
        <f t="shared" si="49"/>
        <v>28074.693625961267</v>
      </c>
      <c r="Q827" s="20">
        <f t="shared" si="50"/>
        <v>14942.618374038739</v>
      </c>
      <c r="R827" s="22">
        <f t="shared" si="51"/>
        <v>0.34736290296424699</v>
      </c>
    </row>
    <row r="828" spans="1:18">
      <c r="A828" s="18">
        <v>1827</v>
      </c>
      <c r="B828" s="19" t="s">
        <v>346</v>
      </c>
      <c r="C828" s="18">
        <v>2024</v>
      </c>
      <c r="D828" s="18" t="s">
        <v>57</v>
      </c>
      <c r="E828" s="18" t="s">
        <v>79</v>
      </c>
      <c r="F828" s="18" t="s">
        <v>80</v>
      </c>
      <c r="G828" s="18" t="s">
        <v>44</v>
      </c>
      <c r="H828" s="18" t="s">
        <v>114</v>
      </c>
      <c r="I828" s="18" t="s">
        <v>58</v>
      </c>
      <c r="J828" s="18" t="s">
        <v>82</v>
      </c>
      <c r="K828" s="18">
        <v>12</v>
      </c>
      <c r="L828" s="20">
        <v>8691.16</v>
      </c>
      <c r="M828" s="21">
        <v>0.15</v>
      </c>
      <c r="N828" s="21">
        <v>0.62386641192689196</v>
      </c>
      <c r="O828" s="20">
        <f t="shared" si="48"/>
        <v>88649.831999999995</v>
      </c>
      <c r="P828" s="20">
        <f t="shared" si="49"/>
        <v>55305.652607761767</v>
      </c>
      <c r="Q828" s="20">
        <f t="shared" si="50"/>
        <v>33344.179392238228</v>
      </c>
      <c r="R828" s="22">
        <f t="shared" si="51"/>
        <v>0.37613358807310804</v>
      </c>
    </row>
    <row r="829" spans="1:18">
      <c r="A829" s="18">
        <v>1828</v>
      </c>
      <c r="B829" s="19" t="s">
        <v>346</v>
      </c>
      <c r="C829" s="18">
        <v>2024</v>
      </c>
      <c r="D829" s="18" t="s">
        <v>57</v>
      </c>
      <c r="E829" s="18" t="s">
        <v>79</v>
      </c>
      <c r="F829" s="18" t="s">
        <v>80</v>
      </c>
      <c r="G829" s="18" t="s">
        <v>50</v>
      </c>
      <c r="H829" s="18" t="s">
        <v>83</v>
      </c>
      <c r="I829" s="18" t="s">
        <v>43</v>
      </c>
      <c r="J829" s="18" t="s">
        <v>91</v>
      </c>
      <c r="K829" s="18">
        <v>10</v>
      </c>
      <c r="L829" s="20">
        <v>3426.36</v>
      </c>
      <c r="M829" s="21">
        <v>0.15</v>
      </c>
      <c r="N829" s="21">
        <v>0.58066090213916</v>
      </c>
      <c r="O829" s="20">
        <f t="shared" si="48"/>
        <v>29124.059999999998</v>
      </c>
      <c r="P829" s="20">
        <f t="shared" si="49"/>
        <v>16911.202953555021</v>
      </c>
      <c r="Q829" s="20">
        <f t="shared" si="50"/>
        <v>12212.857046444977</v>
      </c>
      <c r="R829" s="22">
        <f t="shared" si="51"/>
        <v>0.41933909786084006</v>
      </c>
    </row>
    <row r="830" spans="1:18">
      <c r="A830" s="18">
        <v>1829</v>
      </c>
      <c r="B830" s="19" t="s">
        <v>346</v>
      </c>
      <c r="C830" s="18">
        <v>2024</v>
      </c>
      <c r="D830" s="18" t="s">
        <v>57</v>
      </c>
      <c r="E830" s="18" t="s">
        <v>98</v>
      </c>
      <c r="F830" s="18" t="s">
        <v>109</v>
      </c>
      <c r="G830" s="18" t="s">
        <v>47</v>
      </c>
      <c r="H830" s="18" t="s">
        <v>107</v>
      </c>
      <c r="I830" s="18" t="s">
        <v>52</v>
      </c>
      <c r="J830" s="18" t="s">
        <v>91</v>
      </c>
      <c r="K830" s="18">
        <v>1</v>
      </c>
      <c r="L830" s="20">
        <v>2264.06</v>
      </c>
      <c r="M830" s="21">
        <v>0</v>
      </c>
      <c r="N830" s="21">
        <v>0.706758500024116</v>
      </c>
      <c r="O830" s="20">
        <f t="shared" si="48"/>
        <v>2264.06</v>
      </c>
      <c r="P830" s="20">
        <f t="shared" si="49"/>
        <v>1600.1436495646001</v>
      </c>
      <c r="Q830" s="20">
        <f t="shared" si="50"/>
        <v>663.91635043539986</v>
      </c>
      <c r="R830" s="22">
        <f t="shared" si="51"/>
        <v>0.293241499975884</v>
      </c>
    </row>
    <row r="831" spans="1:18">
      <c r="A831" s="18">
        <v>1830</v>
      </c>
      <c r="B831" s="19" t="s">
        <v>347</v>
      </c>
      <c r="C831" s="18">
        <v>2024</v>
      </c>
      <c r="D831" s="18" t="s">
        <v>57</v>
      </c>
      <c r="E831" s="18" t="s">
        <v>79</v>
      </c>
      <c r="F831" s="18" t="s">
        <v>105</v>
      </c>
      <c r="G831" s="18" t="s">
        <v>47</v>
      </c>
      <c r="H831" s="18" t="s">
        <v>81</v>
      </c>
      <c r="I831" s="18" t="s">
        <v>46</v>
      </c>
      <c r="J831" s="18" t="s">
        <v>102</v>
      </c>
      <c r="K831" s="18">
        <v>8</v>
      </c>
      <c r="L831" s="20">
        <v>760.17</v>
      </c>
      <c r="M831" s="21">
        <v>0.15</v>
      </c>
      <c r="N831" s="21">
        <v>0.61972978870207795</v>
      </c>
      <c r="O831" s="20">
        <f t="shared" si="48"/>
        <v>5169.1559999999999</v>
      </c>
      <c r="P831" s="20">
        <f t="shared" si="49"/>
        <v>3203.4799556480784</v>
      </c>
      <c r="Q831" s="20">
        <f t="shared" si="50"/>
        <v>1965.6760443519215</v>
      </c>
      <c r="R831" s="22">
        <f t="shared" si="51"/>
        <v>0.38027021129792205</v>
      </c>
    </row>
    <row r="832" spans="1:18">
      <c r="A832" s="18">
        <v>1831</v>
      </c>
      <c r="B832" s="19" t="s">
        <v>347</v>
      </c>
      <c r="C832" s="18">
        <v>2024</v>
      </c>
      <c r="D832" s="18" t="s">
        <v>57</v>
      </c>
      <c r="E832" s="18" t="s">
        <v>79</v>
      </c>
      <c r="F832" s="18" t="s">
        <v>105</v>
      </c>
      <c r="G832" s="18" t="s">
        <v>50</v>
      </c>
      <c r="H832" s="18" t="s">
        <v>87</v>
      </c>
      <c r="I832" s="18" t="s">
        <v>52</v>
      </c>
      <c r="J832" s="18" t="s">
        <v>102</v>
      </c>
      <c r="K832" s="18">
        <v>8</v>
      </c>
      <c r="L832" s="20">
        <v>9880.27</v>
      </c>
      <c r="M832" s="21">
        <v>0.1</v>
      </c>
      <c r="N832" s="21">
        <v>0.64504550968775198</v>
      </c>
      <c r="O832" s="20">
        <f t="shared" si="48"/>
        <v>71137.944000000003</v>
      </c>
      <c r="P832" s="20">
        <f t="shared" si="49"/>
        <v>45887.211345618758</v>
      </c>
      <c r="Q832" s="20">
        <f t="shared" si="50"/>
        <v>25250.732654381245</v>
      </c>
      <c r="R832" s="22">
        <f t="shared" si="51"/>
        <v>0.35495449031224807</v>
      </c>
    </row>
    <row r="833" spans="1:18">
      <c r="A833" s="18">
        <v>1832</v>
      </c>
      <c r="B833" s="19" t="s">
        <v>347</v>
      </c>
      <c r="C833" s="18">
        <v>2024</v>
      </c>
      <c r="D833" s="18" t="s">
        <v>57</v>
      </c>
      <c r="E833" s="18" t="s">
        <v>88</v>
      </c>
      <c r="F833" s="18" t="s">
        <v>110</v>
      </c>
      <c r="G833" s="18" t="s">
        <v>50</v>
      </c>
      <c r="H833" s="18" t="s">
        <v>97</v>
      </c>
      <c r="I833" s="18" t="s">
        <v>58</v>
      </c>
      <c r="J833" s="18" t="s">
        <v>82</v>
      </c>
      <c r="K833" s="18">
        <v>12</v>
      </c>
      <c r="L833" s="20">
        <v>11790.26</v>
      </c>
      <c r="M833" s="21">
        <v>0.15</v>
      </c>
      <c r="N833" s="21">
        <v>0.68290046248374803</v>
      </c>
      <c r="O833" s="20">
        <f t="shared" si="48"/>
        <v>120260.65199999999</v>
      </c>
      <c r="P833" s="20">
        <f t="shared" si="49"/>
        <v>82126.054869397063</v>
      </c>
      <c r="Q833" s="20">
        <f t="shared" si="50"/>
        <v>38134.597130602924</v>
      </c>
      <c r="R833" s="22">
        <f t="shared" si="51"/>
        <v>0.31709953751625203</v>
      </c>
    </row>
    <row r="834" spans="1:18">
      <c r="A834" s="18">
        <v>1833</v>
      </c>
      <c r="B834" s="19" t="s">
        <v>347</v>
      </c>
      <c r="C834" s="18">
        <v>2024</v>
      </c>
      <c r="D834" s="18" t="s">
        <v>57</v>
      </c>
      <c r="E834" s="18" t="s">
        <v>85</v>
      </c>
      <c r="F834" s="18" t="s">
        <v>121</v>
      </c>
      <c r="G834" s="18" t="s">
        <v>44</v>
      </c>
      <c r="H834" s="18" t="s">
        <v>114</v>
      </c>
      <c r="I834" s="18" t="s">
        <v>54</v>
      </c>
      <c r="J834" s="18" t="s">
        <v>102</v>
      </c>
      <c r="K834" s="18">
        <v>1</v>
      </c>
      <c r="L834" s="20">
        <v>9412.27</v>
      </c>
      <c r="M834" s="21">
        <v>0.1</v>
      </c>
      <c r="N834" s="21">
        <v>0.69718255889024605</v>
      </c>
      <c r="O834" s="20">
        <f t="shared" ref="O834:O897" si="52">K834*L834*(1-M834)</f>
        <v>8471.0430000000015</v>
      </c>
      <c r="P834" s="20">
        <f t="shared" ref="P834:P897" si="53">O834*N834</f>
        <v>5905.8634352093077</v>
      </c>
      <c r="Q834" s="20">
        <f t="shared" ref="Q834:Q897" si="54">O834-P834</f>
        <v>2565.1795647906938</v>
      </c>
      <c r="R834" s="22">
        <f t="shared" ref="R834:R897" si="55">IF(O834=0,0,Q834/O834)</f>
        <v>0.30281744110975395</v>
      </c>
    </row>
    <row r="835" spans="1:18">
      <c r="A835" s="18">
        <v>1834</v>
      </c>
      <c r="B835" s="19" t="s">
        <v>347</v>
      </c>
      <c r="C835" s="18">
        <v>2024</v>
      </c>
      <c r="D835" s="18" t="s">
        <v>57</v>
      </c>
      <c r="E835" s="18" t="s">
        <v>79</v>
      </c>
      <c r="F835" s="18" t="s">
        <v>100</v>
      </c>
      <c r="G835" s="18" t="s">
        <v>41</v>
      </c>
      <c r="H835" s="18" t="s">
        <v>106</v>
      </c>
      <c r="I835" s="18" t="s">
        <v>60</v>
      </c>
      <c r="J835" s="18" t="s">
        <v>102</v>
      </c>
      <c r="K835" s="18">
        <v>2</v>
      </c>
      <c r="L835" s="20">
        <v>2535.98</v>
      </c>
      <c r="M835" s="21">
        <v>0</v>
      </c>
      <c r="N835" s="21">
        <v>0.58848534666771901</v>
      </c>
      <c r="O835" s="20">
        <f t="shared" si="52"/>
        <v>5071.96</v>
      </c>
      <c r="P835" s="20">
        <f t="shared" si="53"/>
        <v>2984.774138884804</v>
      </c>
      <c r="Q835" s="20">
        <f t="shared" si="54"/>
        <v>2087.1858611151961</v>
      </c>
      <c r="R835" s="22">
        <f t="shared" si="55"/>
        <v>0.41151465333228104</v>
      </c>
    </row>
    <row r="836" spans="1:18">
      <c r="A836" s="18">
        <v>1835</v>
      </c>
      <c r="B836" s="19" t="s">
        <v>348</v>
      </c>
      <c r="C836" s="18">
        <v>2024</v>
      </c>
      <c r="D836" s="18" t="s">
        <v>57</v>
      </c>
      <c r="E836" s="18" t="s">
        <v>88</v>
      </c>
      <c r="F836" s="18" t="s">
        <v>89</v>
      </c>
      <c r="G836" s="18" t="s">
        <v>41</v>
      </c>
      <c r="H836" s="18" t="s">
        <v>90</v>
      </c>
      <c r="I836" s="18" t="s">
        <v>60</v>
      </c>
      <c r="J836" s="18" t="s">
        <v>82</v>
      </c>
      <c r="K836" s="18">
        <v>1</v>
      </c>
      <c r="L836" s="20">
        <v>17594.93</v>
      </c>
      <c r="M836" s="21">
        <v>0</v>
      </c>
      <c r="N836" s="21">
        <v>0.59905733887805102</v>
      </c>
      <c r="O836" s="20">
        <f t="shared" si="52"/>
        <v>17594.93</v>
      </c>
      <c r="P836" s="20">
        <f t="shared" si="53"/>
        <v>10540.371943545586</v>
      </c>
      <c r="Q836" s="20">
        <f t="shared" si="54"/>
        <v>7054.5580564544143</v>
      </c>
      <c r="R836" s="22">
        <f t="shared" si="55"/>
        <v>0.40094266112194898</v>
      </c>
    </row>
    <row r="837" spans="1:18">
      <c r="A837" s="18">
        <v>1836</v>
      </c>
      <c r="B837" s="19" t="s">
        <v>348</v>
      </c>
      <c r="C837" s="18">
        <v>2024</v>
      </c>
      <c r="D837" s="18" t="s">
        <v>57</v>
      </c>
      <c r="E837" s="18" t="s">
        <v>85</v>
      </c>
      <c r="F837" s="18" t="s">
        <v>86</v>
      </c>
      <c r="G837" s="18" t="s">
        <v>47</v>
      </c>
      <c r="H837" s="18" t="s">
        <v>107</v>
      </c>
      <c r="I837" s="18" t="s">
        <v>62</v>
      </c>
      <c r="J837" s="18" t="s">
        <v>82</v>
      </c>
      <c r="K837" s="18">
        <v>8</v>
      </c>
      <c r="L837" s="20">
        <v>2279.63</v>
      </c>
      <c r="M837" s="21">
        <v>0</v>
      </c>
      <c r="N837" s="21">
        <v>0.61799131100925397</v>
      </c>
      <c r="O837" s="20">
        <f t="shared" si="52"/>
        <v>18237.04</v>
      </c>
      <c r="P837" s="20">
        <f t="shared" si="53"/>
        <v>11270.332258528206</v>
      </c>
      <c r="Q837" s="20">
        <f t="shared" si="54"/>
        <v>6966.7077414717951</v>
      </c>
      <c r="R837" s="22">
        <f t="shared" si="55"/>
        <v>0.38200868899074603</v>
      </c>
    </row>
    <row r="838" spans="1:18">
      <c r="A838" s="18">
        <v>1837</v>
      </c>
      <c r="B838" s="19" t="s">
        <v>349</v>
      </c>
      <c r="C838" s="18">
        <v>2024</v>
      </c>
      <c r="D838" s="18" t="s">
        <v>57</v>
      </c>
      <c r="E838" s="18" t="s">
        <v>85</v>
      </c>
      <c r="F838" s="18" t="s">
        <v>86</v>
      </c>
      <c r="G838" s="18" t="s">
        <v>47</v>
      </c>
      <c r="H838" s="18" t="s">
        <v>107</v>
      </c>
      <c r="I838" s="18" t="s">
        <v>52</v>
      </c>
      <c r="J838" s="18" t="s">
        <v>82</v>
      </c>
      <c r="K838" s="18">
        <v>2</v>
      </c>
      <c r="L838" s="20">
        <v>2305.5500000000002</v>
      </c>
      <c r="M838" s="21">
        <v>0.15</v>
      </c>
      <c r="N838" s="21">
        <v>0.58363119853340395</v>
      </c>
      <c r="O838" s="20">
        <f t="shared" si="52"/>
        <v>3919.4350000000004</v>
      </c>
      <c r="P838" s="20">
        <f t="shared" si="53"/>
        <v>2287.5045466237725</v>
      </c>
      <c r="Q838" s="20">
        <f t="shared" si="54"/>
        <v>1631.9304533762279</v>
      </c>
      <c r="R838" s="22">
        <f t="shared" si="55"/>
        <v>0.41636880146659599</v>
      </c>
    </row>
    <row r="839" spans="1:18">
      <c r="A839" s="18">
        <v>1838</v>
      </c>
      <c r="B839" s="19" t="s">
        <v>349</v>
      </c>
      <c r="C839" s="18">
        <v>2024</v>
      </c>
      <c r="D839" s="18" t="s">
        <v>57</v>
      </c>
      <c r="E839" s="18" t="s">
        <v>88</v>
      </c>
      <c r="F839" s="18" t="s">
        <v>110</v>
      </c>
      <c r="G839" s="18" t="s">
        <v>47</v>
      </c>
      <c r="H839" s="18" t="s">
        <v>81</v>
      </c>
      <c r="I839" s="18" t="s">
        <v>46</v>
      </c>
      <c r="J839" s="18" t="s">
        <v>91</v>
      </c>
      <c r="K839" s="18">
        <v>7</v>
      </c>
      <c r="L839" s="20">
        <v>814.29</v>
      </c>
      <c r="M839" s="21">
        <v>0</v>
      </c>
      <c r="N839" s="21">
        <v>0.67289508575368395</v>
      </c>
      <c r="O839" s="20">
        <f t="shared" si="52"/>
        <v>5700.03</v>
      </c>
      <c r="P839" s="20">
        <f t="shared" si="53"/>
        <v>3835.5221756485712</v>
      </c>
      <c r="Q839" s="20">
        <f t="shared" si="54"/>
        <v>1864.5078243514286</v>
      </c>
      <c r="R839" s="22">
        <f t="shared" si="55"/>
        <v>0.32710491424631599</v>
      </c>
    </row>
    <row r="840" spans="1:18">
      <c r="A840" s="18">
        <v>1839</v>
      </c>
      <c r="B840" s="19" t="s">
        <v>349</v>
      </c>
      <c r="C840" s="18">
        <v>2024</v>
      </c>
      <c r="D840" s="18" t="s">
        <v>57</v>
      </c>
      <c r="E840" s="18" t="s">
        <v>98</v>
      </c>
      <c r="F840" s="18" t="s">
        <v>117</v>
      </c>
      <c r="G840" s="18" t="s">
        <v>41</v>
      </c>
      <c r="H840" s="18" t="s">
        <v>90</v>
      </c>
      <c r="I840" s="18" t="s">
        <v>52</v>
      </c>
      <c r="J840" s="18" t="s">
        <v>91</v>
      </c>
      <c r="K840" s="18">
        <v>2</v>
      </c>
      <c r="L840" s="20">
        <v>17676.07</v>
      </c>
      <c r="M840" s="21">
        <v>0.1</v>
      </c>
      <c r="N840" s="21">
        <v>0.72860220420989097</v>
      </c>
      <c r="O840" s="20">
        <f t="shared" si="52"/>
        <v>31816.925999999999</v>
      </c>
      <c r="P840" s="20">
        <f t="shared" si="53"/>
        <v>23181.882414782987</v>
      </c>
      <c r="Q840" s="20">
        <f t="shared" si="54"/>
        <v>8635.0435852170122</v>
      </c>
      <c r="R840" s="22">
        <f t="shared" si="55"/>
        <v>0.27139779579010909</v>
      </c>
    </row>
    <row r="841" spans="1:18">
      <c r="A841" s="18">
        <v>1840</v>
      </c>
      <c r="B841" s="19" t="s">
        <v>350</v>
      </c>
      <c r="C841" s="18">
        <v>2024</v>
      </c>
      <c r="D841" s="18" t="s">
        <v>57</v>
      </c>
      <c r="E841" s="18" t="s">
        <v>85</v>
      </c>
      <c r="F841" s="18" t="s">
        <v>86</v>
      </c>
      <c r="G841" s="18" t="s">
        <v>41</v>
      </c>
      <c r="H841" s="18" t="s">
        <v>101</v>
      </c>
      <c r="I841" s="18" t="s">
        <v>49</v>
      </c>
      <c r="J841" s="18" t="s">
        <v>102</v>
      </c>
      <c r="K841" s="18">
        <v>10</v>
      </c>
      <c r="L841" s="20">
        <v>53550.7</v>
      </c>
      <c r="M841" s="21">
        <v>0.15</v>
      </c>
      <c r="N841" s="21">
        <v>0.70047799573007397</v>
      </c>
      <c r="O841" s="20">
        <f t="shared" si="52"/>
        <v>455180.95</v>
      </c>
      <c r="P841" s="20">
        <f t="shared" si="53"/>
        <v>318844.239550511</v>
      </c>
      <c r="Q841" s="20">
        <f t="shared" si="54"/>
        <v>136336.71044948901</v>
      </c>
      <c r="R841" s="22">
        <f t="shared" si="55"/>
        <v>0.29952200426992609</v>
      </c>
    </row>
    <row r="842" spans="1:18">
      <c r="A842" s="18">
        <v>1841</v>
      </c>
      <c r="B842" s="19" t="s">
        <v>350</v>
      </c>
      <c r="C842" s="18">
        <v>2024</v>
      </c>
      <c r="D842" s="18" t="s">
        <v>57</v>
      </c>
      <c r="E842" s="18" t="s">
        <v>85</v>
      </c>
      <c r="F842" s="18" t="s">
        <v>86</v>
      </c>
      <c r="G842" s="18" t="s">
        <v>47</v>
      </c>
      <c r="H842" s="18" t="s">
        <v>81</v>
      </c>
      <c r="I842" s="18" t="s">
        <v>54</v>
      </c>
      <c r="J842" s="18" t="s">
        <v>91</v>
      </c>
      <c r="K842" s="18">
        <v>9</v>
      </c>
      <c r="L842" s="20">
        <v>792.57</v>
      </c>
      <c r="M842" s="21">
        <v>0.1</v>
      </c>
      <c r="N842" s="21">
        <v>0.555781287562093</v>
      </c>
      <c r="O842" s="20">
        <f t="shared" si="52"/>
        <v>6419.817</v>
      </c>
      <c r="P842" s="20">
        <f t="shared" si="53"/>
        <v>3568.0141581730131</v>
      </c>
      <c r="Q842" s="20">
        <f t="shared" si="54"/>
        <v>2851.8028418269869</v>
      </c>
      <c r="R842" s="22">
        <f t="shared" si="55"/>
        <v>0.444218712437907</v>
      </c>
    </row>
    <row r="843" spans="1:18">
      <c r="A843" s="18">
        <v>1842</v>
      </c>
      <c r="B843" s="19" t="s">
        <v>350</v>
      </c>
      <c r="C843" s="18">
        <v>2024</v>
      </c>
      <c r="D843" s="18" t="s">
        <v>57</v>
      </c>
      <c r="E843" s="18" t="s">
        <v>88</v>
      </c>
      <c r="F843" s="18" t="s">
        <v>110</v>
      </c>
      <c r="G843" s="18" t="s">
        <v>47</v>
      </c>
      <c r="H843" s="18" t="s">
        <v>103</v>
      </c>
      <c r="I843" s="18" t="s">
        <v>62</v>
      </c>
      <c r="J843" s="18" t="s">
        <v>102</v>
      </c>
      <c r="K843" s="18">
        <v>2</v>
      </c>
      <c r="L843" s="20">
        <v>3118.82</v>
      </c>
      <c r="M843" s="21">
        <v>0.15</v>
      </c>
      <c r="N843" s="21">
        <v>0.68031018195333204</v>
      </c>
      <c r="O843" s="20">
        <f t="shared" si="52"/>
        <v>5301.9939999999997</v>
      </c>
      <c r="P843" s="20">
        <f t="shared" si="53"/>
        <v>3607.0005028554747</v>
      </c>
      <c r="Q843" s="20">
        <f t="shared" si="54"/>
        <v>1694.993497144525</v>
      </c>
      <c r="R843" s="22">
        <f t="shared" si="55"/>
        <v>0.31968981804666796</v>
      </c>
    </row>
    <row r="844" spans="1:18">
      <c r="A844" s="18">
        <v>1843</v>
      </c>
      <c r="B844" s="19" t="s">
        <v>350</v>
      </c>
      <c r="C844" s="18">
        <v>2024</v>
      </c>
      <c r="D844" s="18" t="s">
        <v>57</v>
      </c>
      <c r="E844" s="18" t="s">
        <v>88</v>
      </c>
      <c r="F844" s="18" t="s">
        <v>89</v>
      </c>
      <c r="G844" s="18" t="s">
        <v>50</v>
      </c>
      <c r="H844" s="18" t="s">
        <v>97</v>
      </c>
      <c r="I844" s="18" t="s">
        <v>43</v>
      </c>
      <c r="J844" s="18" t="s">
        <v>102</v>
      </c>
      <c r="K844" s="18">
        <v>9</v>
      </c>
      <c r="L844" s="20">
        <v>11644.15</v>
      </c>
      <c r="M844" s="21">
        <v>0</v>
      </c>
      <c r="N844" s="21">
        <v>0.62466104409164203</v>
      </c>
      <c r="O844" s="20">
        <f t="shared" si="52"/>
        <v>104797.34999999999</v>
      </c>
      <c r="P844" s="20">
        <f t="shared" si="53"/>
        <v>65462.822069037233</v>
      </c>
      <c r="Q844" s="20">
        <f t="shared" si="54"/>
        <v>39334.527930962759</v>
      </c>
      <c r="R844" s="22">
        <f t="shared" si="55"/>
        <v>0.37533895590835803</v>
      </c>
    </row>
    <row r="845" spans="1:18">
      <c r="A845" s="18">
        <v>1844</v>
      </c>
      <c r="B845" s="19" t="s">
        <v>351</v>
      </c>
      <c r="C845" s="18">
        <v>2024</v>
      </c>
      <c r="D845" s="18" t="s">
        <v>57</v>
      </c>
      <c r="E845" s="18" t="s">
        <v>88</v>
      </c>
      <c r="F845" s="18" t="s">
        <v>93</v>
      </c>
      <c r="G845" s="18" t="s">
        <v>50</v>
      </c>
      <c r="H845" s="18" t="s">
        <v>87</v>
      </c>
      <c r="I845" s="18" t="s">
        <v>58</v>
      </c>
      <c r="J845" s="18" t="s">
        <v>82</v>
      </c>
      <c r="K845" s="18">
        <v>1</v>
      </c>
      <c r="L845" s="20">
        <v>9797.01</v>
      </c>
      <c r="M845" s="21">
        <v>0.15</v>
      </c>
      <c r="N845" s="21">
        <v>0.60784989096680098</v>
      </c>
      <c r="O845" s="20">
        <f t="shared" si="52"/>
        <v>8327.4585000000006</v>
      </c>
      <c r="P845" s="20">
        <f t="shared" si="53"/>
        <v>5061.8447412555606</v>
      </c>
      <c r="Q845" s="20">
        <f t="shared" si="54"/>
        <v>3265.61375874444</v>
      </c>
      <c r="R845" s="22">
        <f t="shared" si="55"/>
        <v>0.39215010903319902</v>
      </c>
    </row>
    <row r="846" spans="1:18">
      <c r="A846" s="18">
        <v>1845</v>
      </c>
      <c r="B846" s="19" t="s">
        <v>351</v>
      </c>
      <c r="C846" s="18">
        <v>2024</v>
      </c>
      <c r="D846" s="18" t="s">
        <v>57</v>
      </c>
      <c r="E846" s="18" t="s">
        <v>88</v>
      </c>
      <c r="F846" s="18" t="s">
        <v>110</v>
      </c>
      <c r="G846" s="18" t="s">
        <v>41</v>
      </c>
      <c r="H846" s="18" t="s">
        <v>112</v>
      </c>
      <c r="I846" s="18" t="s">
        <v>52</v>
      </c>
      <c r="J846" s="18" t="s">
        <v>102</v>
      </c>
      <c r="K846" s="18">
        <v>5</v>
      </c>
      <c r="L846" s="20">
        <v>6203.69</v>
      </c>
      <c r="M846" s="21">
        <v>0.1</v>
      </c>
      <c r="N846" s="21">
        <v>0.74984837375792601</v>
      </c>
      <c r="O846" s="20">
        <f t="shared" si="52"/>
        <v>27916.605</v>
      </c>
      <c r="P846" s="20">
        <f t="shared" si="53"/>
        <v>20933.220860092384</v>
      </c>
      <c r="Q846" s="20">
        <f t="shared" si="54"/>
        <v>6983.3841399076155</v>
      </c>
      <c r="R846" s="22">
        <f t="shared" si="55"/>
        <v>0.25015162624207404</v>
      </c>
    </row>
    <row r="847" spans="1:18">
      <c r="A847" s="18">
        <v>1846</v>
      </c>
      <c r="B847" s="19" t="s">
        <v>351</v>
      </c>
      <c r="C847" s="18">
        <v>2024</v>
      </c>
      <c r="D847" s="18" t="s">
        <v>57</v>
      </c>
      <c r="E847" s="18" t="s">
        <v>88</v>
      </c>
      <c r="F847" s="18" t="s">
        <v>93</v>
      </c>
      <c r="G847" s="18" t="s">
        <v>47</v>
      </c>
      <c r="H847" s="18" t="s">
        <v>81</v>
      </c>
      <c r="I847" s="18" t="s">
        <v>46</v>
      </c>
      <c r="J847" s="18" t="s">
        <v>102</v>
      </c>
      <c r="K847" s="18">
        <v>9</v>
      </c>
      <c r="L847" s="20">
        <v>805.05</v>
      </c>
      <c r="M847" s="21">
        <v>0.05</v>
      </c>
      <c r="N847" s="21">
        <v>0.56794302075401704</v>
      </c>
      <c r="O847" s="20">
        <f t="shared" si="52"/>
        <v>6883.1774999999998</v>
      </c>
      <c r="P847" s="20">
        <f t="shared" si="53"/>
        <v>3909.2526217360828</v>
      </c>
      <c r="Q847" s="20">
        <f t="shared" si="54"/>
        <v>2973.924878263917</v>
      </c>
      <c r="R847" s="22">
        <f t="shared" si="55"/>
        <v>0.43205697924598296</v>
      </c>
    </row>
    <row r="848" spans="1:18">
      <c r="A848" s="18">
        <v>1847</v>
      </c>
      <c r="B848" s="19" t="s">
        <v>352</v>
      </c>
      <c r="C848" s="18">
        <v>2024</v>
      </c>
      <c r="D848" s="18" t="s">
        <v>57</v>
      </c>
      <c r="E848" s="18" t="s">
        <v>88</v>
      </c>
      <c r="F848" s="18" t="s">
        <v>93</v>
      </c>
      <c r="G848" s="18" t="s">
        <v>47</v>
      </c>
      <c r="H848" s="18" t="s">
        <v>107</v>
      </c>
      <c r="I848" s="18" t="s">
        <v>49</v>
      </c>
      <c r="J848" s="18" t="s">
        <v>102</v>
      </c>
      <c r="K848" s="18">
        <v>9</v>
      </c>
      <c r="L848" s="20">
        <v>2300.63</v>
      </c>
      <c r="M848" s="21">
        <v>0.05</v>
      </c>
      <c r="N848" s="21">
        <v>0.726786322418006</v>
      </c>
      <c r="O848" s="20">
        <f t="shared" si="52"/>
        <v>19670.386500000001</v>
      </c>
      <c r="P848" s="20">
        <f t="shared" si="53"/>
        <v>14296.167864875793</v>
      </c>
      <c r="Q848" s="20">
        <f t="shared" si="54"/>
        <v>5374.2186351242071</v>
      </c>
      <c r="R848" s="22">
        <f t="shared" si="55"/>
        <v>0.273213677581994</v>
      </c>
    </row>
    <row r="849" spans="1:18">
      <c r="A849" s="18">
        <v>1848</v>
      </c>
      <c r="B849" s="19" t="s">
        <v>352</v>
      </c>
      <c r="C849" s="18">
        <v>2024</v>
      </c>
      <c r="D849" s="18" t="s">
        <v>57</v>
      </c>
      <c r="E849" s="18" t="s">
        <v>98</v>
      </c>
      <c r="F849" s="18" t="s">
        <v>99</v>
      </c>
      <c r="G849" s="18" t="s">
        <v>47</v>
      </c>
      <c r="H849" s="18" t="s">
        <v>103</v>
      </c>
      <c r="I849" s="18" t="s">
        <v>58</v>
      </c>
      <c r="J849" s="18" t="s">
        <v>91</v>
      </c>
      <c r="K849" s="18">
        <v>4</v>
      </c>
      <c r="L849" s="20">
        <v>3251.93</v>
      </c>
      <c r="M849" s="21">
        <v>0.05</v>
      </c>
      <c r="N849" s="21">
        <v>0.61832596094999304</v>
      </c>
      <c r="O849" s="20">
        <f t="shared" si="52"/>
        <v>12357.333999999999</v>
      </c>
      <c r="P849" s="20">
        <f t="shared" si="53"/>
        <v>7640.8604203300201</v>
      </c>
      <c r="Q849" s="20">
        <f t="shared" si="54"/>
        <v>4716.4735796699788</v>
      </c>
      <c r="R849" s="22">
        <f t="shared" si="55"/>
        <v>0.38167403905000702</v>
      </c>
    </row>
    <row r="850" spans="1:18">
      <c r="A850" s="18">
        <v>1849</v>
      </c>
      <c r="B850" s="19" t="s">
        <v>353</v>
      </c>
      <c r="C850" s="18">
        <v>2024</v>
      </c>
      <c r="D850" s="18" t="s">
        <v>57</v>
      </c>
      <c r="E850" s="18" t="s">
        <v>98</v>
      </c>
      <c r="F850" s="18" t="s">
        <v>117</v>
      </c>
      <c r="G850" s="18" t="s">
        <v>44</v>
      </c>
      <c r="H850" s="18" t="s">
        <v>95</v>
      </c>
      <c r="I850" s="18" t="s">
        <v>40</v>
      </c>
      <c r="J850" s="18" t="s">
        <v>102</v>
      </c>
      <c r="K850" s="18">
        <v>8</v>
      </c>
      <c r="L850" s="20">
        <v>4276.93</v>
      </c>
      <c r="M850" s="21">
        <v>0</v>
      </c>
      <c r="N850" s="21">
        <v>0.684541280826235</v>
      </c>
      <c r="O850" s="20">
        <f t="shared" si="52"/>
        <v>34215.440000000002</v>
      </c>
      <c r="P850" s="20">
        <f t="shared" si="53"/>
        <v>23421.881121633196</v>
      </c>
      <c r="Q850" s="20">
        <f t="shared" si="54"/>
        <v>10793.558878366806</v>
      </c>
      <c r="R850" s="22">
        <f t="shared" si="55"/>
        <v>0.315458719173765</v>
      </c>
    </row>
    <row r="851" spans="1:18">
      <c r="A851" s="18">
        <v>1850</v>
      </c>
      <c r="B851" s="19" t="s">
        <v>353</v>
      </c>
      <c r="C851" s="18">
        <v>2024</v>
      </c>
      <c r="D851" s="18" t="s">
        <v>57</v>
      </c>
      <c r="E851" s="18" t="s">
        <v>85</v>
      </c>
      <c r="F851" s="18" t="s">
        <v>94</v>
      </c>
      <c r="G851" s="18" t="s">
        <v>50</v>
      </c>
      <c r="H851" s="18" t="s">
        <v>97</v>
      </c>
      <c r="I851" s="18" t="s">
        <v>60</v>
      </c>
      <c r="J851" s="18" t="s">
        <v>82</v>
      </c>
      <c r="K851" s="18">
        <v>11</v>
      </c>
      <c r="L851" s="20">
        <v>12181.52</v>
      </c>
      <c r="M851" s="21">
        <v>0.15</v>
      </c>
      <c r="N851" s="21">
        <v>0.556189504105705</v>
      </c>
      <c r="O851" s="20">
        <f t="shared" si="52"/>
        <v>113897.212</v>
      </c>
      <c r="P851" s="20">
        <f t="shared" si="53"/>
        <v>63348.43386130235</v>
      </c>
      <c r="Q851" s="20">
        <f t="shared" si="54"/>
        <v>50548.778138697649</v>
      </c>
      <c r="R851" s="22">
        <f t="shared" si="55"/>
        <v>0.443810495894295</v>
      </c>
    </row>
    <row r="852" spans="1:18">
      <c r="A852" s="18">
        <v>1851</v>
      </c>
      <c r="B852" s="19" t="s">
        <v>353</v>
      </c>
      <c r="C852" s="18">
        <v>2024</v>
      </c>
      <c r="D852" s="18" t="s">
        <v>57</v>
      </c>
      <c r="E852" s="18" t="s">
        <v>85</v>
      </c>
      <c r="F852" s="18" t="s">
        <v>94</v>
      </c>
      <c r="G852" s="18" t="s">
        <v>41</v>
      </c>
      <c r="H852" s="18" t="s">
        <v>106</v>
      </c>
      <c r="I852" s="18" t="s">
        <v>56</v>
      </c>
      <c r="J852" s="18" t="s">
        <v>102</v>
      </c>
      <c r="K852" s="18">
        <v>6</v>
      </c>
      <c r="L852" s="20">
        <v>2471.69</v>
      </c>
      <c r="M852" s="21">
        <v>0.2</v>
      </c>
      <c r="N852" s="21">
        <v>0.74675910027091397</v>
      </c>
      <c r="O852" s="20">
        <f t="shared" si="52"/>
        <v>11864.112000000001</v>
      </c>
      <c r="P852" s="20">
        <f t="shared" si="53"/>
        <v>8859.6336026333538</v>
      </c>
      <c r="Q852" s="20">
        <f t="shared" si="54"/>
        <v>3004.4783973666472</v>
      </c>
      <c r="R852" s="22">
        <f t="shared" si="55"/>
        <v>0.25324089972908609</v>
      </c>
    </row>
    <row r="853" spans="1:18">
      <c r="A853" s="18">
        <v>1852</v>
      </c>
      <c r="B853" s="19" t="s">
        <v>353</v>
      </c>
      <c r="C853" s="18">
        <v>2024</v>
      </c>
      <c r="D853" s="18" t="s">
        <v>57</v>
      </c>
      <c r="E853" s="18" t="s">
        <v>79</v>
      </c>
      <c r="F853" s="18" t="s">
        <v>105</v>
      </c>
      <c r="G853" s="18" t="s">
        <v>47</v>
      </c>
      <c r="H853" s="18" t="s">
        <v>81</v>
      </c>
      <c r="I853" s="18" t="s">
        <v>58</v>
      </c>
      <c r="J853" s="18" t="s">
        <v>82</v>
      </c>
      <c r="K853" s="18">
        <v>4</v>
      </c>
      <c r="L853" s="20">
        <v>819.45</v>
      </c>
      <c r="M853" s="21">
        <v>0.05</v>
      </c>
      <c r="N853" s="21">
        <v>0.68611087042301699</v>
      </c>
      <c r="O853" s="20">
        <f t="shared" si="52"/>
        <v>3113.91</v>
      </c>
      <c r="P853" s="20">
        <f t="shared" si="53"/>
        <v>2136.4875005189369</v>
      </c>
      <c r="Q853" s="20">
        <f t="shared" si="54"/>
        <v>977.42249948106291</v>
      </c>
      <c r="R853" s="22">
        <f t="shared" si="55"/>
        <v>0.31388912957698295</v>
      </c>
    </row>
    <row r="854" spans="1:18">
      <c r="A854" s="18">
        <v>1853</v>
      </c>
      <c r="B854" s="19" t="s">
        <v>353</v>
      </c>
      <c r="C854" s="18">
        <v>2024</v>
      </c>
      <c r="D854" s="18" t="s">
        <v>57</v>
      </c>
      <c r="E854" s="18" t="s">
        <v>98</v>
      </c>
      <c r="F854" s="18" t="s">
        <v>117</v>
      </c>
      <c r="G854" s="18" t="s">
        <v>41</v>
      </c>
      <c r="H854" s="18" t="s">
        <v>106</v>
      </c>
      <c r="I854" s="18" t="s">
        <v>49</v>
      </c>
      <c r="J854" s="18" t="s">
        <v>82</v>
      </c>
      <c r="K854" s="18">
        <v>8</v>
      </c>
      <c r="L854" s="20">
        <v>2616.8200000000002</v>
      </c>
      <c r="M854" s="21">
        <v>0</v>
      </c>
      <c r="N854" s="21">
        <v>0.60615127160077997</v>
      </c>
      <c r="O854" s="20">
        <f t="shared" si="52"/>
        <v>20934.560000000001</v>
      </c>
      <c r="P854" s="20">
        <f t="shared" si="53"/>
        <v>12689.510164402825</v>
      </c>
      <c r="Q854" s="20">
        <f t="shared" si="54"/>
        <v>8245.0498355971758</v>
      </c>
      <c r="R854" s="22">
        <f t="shared" si="55"/>
        <v>0.39384872839922003</v>
      </c>
    </row>
    <row r="855" spans="1:18">
      <c r="A855" s="18">
        <v>1854</v>
      </c>
      <c r="B855" s="19" t="s">
        <v>354</v>
      </c>
      <c r="C855" s="18">
        <v>2024</v>
      </c>
      <c r="D855" s="18" t="s">
        <v>59</v>
      </c>
      <c r="E855" s="18" t="s">
        <v>79</v>
      </c>
      <c r="F855" s="18" t="s">
        <v>100</v>
      </c>
      <c r="G855" s="18" t="s">
        <v>50</v>
      </c>
      <c r="H855" s="18" t="s">
        <v>83</v>
      </c>
      <c r="I855" s="18" t="s">
        <v>52</v>
      </c>
      <c r="J855" s="18" t="s">
        <v>102</v>
      </c>
      <c r="K855" s="18">
        <v>9</v>
      </c>
      <c r="L855" s="20">
        <v>3497.9</v>
      </c>
      <c r="M855" s="21">
        <v>0.15</v>
      </c>
      <c r="N855" s="21">
        <v>0.58875405141687198</v>
      </c>
      <c r="O855" s="20">
        <f t="shared" si="52"/>
        <v>26758.935000000001</v>
      </c>
      <c r="P855" s="20">
        <f t="shared" si="53"/>
        <v>15754.431392850736</v>
      </c>
      <c r="Q855" s="20">
        <f t="shared" si="54"/>
        <v>11004.503607149265</v>
      </c>
      <c r="R855" s="22">
        <f t="shared" si="55"/>
        <v>0.41124594858312802</v>
      </c>
    </row>
    <row r="856" spans="1:18">
      <c r="A856" s="18">
        <v>1855</v>
      </c>
      <c r="B856" s="19" t="s">
        <v>354</v>
      </c>
      <c r="C856" s="18">
        <v>2024</v>
      </c>
      <c r="D856" s="18" t="s">
        <v>59</v>
      </c>
      <c r="E856" s="18" t="s">
        <v>88</v>
      </c>
      <c r="F856" s="18" t="s">
        <v>110</v>
      </c>
      <c r="G856" s="18" t="s">
        <v>44</v>
      </c>
      <c r="H856" s="18" t="s">
        <v>95</v>
      </c>
      <c r="I856" s="18" t="s">
        <v>43</v>
      </c>
      <c r="J856" s="18" t="s">
        <v>82</v>
      </c>
      <c r="K856" s="18">
        <v>5</v>
      </c>
      <c r="L856" s="20">
        <v>4695.1000000000004</v>
      </c>
      <c r="M856" s="21">
        <v>0</v>
      </c>
      <c r="N856" s="21">
        <v>0.72620061862927698</v>
      </c>
      <c r="O856" s="20">
        <f t="shared" si="52"/>
        <v>23475.5</v>
      </c>
      <c r="P856" s="20">
        <f t="shared" si="53"/>
        <v>17047.922622631591</v>
      </c>
      <c r="Q856" s="20">
        <f t="shared" si="54"/>
        <v>6427.5773773684086</v>
      </c>
      <c r="R856" s="22">
        <f t="shared" si="55"/>
        <v>0.27379938137072302</v>
      </c>
    </row>
    <row r="857" spans="1:18">
      <c r="A857" s="18">
        <v>1856</v>
      </c>
      <c r="B857" s="19" t="s">
        <v>354</v>
      </c>
      <c r="C857" s="18">
        <v>2024</v>
      </c>
      <c r="D857" s="18" t="s">
        <v>59</v>
      </c>
      <c r="E857" s="18" t="s">
        <v>98</v>
      </c>
      <c r="F857" s="18" t="s">
        <v>117</v>
      </c>
      <c r="G857" s="18" t="s">
        <v>41</v>
      </c>
      <c r="H857" s="18" t="s">
        <v>106</v>
      </c>
      <c r="I857" s="18" t="s">
        <v>60</v>
      </c>
      <c r="J857" s="18" t="s">
        <v>91</v>
      </c>
      <c r="K857" s="18">
        <v>1</v>
      </c>
      <c r="L857" s="20">
        <v>2609.4699999999998</v>
      </c>
      <c r="M857" s="21">
        <v>0.2</v>
      </c>
      <c r="N857" s="21">
        <v>0.68461995712380697</v>
      </c>
      <c r="O857" s="20">
        <f t="shared" si="52"/>
        <v>2087.576</v>
      </c>
      <c r="P857" s="20">
        <f t="shared" si="53"/>
        <v>1429.1961916126884</v>
      </c>
      <c r="Q857" s="20">
        <f t="shared" si="54"/>
        <v>658.37980838731164</v>
      </c>
      <c r="R857" s="22">
        <f t="shared" si="55"/>
        <v>0.31538004287619309</v>
      </c>
    </row>
    <row r="858" spans="1:18">
      <c r="A858" s="18">
        <v>1857</v>
      </c>
      <c r="B858" s="19" t="s">
        <v>355</v>
      </c>
      <c r="C858" s="18">
        <v>2024</v>
      </c>
      <c r="D858" s="18" t="s">
        <v>59</v>
      </c>
      <c r="E858" s="18" t="s">
        <v>98</v>
      </c>
      <c r="F858" s="18" t="s">
        <v>109</v>
      </c>
      <c r="G858" s="18" t="s">
        <v>50</v>
      </c>
      <c r="H858" s="18" t="s">
        <v>97</v>
      </c>
      <c r="I858" s="18" t="s">
        <v>43</v>
      </c>
      <c r="J858" s="18" t="s">
        <v>102</v>
      </c>
      <c r="K858" s="18">
        <v>9</v>
      </c>
      <c r="L858" s="20">
        <v>11959.9</v>
      </c>
      <c r="M858" s="21">
        <v>0.05</v>
      </c>
      <c r="N858" s="21">
        <v>0.65345138275477499</v>
      </c>
      <c r="O858" s="20">
        <f t="shared" si="52"/>
        <v>102257.14499999999</v>
      </c>
      <c r="P858" s="20">
        <f t="shared" si="53"/>
        <v>66820.072796805514</v>
      </c>
      <c r="Q858" s="20">
        <f t="shared" si="54"/>
        <v>35437.072203194475</v>
      </c>
      <c r="R858" s="22">
        <f t="shared" si="55"/>
        <v>0.34654861724522507</v>
      </c>
    </row>
    <row r="859" spans="1:18">
      <c r="A859" s="18">
        <v>1858</v>
      </c>
      <c r="B859" s="19" t="s">
        <v>355</v>
      </c>
      <c r="C859" s="18">
        <v>2024</v>
      </c>
      <c r="D859" s="18" t="s">
        <v>59</v>
      </c>
      <c r="E859" s="18" t="s">
        <v>79</v>
      </c>
      <c r="F859" s="18" t="s">
        <v>80</v>
      </c>
      <c r="G859" s="18" t="s">
        <v>44</v>
      </c>
      <c r="H859" s="18" t="s">
        <v>119</v>
      </c>
      <c r="I859" s="18" t="s">
        <v>52</v>
      </c>
      <c r="J859" s="18" t="s">
        <v>91</v>
      </c>
      <c r="K859" s="18">
        <v>9</v>
      </c>
      <c r="L859" s="20">
        <v>6964.2</v>
      </c>
      <c r="M859" s="21">
        <v>0</v>
      </c>
      <c r="N859" s="21">
        <v>0.62837177693040402</v>
      </c>
      <c r="O859" s="20">
        <f t="shared" si="52"/>
        <v>62677.799999999996</v>
      </c>
      <c r="P859" s="20">
        <f t="shared" si="53"/>
        <v>39384.960560088475</v>
      </c>
      <c r="Q859" s="20">
        <f t="shared" si="54"/>
        <v>23292.83943991152</v>
      </c>
      <c r="R859" s="22">
        <f t="shared" si="55"/>
        <v>0.37162822306959598</v>
      </c>
    </row>
    <row r="860" spans="1:18">
      <c r="A860" s="18">
        <v>1859</v>
      </c>
      <c r="B860" s="19" t="s">
        <v>356</v>
      </c>
      <c r="C860" s="18">
        <v>2024</v>
      </c>
      <c r="D860" s="18" t="s">
        <v>59</v>
      </c>
      <c r="E860" s="18" t="s">
        <v>79</v>
      </c>
      <c r="F860" s="18" t="s">
        <v>80</v>
      </c>
      <c r="G860" s="18" t="s">
        <v>41</v>
      </c>
      <c r="H860" s="18" t="s">
        <v>101</v>
      </c>
      <c r="I860" s="18" t="s">
        <v>56</v>
      </c>
      <c r="J860" s="18" t="s">
        <v>82</v>
      </c>
      <c r="K860" s="18">
        <v>4</v>
      </c>
      <c r="L860" s="20">
        <v>53332.82</v>
      </c>
      <c r="M860" s="21">
        <v>0.05</v>
      </c>
      <c r="N860" s="21">
        <v>0.61216117152995497</v>
      </c>
      <c r="O860" s="20">
        <f t="shared" si="52"/>
        <v>202664.71599999999</v>
      </c>
      <c r="P860" s="20">
        <f t="shared" si="53"/>
        <v>124063.4699743456</v>
      </c>
      <c r="Q860" s="20">
        <f t="shared" si="54"/>
        <v>78601.246025654385</v>
      </c>
      <c r="R860" s="22">
        <f t="shared" si="55"/>
        <v>0.38783882847004503</v>
      </c>
    </row>
    <row r="861" spans="1:18">
      <c r="A861" s="18">
        <v>1860</v>
      </c>
      <c r="B861" s="19" t="s">
        <v>356</v>
      </c>
      <c r="C861" s="18">
        <v>2024</v>
      </c>
      <c r="D861" s="18" t="s">
        <v>59</v>
      </c>
      <c r="E861" s="18" t="s">
        <v>79</v>
      </c>
      <c r="F861" s="18" t="s">
        <v>100</v>
      </c>
      <c r="G861" s="18" t="s">
        <v>50</v>
      </c>
      <c r="H861" s="18" t="s">
        <v>97</v>
      </c>
      <c r="I861" s="18" t="s">
        <v>40</v>
      </c>
      <c r="J861" s="18" t="s">
        <v>102</v>
      </c>
      <c r="K861" s="18">
        <v>11</v>
      </c>
      <c r="L861" s="20">
        <v>12522.07</v>
      </c>
      <c r="M861" s="21">
        <v>0.05</v>
      </c>
      <c r="N861" s="21">
        <v>0.59943071321821295</v>
      </c>
      <c r="O861" s="20">
        <f t="shared" si="52"/>
        <v>130855.63149999999</v>
      </c>
      <c r="P861" s="20">
        <f t="shared" si="53"/>
        <v>78438.88451866465</v>
      </c>
      <c r="Q861" s="20">
        <f t="shared" si="54"/>
        <v>52416.746981335338</v>
      </c>
      <c r="R861" s="22">
        <f t="shared" si="55"/>
        <v>0.40056928678178699</v>
      </c>
    </row>
    <row r="862" spans="1:18">
      <c r="A862" s="18">
        <v>1861</v>
      </c>
      <c r="B862" s="19" t="s">
        <v>356</v>
      </c>
      <c r="C862" s="18">
        <v>2024</v>
      </c>
      <c r="D862" s="18" t="s">
        <v>59</v>
      </c>
      <c r="E862" s="18" t="s">
        <v>85</v>
      </c>
      <c r="F862" s="18" t="s">
        <v>86</v>
      </c>
      <c r="G862" s="18" t="s">
        <v>47</v>
      </c>
      <c r="H862" s="18" t="s">
        <v>81</v>
      </c>
      <c r="I862" s="18" t="s">
        <v>54</v>
      </c>
      <c r="J862" s="18" t="s">
        <v>102</v>
      </c>
      <c r="K862" s="18">
        <v>4</v>
      </c>
      <c r="L862" s="20">
        <v>835.48</v>
      </c>
      <c r="M862" s="21">
        <v>0.15</v>
      </c>
      <c r="N862" s="21">
        <v>0.67391331112165698</v>
      </c>
      <c r="O862" s="20">
        <f t="shared" si="52"/>
        <v>2840.6320000000001</v>
      </c>
      <c r="P862" s="20">
        <f t="shared" si="53"/>
        <v>1914.3397167981348</v>
      </c>
      <c r="Q862" s="20">
        <f t="shared" si="54"/>
        <v>926.2922832018653</v>
      </c>
      <c r="R862" s="22">
        <f t="shared" si="55"/>
        <v>0.32608668887834302</v>
      </c>
    </row>
    <row r="863" spans="1:18">
      <c r="A863" s="18">
        <v>1862</v>
      </c>
      <c r="B863" s="19" t="s">
        <v>356</v>
      </c>
      <c r="C863" s="18">
        <v>2024</v>
      </c>
      <c r="D863" s="18" t="s">
        <v>59</v>
      </c>
      <c r="E863" s="18" t="s">
        <v>79</v>
      </c>
      <c r="F863" s="18" t="s">
        <v>80</v>
      </c>
      <c r="G863" s="18" t="s">
        <v>50</v>
      </c>
      <c r="H863" s="18" t="s">
        <v>87</v>
      </c>
      <c r="I863" s="18" t="s">
        <v>43</v>
      </c>
      <c r="J863" s="18" t="s">
        <v>82</v>
      </c>
      <c r="K863" s="18">
        <v>1</v>
      </c>
      <c r="L863" s="20">
        <v>9895.8799999999992</v>
      </c>
      <c r="M863" s="21">
        <v>0.1</v>
      </c>
      <c r="N863" s="21">
        <v>0.61265588684392502</v>
      </c>
      <c r="O863" s="20">
        <f t="shared" si="52"/>
        <v>8906.2919999999995</v>
      </c>
      <c r="P863" s="20">
        <f t="shared" si="53"/>
        <v>5456.4922237509545</v>
      </c>
      <c r="Q863" s="20">
        <f t="shared" si="54"/>
        <v>3449.799776249045</v>
      </c>
      <c r="R863" s="22">
        <f t="shared" si="55"/>
        <v>0.38734411315607498</v>
      </c>
    </row>
    <row r="864" spans="1:18">
      <c r="A864" s="18">
        <v>1863</v>
      </c>
      <c r="B864" s="19" t="s">
        <v>357</v>
      </c>
      <c r="C864" s="18">
        <v>2024</v>
      </c>
      <c r="D864" s="18" t="s">
        <v>59</v>
      </c>
      <c r="E864" s="18" t="s">
        <v>88</v>
      </c>
      <c r="F864" s="18" t="s">
        <v>110</v>
      </c>
      <c r="G864" s="18" t="s">
        <v>50</v>
      </c>
      <c r="H864" s="18" t="s">
        <v>83</v>
      </c>
      <c r="I864" s="18" t="s">
        <v>52</v>
      </c>
      <c r="J864" s="18" t="s">
        <v>102</v>
      </c>
      <c r="K864" s="18">
        <v>11</v>
      </c>
      <c r="L864" s="20">
        <v>3476.14</v>
      </c>
      <c r="M864" s="21">
        <v>0</v>
      </c>
      <c r="N864" s="21">
        <v>0.68551289149491501</v>
      </c>
      <c r="O864" s="20">
        <f t="shared" si="52"/>
        <v>38237.54</v>
      </c>
      <c r="P864" s="20">
        <f t="shared" si="53"/>
        <v>26212.326609052474</v>
      </c>
      <c r="Q864" s="20">
        <f t="shared" si="54"/>
        <v>12025.213390947527</v>
      </c>
      <c r="R864" s="22">
        <f t="shared" si="55"/>
        <v>0.31448710850508499</v>
      </c>
    </row>
    <row r="865" spans="1:18">
      <c r="A865" s="18">
        <v>1864</v>
      </c>
      <c r="B865" s="19" t="s">
        <v>357</v>
      </c>
      <c r="C865" s="18">
        <v>2024</v>
      </c>
      <c r="D865" s="18" t="s">
        <v>59</v>
      </c>
      <c r="E865" s="18" t="s">
        <v>79</v>
      </c>
      <c r="F865" s="18" t="s">
        <v>105</v>
      </c>
      <c r="G865" s="18" t="s">
        <v>50</v>
      </c>
      <c r="H865" s="18" t="s">
        <v>97</v>
      </c>
      <c r="I865" s="18" t="s">
        <v>43</v>
      </c>
      <c r="J865" s="18" t="s">
        <v>102</v>
      </c>
      <c r="K865" s="18">
        <v>7</v>
      </c>
      <c r="L865" s="20">
        <v>11679.73</v>
      </c>
      <c r="M865" s="21">
        <v>0.15</v>
      </c>
      <c r="N865" s="21">
        <v>0.707494961708373</v>
      </c>
      <c r="O865" s="20">
        <f t="shared" si="52"/>
        <v>69494.393500000006</v>
      </c>
      <c r="P865" s="20">
        <f t="shared" si="53"/>
        <v>49166.933268229113</v>
      </c>
      <c r="Q865" s="20">
        <f t="shared" si="54"/>
        <v>20327.460231770892</v>
      </c>
      <c r="R865" s="22">
        <f t="shared" si="55"/>
        <v>0.29250503829162694</v>
      </c>
    </row>
    <row r="866" spans="1:18">
      <c r="A866" s="18">
        <v>1865</v>
      </c>
      <c r="B866" s="19" t="s">
        <v>358</v>
      </c>
      <c r="C866" s="18">
        <v>2024</v>
      </c>
      <c r="D866" s="18" t="s">
        <v>59</v>
      </c>
      <c r="E866" s="18" t="s">
        <v>85</v>
      </c>
      <c r="F866" s="18" t="s">
        <v>121</v>
      </c>
      <c r="G866" s="18" t="s">
        <v>50</v>
      </c>
      <c r="H866" s="18" t="s">
        <v>97</v>
      </c>
      <c r="I866" s="18" t="s">
        <v>62</v>
      </c>
      <c r="J866" s="18" t="s">
        <v>102</v>
      </c>
      <c r="K866" s="18">
        <v>2</v>
      </c>
      <c r="L866" s="20">
        <v>11807.54</v>
      </c>
      <c r="M866" s="21">
        <v>0.2</v>
      </c>
      <c r="N866" s="21">
        <v>0.70658582750852705</v>
      </c>
      <c r="O866" s="20">
        <f t="shared" si="52"/>
        <v>18892.064000000002</v>
      </c>
      <c r="P866" s="20">
        <f t="shared" si="53"/>
        <v>13348.864674784056</v>
      </c>
      <c r="Q866" s="20">
        <f t="shared" si="54"/>
        <v>5543.1993252159464</v>
      </c>
      <c r="R866" s="22">
        <f t="shared" si="55"/>
        <v>0.29341417249147289</v>
      </c>
    </row>
    <row r="867" spans="1:18">
      <c r="A867" s="18">
        <v>1866</v>
      </c>
      <c r="B867" s="19" t="s">
        <v>358</v>
      </c>
      <c r="C867" s="18">
        <v>2024</v>
      </c>
      <c r="D867" s="18" t="s">
        <v>59</v>
      </c>
      <c r="E867" s="18" t="s">
        <v>85</v>
      </c>
      <c r="F867" s="18" t="s">
        <v>94</v>
      </c>
      <c r="G867" s="18" t="s">
        <v>47</v>
      </c>
      <c r="H867" s="18" t="s">
        <v>103</v>
      </c>
      <c r="I867" s="18" t="s">
        <v>49</v>
      </c>
      <c r="J867" s="18" t="s">
        <v>82</v>
      </c>
      <c r="K867" s="18">
        <v>2</v>
      </c>
      <c r="L867" s="20">
        <v>3043.93</v>
      </c>
      <c r="M867" s="21">
        <v>0.2</v>
      </c>
      <c r="N867" s="21">
        <v>0.56350889443291197</v>
      </c>
      <c r="O867" s="20">
        <f t="shared" si="52"/>
        <v>4870.2879999999996</v>
      </c>
      <c r="P867" s="20">
        <f t="shared" si="53"/>
        <v>2744.4506064498778</v>
      </c>
      <c r="Q867" s="20">
        <f t="shared" si="54"/>
        <v>2125.8373935501218</v>
      </c>
      <c r="R867" s="22">
        <f t="shared" si="55"/>
        <v>0.43649110556708803</v>
      </c>
    </row>
    <row r="868" spans="1:18">
      <c r="A868" s="18">
        <v>1867</v>
      </c>
      <c r="B868" s="19" t="s">
        <v>359</v>
      </c>
      <c r="C868" s="18">
        <v>2024</v>
      </c>
      <c r="D868" s="18" t="s">
        <v>59</v>
      </c>
      <c r="E868" s="18" t="s">
        <v>88</v>
      </c>
      <c r="F868" s="18" t="s">
        <v>93</v>
      </c>
      <c r="G868" s="18" t="s">
        <v>47</v>
      </c>
      <c r="H868" s="18" t="s">
        <v>107</v>
      </c>
      <c r="I868" s="18" t="s">
        <v>56</v>
      </c>
      <c r="J868" s="18" t="s">
        <v>91</v>
      </c>
      <c r="K868" s="18">
        <v>12</v>
      </c>
      <c r="L868" s="20">
        <v>2226.59</v>
      </c>
      <c r="M868" s="21">
        <v>0</v>
      </c>
      <c r="N868" s="21">
        <v>0.59863049557458303</v>
      </c>
      <c r="O868" s="20">
        <f t="shared" si="52"/>
        <v>26719.08</v>
      </c>
      <c r="P868" s="20">
        <f t="shared" si="53"/>
        <v>15994.856101696931</v>
      </c>
      <c r="Q868" s="20">
        <f t="shared" si="54"/>
        <v>10724.223898303071</v>
      </c>
      <c r="R868" s="22">
        <f t="shared" si="55"/>
        <v>0.40136950442541697</v>
      </c>
    </row>
    <row r="869" spans="1:18">
      <c r="A869" s="18">
        <v>1868</v>
      </c>
      <c r="B869" s="19" t="s">
        <v>359</v>
      </c>
      <c r="C869" s="18">
        <v>2024</v>
      </c>
      <c r="D869" s="18" t="s">
        <v>59</v>
      </c>
      <c r="E869" s="18" t="s">
        <v>79</v>
      </c>
      <c r="F869" s="18" t="s">
        <v>100</v>
      </c>
      <c r="G869" s="18" t="s">
        <v>44</v>
      </c>
      <c r="H869" s="18" t="s">
        <v>114</v>
      </c>
      <c r="I869" s="18" t="s">
        <v>62</v>
      </c>
      <c r="J869" s="18" t="s">
        <v>91</v>
      </c>
      <c r="K869" s="18">
        <v>9</v>
      </c>
      <c r="L869" s="20">
        <v>9413.77</v>
      </c>
      <c r="M869" s="21">
        <v>0.05</v>
      </c>
      <c r="N869" s="21">
        <v>0.61223764804551895</v>
      </c>
      <c r="O869" s="20">
        <f t="shared" si="52"/>
        <v>80487.733500000002</v>
      </c>
      <c r="P869" s="20">
        <f t="shared" si="53"/>
        <v>49277.620654554528</v>
      </c>
      <c r="Q869" s="20">
        <f t="shared" si="54"/>
        <v>31210.112845445474</v>
      </c>
      <c r="R869" s="22">
        <f t="shared" si="55"/>
        <v>0.387762351954481</v>
      </c>
    </row>
    <row r="870" spans="1:18">
      <c r="A870" s="18">
        <v>1869</v>
      </c>
      <c r="B870" s="19" t="s">
        <v>359</v>
      </c>
      <c r="C870" s="18">
        <v>2024</v>
      </c>
      <c r="D870" s="18" t="s">
        <v>59</v>
      </c>
      <c r="E870" s="18" t="s">
        <v>88</v>
      </c>
      <c r="F870" s="18" t="s">
        <v>110</v>
      </c>
      <c r="G870" s="18" t="s">
        <v>50</v>
      </c>
      <c r="H870" s="18" t="s">
        <v>97</v>
      </c>
      <c r="I870" s="18" t="s">
        <v>62</v>
      </c>
      <c r="J870" s="18" t="s">
        <v>91</v>
      </c>
      <c r="K870" s="18">
        <v>5</v>
      </c>
      <c r="L870" s="20">
        <v>11842.6</v>
      </c>
      <c r="M870" s="21">
        <v>0</v>
      </c>
      <c r="N870" s="21">
        <v>0.65353611795073696</v>
      </c>
      <c r="O870" s="20">
        <f t="shared" si="52"/>
        <v>59213</v>
      </c>
      <c r="P870" s="20">
        <f t="shared" si="53"/>
        <v>38697.834152216987</v>
      </c>
      <c r="Q870" s="20">
        <f t="shared" si="54"/>
        <v>20515.165847783013</v>
      </c>
      <c r="R870" s="22">
        <f t="shared" si="55"/>
        <v>0.34646388204926304</v>
      </c>
    </row>
    <row r="871" spans="1:18">
      <c r="A871" s="18">
        <v>1870</v>
      </c>
      <c r="B871" s="19" t="s">
        <v>360</v>
      </c>
      <c r="C871" s="18">
        <v>2024</v>
      </c>
      <c r="D871" s="18" t="s">
        <v>59</v>
      </c>
      <c r="E871" s="18" t="s">
        <v>79</v>
      </c>
      <c r="F871" s="18" t="s">
        <v>100</v>
      </c>
      <c r="G871" s="18" t="s">
        <v>41</v>
      </c>
      <c r="H871" s="18" t="s">
        <v>112</v>
      </c>
      <c r="I871" s="18" t="s">
        <v>54</v>
      </c>
      <c r="J871" s="18" t="s">
        <v>82</v>
      </c>
      <c r="K871" s="18">
        <v>4</v>
      </c>
      <c r="L871" s="20">
        <v>6084.33</v>
      </c>
      <c r="M871" s="21">
        <v>0</v>
      </c>
      <c r="N871" s="21">
        <v>0.70705276141822904</v>
      </c>
      <c r="O871" s="20">
        <f t="shared" si="52"/>
        <v>24337.32</v>
      </c>
      <c r="P871" s="20">
        <f t="shared" si="53"/>
        <v>17207.769311519092</v>
      </c>
      <c r="Q871" s="20">
        <f t="shared" si="54"/>
        <v>7129.5506884809074</v>
      </c>
      <c r="R871" s="22">
        <f t="shared" si="55"/>
        <v>0.29294723858177102</v>
      </c>
    </row>
    <row r="872" spans="1:18">
      <c r="A872" s="18">
        <v>1871</v>
      </c>
      <c r="B872" s="19" t="s">
        <v>360</v>
      </c>
      <c r="C872" s="18">
        <v>2024</v>
      </c>
      <c r="D872" s="18" t="s">
        <v>59</v>
      </c>
      <c r="E872" s="18" t="s">
        <v>98</v>
      </c>
      <c r="F872" s="18" t="s">
        <v>117</v>
      </c>
      <c r="G872" s="18" t="s">
        <v>50</v>
      </c>
      <c r="H872" s="18" t="s">
        <v>87</v>
      </c>
      <c r="I872" s="18" t="s">
        <v>58</v>
      </c>
      <c r="J872" s="18" t="s">
        <v>102</v>
      </c>
      <c r="K872" s="18">
        <v>12</v>
      </c>
      <c r="L872" s="20">
        <v>9339.59</v>
      </c>
      <c r="M872" s="21">
        <v>0.15</v>
      </c>
      <c r="N872" s="21">
        <v>0.66321938181380202</v>
      </c>
      <c r="O872" s="20">
        <f t="shared" si="52"/>
        <v>95263.817999999999</v>
      </c>
      <c r="P872" s="20">
        <f t="shared" si="53"/>
        <v>63180.810483182548</v>
      </c>
      <c r="Q872" s="20">
        <f t="shared" si="54"/>
        <v>32083.007516817452</v>
      </c>
      <c r="R872" s="22">
        <f t="shared" si="55"/>
        <v>0.33678061818619798</v>
      </c>
    </row>
    <row r="873" spans="1:18">
      <c r="A873" s="18">
        <v>1872</v>
      </c>
      <c r="B873" s="19" t="s">
        <v>360</v>
      </c>
      <c r="C873" s="18">
        <v>2024</v>
      </c>
      <c r="D873" s="18" t="s">
        <v>59</v>
      </c>
      <c r="E873" s="18" t="s">
        <v>98</v>
      </c>
      <c r="F873" s="18" t="s">
        <v>99</v>
      </c>
      <c r="G873" s="18" t="s">
        <v>47</v>
      </c>
      <c r="H873" s="18" t="s">
        <v>107</v>
      </c>
      <c r="I873" s="18" t="s">
        <v>54</v>
      </c>
      <c r="J873" s="18" t="s">
        <v>82</v>
      </c>
      <c r="K873" s="18">
        <v>2</v>
      </c>
      <c r="L873" s="20">
        <v>2189.9499999999998</v>
      </c>
      <c r="M873" s="21">
        <v>0</v>
      </c>
      <c r="N873" s="21">
        <v>0.64918613466531905</v>
      </c>
      <c r="O873" s="20">
        <f t="shared" si="52"/>
        <v>4379.8999999999996</v>
      </c>
      <c r="P873" s="20">
        <f t="shared" si="53"/>
        <v>2843.3703512206307</v>
      </c>
      <c r="Q873" s="20">
        <f t="shared" si="54"/>
        <v>1536.5296487793689</v>
      </c>
      <c r="R873" s="22">
        <f t="shared" si="55"/>
        <v>0.35081386533468095</v>
      </c>
    </row>
    <row r="874" spans="1:18">
      <c r="A874" s="18">
        <v>1873</v>
      </c>
      <c r="B874" s="19" t="s">
        <v>361</v>
      </c>
      <c r="C874" s="18">
        <v>2024</v>
      </c>
      <c r="D874" s="18" t="s">
        <v>59</v>
      </c>
      <c r="E874" s="18" t="s">
        <v>88</v>
      </c>
      <c r="F874" s="18" t="s">
        <v>93</v>
      </c>
      <c r="G874" s="18" t="s">
        <v>44</v>
      </c>
      <c r="H874" s="18" t="s">
        <v>114</v>
      </c>
      <c r="I874" s="18" t="s">
        <v>62</v>
      </c>
      <c r="J874" s="18" t="s">
        <v>82</v>
      </c>
      <c r="K874" s="18">
        <v>4</v>
      </c>
      <c r="L874" s="20">
        <v>8982.67</v>
      </c>
      <c r="M874" s="21">
        <v>0.05</v>
      </c>
      <c r="N874" s="21">
        <v>0.71145426145208102</v>
      </c>
      <c r="O874" s="20">
        <f t="shared" si="52"/>
        <v>34134.146000000001</v>
      </c>
      <c r="P874" s="20">
        <f t="shared" si="53"/>
        <v>24284.883632727506</v>
      </c>
      <c r="Q874" s="20">
        <f t="shared" si="54"/>
        <v>9849.2623672724949</v>
      </c>
      <c r="R874" s="22">
        <f t="shared" si="55"/>
        <v>0.28854573854791898</v>
      </c>
    </row>
    <row r="875" spans="1:18">
      <c r="A875" s="18">
        <v>1874</v>
      </c>
      <c r="B875" s="19" t="s">
        <v>361</v>
      </c>
      <c r="C875" s="18">
        <v>2024</v>
      </c>
      <c r="D875" s="18" t="s">
        <v>59</v>
      </c>
      <c r="E875" s="18" t="s">
        <v>85</v>
      </c>
      <c r="F875" s="18" t="s">
        <v>86</v>
      </c>
      <c r="G875" s="18" t="s">
        <v>50</v>
      </c>
      <c r="H875" s="18" t="s">
        <v>83</v>
      </c>
      <c r="I875" s="18" t="s">
        <v>40</v>
      </c>
      <c r="J875" s="18" t="s">
        <v>91</v>
      </c>
      <c r="K875" s="18">
        <v>1</v>
      </c>
      <c r="L875" s="20">
        <v>3350.81</v>
      </c>
      <c r="M875" s="21">
        <v>0</v>
      </c>
      <c r="N875" s="21">
        <v>0.66093832122562701</v>
      </c>
      <c r="O875" s="20">
        <f t="shared" si="52"/>
        <v>3350.81</v>
      </c>
      <c r="P875" s="20">
        <f t="shared" si="53"/>
        <v>2214.6787361460433</v>
      </c>
      <c r="Q875" s="20">
        <f t="shared" si="54"/>
        <v>1136.1312638539566</v>
      </c>
      <c r="R875" s="22">
        <f t="shared" si="55"/>
        <v>0.33906167877437293</v>
      </c>
    </row>
    <row r="876" spans="1:18">
      <c r="A876" s="18">
        <v>1875</v>
      </c>
      <c r="B876" s="19" t="s">
        <v>362</v>
      </c>
      <c r="C876" s="18">
        <v>2024</v>
      </c>
      <c r="D876" s="18" t="s">
        <v>59</v>
      </c>
      <c r="E876" s="18" t="s">
        <v>98</v>
      </c>
      <c r="F876" s="18" t="s">
        <v>109</v>
      </c>
      <c r="G876" s="18" t="s">
        <v>44</v>
      </c>
      <c r="H876" s="18" t="s">
        <v>95</v>
      </c>
      <c r="I876" s="18" t="s">
        <v>62</v>
      </c>
      <c r="J876" s="18" t="s">
        <v>91</v>
      </c>
      <c r="K876" s="18">
        <v>1</v>
      </c>
      <c r="L876" s="20">
        <v>4713.8900000000003</v>
      </c>
      <c r="M876" s="21">
        <v>0</v>
      </c>
      <c r="N876" s="21">
        <v>0.58956499887123803</v>
      </c>
      <c r="O876" s="20">
        <f t="shared" si="52"/>
        <v>4713.8900000000003</v>
      </c>
      <c r="P876" s="20">
        <f t="shared" si="53"/>
        <v>2779.1445525291406</v>
      </c>
      <c r="Q876" s="20">
        <f t="shared" si="54"/>
        <v>1934.7454474708597</v>
      </c>
      <c r="R876" s="22">
        <f t="shared" si="55"/>
        <v>0.41043500112876191</v>
      </c>
    </row>
    <row r="877" spans="1:18">
      <c r="A877" s="18">
        <v>1876</v>
      </c>
      <c r="B877" s="19" t="s">
        <v>362</v>
      </c>
      <c r="C877" s="18">
        <v>2024</v>
      </c>
      <c r="D877" s="18" t="s">
        <v>59</v>
      </c>
      <c r="E877" s="18" t="s">
        <v>88</v>
      </c>
      <c r="F877" s="18" t="s">
        <v>110</v>
      </c>
      <c r="G877" s="18" t="s">
        <v>47</v>
      </c>
      <c r="H877" s="18" t="s">
        <v>103</v>
      </c>
      <c r="I877" s="18" t="s">
        <v>46</v>
      </c>
      <c r="J877" s="18" t="s">
        <v>91</v>
      </c>
      <c r="K877" s="18">
        <v>9</v>
      </c>
      <c r="L877" s="20">
        <v>3118.71</v>
      </c>
      <c r="M877" s="21">
        <v>0</v>
      </c>
      <c r="N877" s="21">
        <v>0.55429840561163102</v>
      </c>
      <c r="O877" s="20">
        <f t="shared" si="52"/>
        <v>28068.39</v>
      </c>
      <c r="P877" s="20">
        <f t="shared" si="53"/>
        <v>15558.263825085447</v>
      </c>
      <c r="Q877" s="20">
        <f t="shared" si="54"/>
        <v>12510.126174914552</v>
      </c>
      <c r="R877" s="22">
        <f t="shared" si="55"/>
        <v>0.44570159438836898</v>
      </c>
    </row>
    <row r="878" spans="1:18">
      <c r="A878" s="18">
        <v>1877</v>
      </c>
      <c r="B878" s="19" t="s">
        <v>362</v>
      </c>
      <c r="C878" s="18">
        <v>2024</v>
      </c>
      <c r="D878" s="18" t="s">
        <v>59</v>
      </c>
      <c r="E878" s="18" t="s">
        <v>98</v>
      </c>
      <c r="F878" s="18" t="s">
        <v>117</v>
      </c>
      <c r="G878" s="18" t="s">
        <v>41</v>
      </c>
      <c r="H878" s="18" t="s">
        <v>101</v>
      </c>
      <c r="I878" s="18" t="s">
        <v>56</v>
      </c>
      <c r="J878" s="18" t="s">
        <v>102</v>
      </c>
      <c r="K878" s="18">
        <v>2</v>
      </c>
      <c r="L878" s="20">
        <v>54111.11</v>
      </c>
      <c r="M878" s="21">
        <v>0</v>
      </c>
      <c r="N878" s="21">
        <v>0.61101447560817601</v>
      </c>
      <c r="O878" s="20">
        <f t="shared" si="52"/>
        <v>108222.22</v>
      </c>
      <c r="P878" s="20">
        <f t="shared" si="53"/>
        <v>66125.343002452661</v>
      </c>
      <c r="Q878" s="20">
        <f t="shared" si="54"/>
        <v>42096.876997547341</v>
      </c>
      <c r="R878" s="22">
        <f t="shared" si="55"/>
        <v>0.38898552439182399</v>
      </c>
    </row>
    <row r="879" spans="1:18">
      <c r="A879" s="18">
        <v>1878</v>
      </c>
      <c r="B879" s="19" t="s">
        <v>363</v>
      </c>
      <c r="C879" s="18">
        <v>2024</v>
      </c>
      <c r="D879" s="18" t="s">
        <v>59</v>
      </c>
      <c r="E879" s="18" t="s">
        <v>98</v>
      </c>
      <c r="F879" s="18" t="s">
        <v>109</v>
      </c>
      <c r="G879" s="18" t="s">
        <v>44</v>
      </c>
      <c r="H879" s="18" t="s">
        <v>95</v>
      </c>
      <c r="I879" s="18" t="s">
        <v>62</v>
      </c>
      <c r="J879" s="18" t="s">
        <v>91</v>
      </c>
      <c r="K879" s="18">
        <v>12</v>
      </c>
      <c r="L879" s="20">
        <v>4304.42</v>
      </c>
      <c r="M879" s="21">
        <v>0</v>
      </c>
      <c r="N879" s="21">
        <v>0.72654462445401502</v>
      </c>
      <c r="O879" s="20">
        <f t="shared" si="52"/>
        <v>51653.04</v>
      </c>
      <c r="P879" s="20">
        <f t="shared" si="53"/>
        <v>37528.238548708214</v>
      </c>
      <c r="Q879" s="20">
        <f t="shared" si="54"/>
        <v>14124.801451291787</v>
      </c>
      <c r="R879" s="22">
        <f t="shared" si="55"/>
        <v>0.27345537554598504</v>
      </c>
    </row>
    <row r="880" spans="1:18">
      <c r="A880" s="18">
        <v>1879</v>
      </c>
      <c r="B880" s="19" t="s">
        <v>363</v>
      </c>
      <c r="C880" s="18">
        <v>2024</v>
      </c>
      <c r="D880" s="18" t="s">
        <v>59</v>
      </c>
      <c r="E880" s="18" t="s">
        <v>88</v>
      </c>
      <c r="F880" s="18" t="s">
        <v>110</v>
      </c>
      <c r="G880" s="18" t="s">
        <v>44</v>
      </c>
      <c r="H880" s="18" t="s">
        <v>95</v>
      </c>
      <c r="I880" s="18" t="s">
        <v>56</v>
      </c>
      <c r="J880" s="18" t="s">
        <v>102</v>
      </c>
      <c r="K880" s="18">
        <v>6</v>
      </c>
      <c r="L880" s="20">
        <v>4418.08</v>
      </c>
      <c r="M880" s="21">
        <v>0.1</v>
      </c>
      <c r="N880" s="21">
        <v>0.74539630805871304</v>
      </c>
      <c r="O880" s="20">
        <f t="shared" si="52"/>
        <v>23857.632000000001</v>
      </c>
      <c r="P880" s="20">
        <f t="shared" si="53"/>
        <v>17783.39081182341</v>
      </c>
      <c r="Q880" s="20">
        <f t="shared" si="54"/>
        <v>6074.2411881765911</v>
      </c>
      <c r="R880" s="22">
        <f t="shared" si="55"/>
        <v>0.25460369194128701</v>
      </c>
    </row>
    <row r="881" spans="1:18">
      <c r="A881" s="18">
        <v>1880</v>
      </c>
      <c r="B881" s="19" t="s">
        <v>363</v>
      </c>
      <c r="C881" s="18">
        <v>2024</v>
      </c>
      <c r="D881" s="18" t="s">
        <v>59</v>
      </c>
      <c r="E881" s="18" t="s">
        <v>88</v>
      </c>
      <c r="F881" s="18" t="s">
        <v>110</v>
      </c>
      <c r="G881" s="18" t="s">
        <v>44</v>
      </c>
      <c r="H881" s="18" t="s">
        <v>95</v>
      </c>
      <c r="I881" s="18" t="s">
        <v>52</v>
      </c>
      <c r="J881" s="18" t="s">
        <v>82</v>
      </c>
      <c r="K881" s="18">
        <v>6</v>
      </c>
      <c r="L881" s="20">
        <v>4386.2299999999996</v>
      </c>
      <c r="M881" s="21">
        <v>0.2</v>
      </c>
      <c r="N881" s="21">
        <v>0.70912238401185501</v>
      </c>
      <c r="O881" s="20">
        <f t="shared" si="52"/>
        <v>21053.903999999999</v>
      </c>
      <c r="P881" s="20">
        <f t="shared" si="53"/>
        <v>14929.794597236729</v>
      </c>
      <c r="Q881" s="20">
        <f t="shared" si="54"/>
        <v>6124.1094027632698</v>
      </c>
      <c r="R881" s="22">
        <f t="shared" si="55"/>
        <v>0.29087761598814499</v>
      </c>
    </row>
    <row r="882" spans="1:18">
      <c r="A882" s="18">
        <v>1881</v>
      </c>
      <c r="B882" s="19" t="s">
        <v>364</v>
      </c>
      <c r="C882" s="18">
        <v>2024</v>
      </c>
      <c r="D882" s="18" t="s">
        <v>59</v>
      </c>
      <c r="E882" s="18" t="s">
        <v>85</v>
      </c>
      <c r="F882" s="18" t="s">
        <v>86</v>
      </c>
      <c r="G882" s="18" t="s">
        <v>41</v>
      </c>
      <c r="H882" s="18" t="s">
        <v>112</v>
      </c>
      <c r="I882" s="18" t="s">
        <v>62</v>
      </c>
      <c r="J882" s="18" t="s">
        <v>82</v>
      </c>
      <c r="K882" s="18">
        <v>3</v>
      </c>
      <c r="L882" s="20">
        <v>6005.17</v>
      </c>
      <c r="M882" s="21">
        <v>0.2</v>
      </c>
      <c r="N882" s="21">
        <v>0.700227253897724</v>
      </c>
      <c r="O882" s="20">
        <f t="shared" si="52"/>
        <v>14412.408000000003</v>
      </c>
      <c r="P882" s="20">
        <f t="shared" si="53"/>
        <v>10091.96087589359</v>
      </c>
      <c r="Q882" s="20">
        <f t="shared" si="54"/>
        <v>4320.447124106413</v>
      </c>
      <c r="R882" s="22">
        <f t="shared" si="55"/>
        <v>0.29977274610227606</v>
      </c>
    </row>
    <row r="883" spans="1:18">
      <c r="A883" s="18">
        <v>1882</v>
      </c>
      <c r="B883" s="19" t="s">
        <v>364</v>
      </c>
      <c r="C883" s="18">
        <v>2024</v>
      </c>
      <c r="D883" s="18" t="s">
        <v>59</v>
      </c>
      <c r="E883" s="18" t="s">
        <v>98</v>
      </c>
      <c r="F883" s="18" t="s">
        <v>109</v>
      </c>
      <c r="G883" s="18" t="s">
        <v>50</v>
      </c>
      <c r="H883" s="18" t="s">
        <v>83</v>
      </c>
      <c r="I883" s="18" t="s">
        <v>54</v>
      </c>
      <c r="J883" s="18" t="s">
        <v>102</v>
      </c>
      <c r="K883" s="18">
        <v>6</v>
      </c>
      <c r="L883" s="20">
        <v>3508.92</v>
      </c>
      <c r="M883" s="21">
        <v>0.1</v>
      </c>
      <c r="N883" s="21">
        <v>0.69312997453771796</v>
      </c>
      <c r="O883" s="20">
        <f t="shared" si="52"/>
        <v>18948.168000000001</v>
      </c>
      <c r="P883" s="20">
        <f t="shared" si="53"/>
        <v>13133.543203376403</v>
      </c>
      <c r="Q883" s="20">
        <f t="shared" si="54"/>
        <v>5814.6247966235987</v>
      </c>
      <c r="R883" s="22">
        <f t="shared" si="55"/>
        <v>0.30687002546228209</v>
      </c>
    </row>
    <row r="884" spans="1:18">
      <c r="A884" s="18">
        <v>1883</v>
      </c>
      <c r="B884" s="19" t="s">
        <v>364</v>
      </c>
      <c r="C884" s="18">
        <v>2024</v>
      </c>
      <c r="D884" s="18" t="s">
        <v>59</v>
      </c>
      <c r="E884" s="18" t="s">
        <v>85</v>
      </c>
      <c r="F884" s="18" t="s">
        <v>121</v>
      </c>
      <c r="G884" s="18" t="s">
        <v>47</v>
      </c>
      <c r="H884" s="18" t="s">
        <v>103</v>
      </c>
      <c r="I884" s="18" t="s">
        <v>56</v>
      </c>
      <c r="J884" s="18" t="s">
        <v>102</v>
      </c>
      <c r="K884" s="18">
        <v>10</v>
      </c>
      <c r="L884" s="20">
        <v>3247.92</v>
      </c>
      <c r="M884" s="21">
        <v>0</v>
      </c>
      <c r="N884" s="21">
        <v>0.59390525653196102</v>
      </c>
      <c r="O884" s="20">
        <f t="shared" si="52"/>
        <v>32479.200000000001</v>
      </c>
      <c r="P884" s="20">
        <f t="shared" si="53"/>
        <v>19289.567607952868</v>
      </c>
      <c r="Q884" s="20">
        <f t="shared" si="54"/>
        <v>13189.632392047133</v>
      </c>
      <c r="R884" s="22">
        <f t="shared" si="55"/>
        <v>0.40609474346803903</v>
      </c>
    </row>
    <row r="885" spans="1:18">
      <c r="A885" s="18">
        <v>1884</v>
      </c>
      <c r="B885" s="19" t="s">
        <v>365</v>
      </c>
      <c r="C885" s="18">
        <v>2024</v>
      </c>
      <c r="D885" s="18" t="s">
        <v>59</v>
      </c>
      <c r="E885" s="18" t="s">
        <v>85</v>
      </c>
      <c r="F885" s="18" t="s">
        <v>86</v>
      </c>
      <c r="G885" s="18" t="s">
        <v>50</v>
      </c>
      <c r="H885" s="18" t="s">
        <v>83</v>
      </c>
      <c r="I885" s="18" t="s">
        <v>52</v>
      </c>
      <c r="J885" s="18" t="s">
        <v>91</v>
      </c>
      <c r="K885" s="18">
        <v>7</v>
      </c>
      <c r="L885" s="20">
        <v>3524.98</v>
      </c>
      <c r="M885" s="21">
        <v>0.05</v>
      </c>
      <c r="N885" s="21">
        <v>0.60090584836982497</v>
      </c>
      <c r="O885" s="20">
        <f t="shared" si="52"/>
        <v>23441.116999999998</v>
      </c>
      <c r="P885" s="20">
        <f t="shared" si="53"/>
        <v>14085.904297621326</v>
      </c>
      <c r="Q885" s="20">
        <f t="shared" si="54"/>
        <v>9355.2127023786725</v>
      </c>
      <c r="R885" s="22">
        <f t="shared" si="55"/>
        <v>0.39909415163017503</v>
      </c>
    </row>
    <row r="886" spans="1:18">
      <c r="A886" s="18">
        <v>1885</v>
      </c>
      <c r="B886" s="19" t="s">
        <v>365</v>
      </c>
      <c r="C886" s="18">
        <v>2024</v>
      </c>
      <c r="D886" s="18" t="s">
        <v>59</v>
      </c>
      <c r="E886" s="18" t="s">
        <v>79</v>
      </c>
      <c r="F886" s="18" t="s">
        <v>100</v>
      </c>
      <c r="G886" s="18" t="s">
        <v>41</v>
      </c>
      <c r="H886" s="18" t="s">
        <v>106</v>
      </c>
      <c r="I886" s="18" t="s">
        <v>58</v>
      </c>
      <c r="J886" s="18" t="s">
        <v>102</v>
      </c>
      <c r="K886" s="18">
        <v>6</v>
      </c>
      <c r="L886" s="20">
        <v>2432.54</v>
      </c>
      <c r="M886" s="21">
        <v>0</v>
      </c>
      <c r="N886" s="21">
        <v>0.64305062221327702</v>
      </c>
      <c r="O886" s="20">
        <f t="shared" si="52"/>
        <v>14595.24</v>
      </c>
      <c r="P886" s="20">
        <f t="shared" si="53"/>
        <v>9385.4781633521088</v>
      </c>
      <c r="Q886" s="20">
        <f t="shared" si="54"/>
        <v>5209.761836647891</v>
      </c>
      <c r="R886" s="22">
        <f t="shared" si="55"/>
        <v>0.35694937778672298</v>
      </c>
    </row>
    <row r="887" spans="1:18">
      <c r="A887" s="18">
        <v>1886</v>
      </c>
      <c r="B887" s="19" t="s">
        <v>365</v>
      </c>
      <c r="C887" s="18">
        <v>2024</v>
      </c>
      <c r="D887" s="18" t="s">
        <v>59</v>
      </c>
      <c r="E887" s="18" t="s">
        <v>98</v>
      </c>
      <c r="F887" s="18" t="s">
        <v>109</v>
      </c>
      <c r="G887" s="18" t="s">
        <v>50</v>
      </c>
      <c r="H887" s="18" t="s">
        <v>97</v>
      </c>
      <c r="I887" s="18" t="s">
        <v>56</v>
      </c>
      <c r="J887" s="18" t="s">
        <v>91</v>
      </c>
      <c r="K887" s="18">
        <v>6</v>
      </c>
      <c r="L887" s="20">
        <v>12365.41</v>
      </c>
      <c r="M887" s="21">
        <v>0.05</v>
      </c>
      <c r="N887" s="21">
        <v>0.60460389313455098</v>
      </c>
      <c r="O887" s="20">
        <f t="shared" si="52"/>
        <v>70482.836999999985</v>
      </c>
      <c r="P887" s="20">
        <f t="shared" si="53"/>
        <v>42614.197649367969</v>
      </c>
      <c r="Q887" s="20">
        <f t="shared" si="54"/>
        <v>27868.639350632016</v>
      </c>
      <c r="R887" s="22">
        <f t="shared" si="55"/>
        <v>0.39539610686544902</v>
      </c>
    </row>
    <row r="888" spans="1:18">
      <c r="A888" s="18">
        <v>1887</v>
      </c>
      <c r="B888" s="19" t="s">
        <v>366</v>
      </c>
      <c r="C888" s="18">
        <v>2024</v>
      </c>
      <c r="D888" s="18" t="s">
        <v>59</v>
      </c>
      <c r="E888" s="18" t="s">
        <v>88</v>
      </c>
      <c r="F888" s="18" t="s">
        <v>89</v>
      </c>
      <c r="G888" s="18" t="s">
        <v>44</v>
      </c>
      <c r="H888" s="18" t="s">
        <v>114</v>
      </c>
      <c r="I888" s="18" t="s">
        <v>43</v>
      </c>
      <c r="J888" s="18" t="s">
        <v>91</v>
      </c>
      <c r="K888" s="18">
        <v>2</v>
      </c>
      <c r="L888" s="20">
        <v>8815.07</v>
      </c>
      <c r="M888" s="21">
        <v>0.15</v>
      </c>
      <c r="N888" s="21">
        <v>0.65255819789566405</v>
      </c>
      <c r="O888" s="20">
        <f t="shared" si="52"/>
        <v>14985.618999999999</v>
      </c>
      <c r="P888" s="20">
        <f t="shared" si="53"/>
        <v>9778.9885289910217</v>
      </c>
      <c r="Q888" s="20">
        <f t="shared" si="54"/>
        <v>5206.6304710089771</v>
      </c>
      <c r="R888" s="22">
        <f t="shared" si="55"/>
        <v>0.34744180210433601</v>
      </c>
    </row>
    <row r="889" spans="1:18">
      <c r="A889" s="18">
        <v>1888</v>
      </c>
      <c r="B889" s="19" t="s">
        <v>366</v>
      </c>
      <c r="C889" s="18">
        <v>2024</v>
      </c>
      <c r="D889" s="18" t="s">
        <v>59</v>
      </c>
      <c r="E889" s="18" t="s">
        <v>79</v>
      </c>
      <c r="F889" s="18" t="s">
        <v>105</v>
      </c>
      <c r="G889" s="18" t="s">
        <v>44</v>
      </c>
      <c r="H889" s="18" t="s">
        <v>119</v>
      </c>
      <c r="I889" s="18" t="s">
        <v>43</v>
      </c>
      <c r="J889" s="18" t="s">
        <v>82</v>
      </c>
      <c r="K889" s="18">
        <v>6</v>
      </c>
      <c r="L889" s="20">
        <v>6676.8</v>
      </c>
      <c r="M889" s="21">
        <v>0</v>
      </c>
      <c r="N889" s="21">
        <v>0.61675156831241595</v>
      </c>
      <c r="O889" s="20">
        <f t="shared" si="52"/>
        <v>40060.800000000003</v>
      </c>
      <c r="P889" s="20">
        <f t="shared" si="53"/>
        <v>24707.561227850034</v>
      </c>
      <c r="Q889" s="20">
        <f t="shared" si="54"/>
        <v>15353.238772149969</v>
      </c>
      <c r="R889" s="22">
        <f t="shared" si="55"/>
        <v>0.38324843168758405</v>
      </c>
    </row>
    <row r="890" spans="1:18">
      <c r="A890" s="18">
        <v>1889</v>
      </c>
      <c r="B890" s="19" t="s">
        <v>367</v>
      </c>
      <c r="C890" s="18">
        <v>2024</v>
      </c>
      <c r="D890" s="18" t="s">
        <v>59</v>
      </c>
      <c r="E890" s="18" t="s">
        <v>98</v>
      </c>
      <c r="F890" s="18" t="s">
        <v>109</v>
      </c>
      <c r="G890" s="18" t="s">
        <v>47</v>
      </c>
      <c r="H890" s="18" t="s">
        <v>81</v>
      </c>
      <c r="I890" s="18" t="s">
        <v>62</v>
      </c>
      <c r="J890" s="18" t="s">
        <v>82</v>
      </c>
      <c r="K890" s="18">
        <v>12</v>
      </c>
      <c r="L890" s="20">
        <v>819.19</v>
      </c>
      <c r="M890" s="21">
        <v>0.05</v>
      </c>
      <c r="N890" s="21">
        <v>0.55170677568029802</v>
      </c>
      <c r="O890" s="20">
        <f t="shared" si="52"/>
        <v>9338.7659999999996</v>
      </c>
      <c r="P890" s="20">
        <f t="shared" si="53"/>
        <v>5152.2604786927941</v>
      </c>
      <c r="Q890" s="20">
        <f t="shared" si="54"/>
        <v>4186.5055213072055</v>
      </c>
      <c r="R890" s="22">
        <f t="shared" si="55"/>
        <v>0.44829322431970198</v>
      </c>
    </row>
    <row r="891" spans="1:18">
      <c r="A891" s="18">
        <v>1890</v>
      </c>
      <c r="B891" s="19" t="s">
        <v>367</v>
      </c>
      <c r="C891" s="18">
        <v>2024</v>
      </c>
      <c r="D891" s="18" t="s">
        <v>59</v>
      </c>
      <c r="E891" s="18" t="s">
        <v>98</v>
      </c>
      <c r="F891" s="18" t="s">
        <v>109</v>
      </c>
      <c r="G891" s="18" t="s">
        <v>47</v>
      </c>
      <c r="H891" s="18" t="s">
        <v>107</v>
      </c>
      <c r="I891" s="18" t="s">
        <v>56</v>
      </c>
      <c r="J891" s="18" t="s">
        <v>102</v>
      </c>
      <c r="K891" s="18">
        <v>11</v>
      </c>
      <c r="L891" s="20">
        <v>2092.62</v>
      </c>
      <c r="M891" s="21">
        <v>0.2</v>
      </c>
      <c r="N891" s="21">
        <v>0.65252939461063497</v>
      </c>
      <c r="O891" s="20">
        <f t="shared" si="52"/>
        <v>18415.056</v>
      </c>
      <c r="P891" s="20">
        <f t="shared" si="53"/>
        <v>12016.365343400941</v>
      </c>
      <c r="Q891" s="20">
        <f t="shared" si="54"/>
        <v>6398.6906565990594</v>
      </c>
      <c r="R891" s="22">
        <f t="shared" si="55"/>
        <v>0.34747060538936503</v>
      </c>
    </row>
    <row r="892" spans="1:18">
      <c r="A892" s="18">
        <v>1891</v>
      </c>
      <c r="B892" s="19" t="s">
        <v>367</v>
      </c>
      <c r="C892" s="18">
        <v>2024</v>
      </c>
      <c r="D892" s="18" t="s">
        <v>59</v>
      </c>
      <c r="E892" s="18" t="s">
        <v>88</v>
      </c>
      <c r="F892" s="18" t="s">
        <v>89</v>
      </c>
      <c r="G892" s="18" t="s">
        <v>44</v>
      </c>
      <c r="H892" s="18" t="s">
        <v>119</v>
      </c>
      <c r="I892" s="18" t="s">
        <v>49</v>
      </c>
      <c r="J892" s="18" t="s">
        <v>91</v>
      </c>
      <c r="K892" s="18">
        <v>4</v>
      </c>
      <c r="L892" s="20">
        <v>7011.08</v>
      </c>
      <c r="M892" s="21">
        <v>0.15</v>
      </c>
      <c r="N892" s="21">
        <v>0.70152425984850297</v>
      </c>
      <c r="O892" s="20">
        <f t="shared" si="52"/>
        <v>23837.671999999999</v>
      </c>
      <c r="P892" s="20">
        <f t="shared" si="53"/>
        <v>16722.705206311384</v>
      </c>
      <c r="Q892" s="20">
        <f t="shared" si="54"/>
        <v>7114.9667936886144</v>
      </c>
      <c r="R892" s="22">
        <f t="shared" si="55"/>
        <v>0.29847574015149697</v>
      </c>
    </row>
    <row r="893" spans="1:18">
      <c r="A893" s="18">
        <v>1892</v>
      </c>
      <c r="B893" s="19" t="s">
        <v>367</v>
      </c>
      <c r="C893" s="18">
        <v>2024</v>
      </c>
      <c r="D893" s="18" t="s">
        <v>59</v>
      </c>
      <c r="E893" s="18" t="s">
        <v>85</v>
      </c>
      <c r="F893" s="18" t="s">
        <v>121</v>
      </c>
      <c r="G893" s="18" t="s">
        <v>41</v>
      </c>
      <c r="H893" s="18" t="s">
        <v>106</v>
      </c>
      <c r="I893" s="18" t="s">
        <v>49</v>
      </c>
      <c r="J893" s="18" t="s">
        <v>91</v>
      </c>
      <c r="K893" s="18">
        <v>12</v>
      </c>
      <c r="L893" s="20">
        <v>2479.42</v>
      </c>
      <c r="M893" s="21">
        <v>0.1</v>
      </c>
      <c r="N893" s="21">
        <v>0.63999438710949397</v>
      </c>
      <c r="O893" s="20">
        <f t="shared" si="52"/>
        <v>26777.736000000001</v>
      </c>
      <c r="P893" s="20">
        <f t="shared" si="53"/>
        <v>17137.600739499834</v>
      </c>
      <c r="Q893" s="20">
        <f t="shared" si="54"/>
        <v>9640.1352605001666</v>
      </c>
      <c r="R893" s="22">
        <f t="shared" si="55"/>
        <v>0.36000561289050598</v>
      </c>
    </row>
    <row r="894" spans="1:18">
      <c r="A894" s="18">
        <v>1893</v>
      </c>
      <c r="B894" s="19" t="s">
        <v>368</v>
      </c>
      <c r="C894" s="18">
        <v>2024</v>
      </c>
      <c r="D894" s="18" t="s">
        <v>59</v>
      </c>
      <c r="E894" s="18" t="s">
        <v>98</v>
      </c>
      <c r="F894" s="18" t="s">
        <v>117</v>
      </c>
      <c r="G894" s="18" t="s">
        <v>44</v>
      </c>
      <c r="H894" s="18" t="s">
        <v>114</v>
      </c>
      <c r="I894" s="18" t="s">
        <v>40</v>
      </c>
      <c r="J894" s="18" t="s">
        <v>91</v>
      </c>
      <c r="K894" s="18">
        <v>11</v>
      </c>
      <c r="L894" s="20">
        <v>9300.8700000000008</v>
      </c>
      <c r="M894" s="21">
        <v>0.05</v>
      </c>
      <c r="N894" s="21">
        <v>0.59509812804929496</v>
      </c>
      <c r="O894" s="20">
        <f t="shared" si="52"/>
        <v>97194.091499999995</v>
      </c>
      <c r="P894" s="20">
        <f t="shared" si="53"/>
        <v>57840.021909101888</v>
      </c>
      <c r="Q894" s="20">
        <f t="shared" si="54"/>
        <v>39354.069590898107</v>
      </c>
      <c r="R894" s="22">
        <f t="shared" si="55"/>
        <v>0.40490187195070504</v>
      </c>
    </row>
    <row r="895" spans="1:18">
      <c r="A895" s="18">
        <v>1894</v>
      </c>
      <c r="B895" s="19" t="s">
        <v>368</v>
      </c>
      <c r="C895" s="18">
        <v>2024</v>
      </c>
      <c r="D895" s="18" t="s">
        <v>59</v>
      </c>
      <c r="E895" s="18" t="s">
        <v>85</v>
      </c>
      <c r="F895" s="18" t="s">
        <v>94</v>
      </c>
      <c r="G895" s="18" t="s">
        <v>50</v>
      </c>
      <c r="H895" s="18" t="s">
        <v>87</v>
      </c>
      <c r="I895" s="18" t="s">
        <v>60</v>
      </c>
      <c r="J895" s="18" t="s">
        <v>91</v>
      </c>
      <c r="K895" s="18">
        <v>6</v>
      </c>
      <c r="L895" s="20">
        <v>9582.61</v>
      </c>
      <c r="M895" s="21">
        <v>0.15</v>
      </c>
      <c r="N895" s="21">
        <v>0.70707156215937295</v>
      </c>
      <c r="O895" s="20">
        <f t="shared" si="52"/>
        <v>48871.311000000002</v>
      </c>
      <c r="P895" s="20">
        <f t="shared" si="53"/>
        <v>34555.51421354655</v>
      </c>
      <c r="Q895" s="20">
        <f t="shared" si="54"/>
        <v>14315.796786453451</v>
      </c>
      <c r="R895" s="22">
        <f t="shared" si="55"/>
        <v>0.292928437840627</v>
      </c>
    </row>
    <row r="896" spans="1:18">
      <c r="A896" s="18">
        <v>1895</v>
      </c>
      <c r="B896" s="19" t="s">
        <v>369</v>
      </c>
      <c r="C896" s="18">
        <v>2024</v>
      </c>
      <c r="D896" s="18" t="s">
        <v>59</v>
      </c>
      <c r="E896" s="18" t="s">
        <v>88</v>
      </c>
      <c r="F896" s="18" t="s">
        <v>89</v>
      </c>
      <c r="G896" s="18" t="s">
        <v>50</v>
      </c>
      <c r="H896" s="18" t="s">
        <v>97</v>
      </c>
      <c r="I896" s="18" t="s">
        <v>49</v>
      </c>
      <c r="J896" s="18" t="s">
        <v>91</v>
      </c>
      <c r="K896" s="18">
        <v>2</v>
      </c>
      <c r="L896" s="20">
        <v>12041.39</v>
      </c>
      <c r="M896" s="21">
        <v>0</v>
      </c>
      <c r="N896" s="21">
        <v>0.64495553092455604</v>
      </c>
      <c r="O896" s="20">
        <f t="shared" si="52"/>
        <v>24082.78</v>
      </c>
      <c r="P896" s="20">
        <f t="shared" si="53"/>
        <v>15532.322161039279</v>
      </c>
      <c r="Q896" s="20">
        <f t="shared" si="54"/>
        <v>8550.4578389607195</v>
      </c>
      <c r="R896" s="22">
        <f t="shared" si="55"/>
        <v>0.35504446907544396</v>
      </c>
    </row>
    <row r="897" spans="1:18">
      <c r="A897" s="18">
        <v>1896</v>
      </c>
      <c r="B897" s="19" t="s">
        <v>369</v>
      </c>
      <c r="C897" s="18">
        <v>2024</v>
      </c>
      <c r="D897" s="18" t="s">
        <v>59</v>
      </c>
      <c r="E897" s="18" t="s">
        <v>98</v>
      </c>
      <c r="F897" s="18" t="s">
        <v>99</v>
      </c>
      <c r="G897" s="18" t="s">
        <v>50</v>
      </c>
      <c r="H897" s="18" t="s">
        <v>87</v>
      </c>
      <c r="I897" s="18" t="s">
        <v>52</v>
      </c>
      <c r="J897" s="18" t="s">
        <v>82</v>
      </c>
      <c r="K897" s="18">
        <v>3</v>
      </c>
      <c r="L897" s="20">
        <v>9124.1</v>
      </c>
      <c r="M897" s="21">
        <v>0.15</v>
      </c>
      <c r="N897" s="21">
        <v>0.58552721892604098</v>
      </c>
      <c r="O897" s="20">
        <f t="shared" si="52"/>
        <v>23266.455000000002</v>
      </c>
      <c r="P897" s="20">
        <f t="shared" si="53"/>
        <v>13623.142690417882</v>
      </c>
      <c r="Q897" s="20">
        <f t="shared" si="54"/>
        <v>9643.3123095821193</v>
      </c>
      <c r="R897" s="22">
        <f t="shared" si="55"/>
        <v>0.41447278107395902</v>
      </c>
    </row>
    <row r="898" spans="1:18">
      <c r="A898" s="18">
        <v>1897</v>
      </c>
      <c r="B898" s="19" t="s">
        <v>369</v>
      </c>
      <c r="C898" s="18">
        <v>2024</v>
      </c>
      <c r="D898" s="18" t="s">
        <v>59</v>
      </c>
      <c r="E898" s="18" t="s">
        <v>85</v>
      </c>
      <c r="F898" s="18" t="s">
        <v>86</v>
      </c>
      <c r="G898" s="18" t="s">
        <v>44</v>
      </c>
      <c r="H898" s="18" t="s">
        <v>119</v>
      </c>
      <c r="I898" s="18" t="s">
        <v>43</v>
      </c>
      <c r="J898" s="18" t="s">
        <v>91</v>
      </c>
      <c r="K898" s="18">
        <v>5</v>
      </c>
      <c r="L898" s="20">
        <v>6794.12</v>
      </c>
      <c r="M898" s="21">
        <v>0.05</v>
      </c>
      <c r="N898" s="21">
        <v>0.681913978642815</v>
      </c>
      <c r="O898" s="20">
        <f t="shared" ref="O898:O961" si="56">K898*L898*(1-M898)</f>
        <v>32272.069999999996</v>
      </c>
      <c r="P898" s="20">
        <f t="shared" ref="P898:P961" si="57">O898*N898</f>
        <v>22006.775652739427</v>
      </c>
      <c r="Q898" s="20">
        <f t="shared" ref="Q898:Q961" si="58">O898-P898</f>
        <v>10265.294347260569</v>
      </c>
      <c r="R898" s="22">
        <f t="shared" ref="R898:R961" si="59">IF(O898=0,0,Q898/O898)</f>
        <v>0.31808602135718506</v>
      </c>
    </row>
    <row r="899" spans="1:18">
      <c r="A899" s="18">
        <v>1898</v>
      </c>
      <c r="B899" s="19" t="s">
        <v>370</v>
      </c>
      <c r="C899" s="18">
        <v>2024</v>
      </c>
      <c r="D899" s="18" t="s">
        <v>59</v>
      </c>
      <c r="E899" s="18" t="s">
        <v>85</v>
      </c>
      <c r="F899" s="18" t="s">
        <v>86</v>
      </c>
      <c r="G899" s="18" t="s">
        <v>47</v>
      </c>
      <c r="H899" s="18" t="s">
        <v>103</v>
      </c>
      <c r="I899" s="18" t="s">
        <v>40</v>
      </c>
      <c r="J899" s="18" t="s">
        <v>82</v>
      </c>
      <c r="K899" s="18">
        <v>6</v>
      </c>
      <c r="L899" s="20">
        <v>3315.11</v>
      </c>
      <c r="M899" s="21">
        <v>0.1</v>
      </c>
      <c r="N899" s="21">
        <v>0.62822105460917299</v>
      </c>
      <c r="O899" s="20">
        <f t="shared" si="56"/>
        <v>17901.594000000001</v>
      </c>
      <c r="P899" s="20">
        <f t="shared" si="57"/>
        <v>11246.158261865245</v>
      </c>
      <c r="Q899" s="20">
        <f t="shared" si="58"/>
        <v>6655.4357381347563</v>
      </c>
      <c r="R899" s="22">
        <f t="shared" si="59"/>
        <v>0.37177894539082701</v>
      </c>
    </row>
    <row r="900" spans="1:18">
      <c r="A900" s="18">
        <v>1899</v>
      </c>
      <c r="B900" s="19" t="s">
        <v>370</v>
      </c>
      <c r="C900" s="18">
        <v>2024</v>
      </c>
      <c r="D900" s="18" t="s">
        <v>59</v>
      </c>
      <c r="E900" s="18" t="s">
        <v>79</v>
      </c>
      <c r="F900" s="18" t="s">
        <v>100</v>
      </c>
      <c r="G900" s="18" t="s">
        <v>50</v>
      </c>
      <c r="H900" s="18" t="s">
        <v>97</v>
      </c>
      <c r="I900" s="18" t="s">
        <v>43</v>
      </c>
      <c r="J900" s="18" t="s">
        <v>91</v>
      </c>
      <c r="K900" s="18">
        <v>4</v>
      </c>
      <c r="L900" s="20">
        <v>11555.92</v>
      </c>
      <c r="M900" s="21">
        <v>0</v>
      </c>
      <c r="N900" s="21">
        <v>0.61195143525630302</v>
      </c>
      <c r="O900" s="20">
        <f t="shared" si="56"/>
        <v>46223.68</v>
      </c>
      <c r="P900" s="20">
        <f t="shared" si="57"/>
        <v>28286.647318828069</v>
      </c>
      <c r="Q900" s="20">
        <f t="shared" si="58"/>
        <v>17937.032681171931</v>
      </c>
      <c r="R900" s="22">
        <f t="shared" si="59"/>
        <v>0.38804856474369698</v>
      </c>
    </row>
    <row r="901" spans="1:18">
      <c r="A901" s="18">
        <v>1900</v>
      </c>
      <c r="B901" s="19" t="s">
        <v>371</v>
      </c>
      <c r="C901" s="18">
        <v>2024</v>
      </c>
      <c r="D901" s="18" t="s">
        <v>59</v>
      </c>
      <c r="E901" s="18" t="s">
        <v>88</v>
      </c>
      <c r="F901" s="18" t="s">
        <v>93</v>
      </c>
      <c r="G901" s="18" t="s">
        <v>47</v>
      </c>
      <c r="H901" s="18" t="s">
        <v>103</v>
      </c>
      <c r="I901" s="18" t="s">
        <v>49</v>
      </c>
      <c r="J901" s="18" t="s">
        <v>102</v>
      </c>
      <c r="K901" s="18">
        <v>12</v>
      </c>
      <c r="L901" s="20">
        <v>3259.15</v>
      </c>
      <c r="M901" s="21">
        <v>0.05</v>
      </c>
      <c r="N901" s="21">
        <v>0.59034054578459805</v>
      </c>
      <c r="O901" s="20">
        <f t="shared" si="56"/>
        <v>37154.31</v>
      </c>
      <c r="P901" s="20">
        <f t="shared" si="57"/>
        <v>21933.695643650146</v>
      </c>
      <c r="Q901" s="20">
        <f t="shared" si="58"/>
        <v>15220.614356349852</v>
      </c>
      <c r="R901" s="22">
        <f t="shared" si="59"/>
        <v>0.40965945421540201</v>
      </c>
    </row>
    <row r="902" spans="1:18">
      <c r="A902" s="18">
        <v>1901</v>
      </c>
      <c r="B902" s="19" t="s">
        <v>371</v>
      </c>
      <c r="C902" s="18">
        <v>2024</v>
      </c>
      <c r="D902" s="18" t="s">
        <v>59</v>
      </c>
      <c r="E902" s="18" t="s">
        <v>88</v>
      </c>
      <c r="F902" s="18" t="s">
        <v>89</v>
      </c>
      <c r="G902" s="18" t="s">
        <v>41</v>
      </c>
      <c r="H902" s="18" t="s">
        <v>112</v>
      </c>
      <c r="I902" s="18" t="s">
        <v>62</v>
      </c>
      <c r="J902" s="18" t="s">
        <v>82</v>
      </c>
      <c r="K902" s="18">
        <v>9</v>
      </c>
      <c r="L902" s="20">
        <v>5897.33</v>
      </c>
      <c r="M902" s="21">
        <v>0.15</v>
      </c>
      <c r="N902" s="21">
        <v>0.72584787829363095</v>
      </c>
      <c r="O902" s="20">
        <f t="shared" si="56"/>
        <v>45114.574500000002</v>
      </c>
      <c r="P902" s="20">
        <f t="shared" si="57"/>
        <v>32746.318180944949</v>
      </c>
      <c r="Q902" s="20">
        <f t="shared" si="58"/>
        <v>12368.256319055054</v>
      </c>
      <c r="R902" s="22">
        <f t="shared" si="59"/>
        <v>0.27415212170636905</v>
      </c>
    </row>
    <row r="903" spans="1:18">
      <c r="A903" s="18">
        <v>1902</v>
      </c>
      <c r="B903" s="19" t="s">
        <v>371</v>
      </c>
      <c r="C903" s="18">
        <v>2024</v>
      </c>
      <c r="D903" s="18" t="s">
        <v>59</v>
      </c>
      <c r="E903" s="18" t="s">
        <v>85</v>
      </c>
      <c r="F903" s="18" t="s">
        <v>121</v>
      </c>
      <c r="G903" s="18" t="s">
        <v>41</v>
      </c>
      <c r="H903" s="18" t="s">
        <v>90</v>
      </c>
      <c r="I903" s="18" t="s">
        <v>52</v>
      </c>
      <c r="J903" s="18" t="s">
        <v>102</v>
      </c>
      <c r="K903" s="18">
        <v>8</v>
      </c>
      <c r="L903" s="20">
        <v>17724.21</v>
      </c>
      <c r="M903" s="21">
        <v>0.2</v>
      </c>
      <c r="N903" s="21">
        <v>0.70846935703970304</v>
      </c>
      <c r="O903" s="20">
        <f t="shared" si="56"/>
        <v>113434.944</v>
      </c>
      <c r="P903" s="20">
        <f t="shared" si="57"/>
        <v>80365.181841514728</v>
      </c>
      <c r="Q903" s="20">
        <f t="shared" si="58"/>
        <v>33069.762158485275</v>
      </c>
      <c r="R903" s="22">
        <f t="shared" si="59"/>
        <v>0.2915306429602969</v>
      </c>
    </row>
    <row r="904" spans="1:18">
      <c r="A904" s="18">
        <v>1903</v>
      </c>
      <c r="B904" s="19" t="s">
        <v>371</v>
      </c>
      <c r="C904" s="18">
        <v>2024</v>
      </c>
      <c r="D904" s="18" t="s">
        <v>59</v>
      </c>
      <c r="E904" s="18" t="s">
        <v>85</v>
      </c>
      <c r="F904" s="18" t="s">
        <v>94</v>
      </c>
      <c r="G904" s="18" t="s">
        <v>44</v>
      </c>
      <c r="H904" s="18" t="s">
        <v>114</v>
      </c>
      <c r="I904" s="18" t="s">
        <v>49</v>
      </c>
      <c r="J904" s="18" t="s">
        <v>82</v>
      </c>
      <c r="K904" s="18">
        <v>10</v>
      </c>
      <c r="L904" s="20">
        <v>9209.92</v>
      </c>
      <c r="M904" s="21">
        <v>0.1</v>
      </c>
      <c r="N904" s="21">
        <v>0.62693299935882296</v>
      </c>
      <c r="O904" s="20">
        <f t="shared" si="56"/>
        <v>82889.279999999999</v>
      </c>
      <c r="P904" s="20">
        <f t="shared" si="57"/>
        <v>51966.024925093297</v>
      </c>
      <c r="Q904" s="20">
        <f t="shared" si="58"/>
        <v>30923.255074906701</v>
      </c>
      <c r="R904" s="22">
        <f t="shared" si="59"/>
        <v>0.37306700064117704</v>
      </c>
    </row>
    <row r="905" spans="1:18">
      <c r="A905" s="18">
        <v>1904</v>
      </c>
      <c r="B905" s="19" t="s">
        <v>371</v>
      </c>
      <c r="C905" s="18">
        <v>2024</v>
      </c>
      <c r="D905" s="18" t="s">
        <v>59</v>
      </c>
      <c r="E905" s="18" t="s">
        <v>88</v>
      </c>
      <c r="F905" s="18" t="s">
        <v>93</v>
      </c>
      <c r="G905" s="18" t="s">
        <v>41</v>
      </c>
      <c r="H905" s="18" t="s">
        <v>112</v>
      </c>
      <c r="I905" s="18" t="s">
        <v>40</v>
      </c>
      <c r="J905" s="18" t="s">
        <v>82</v>
      </c>
      <c r="K905" s="18">
        <v>3</v>
      </c>
      <c r="L905" s="20">
        <v>5864.27</v>
      </c>
      <c r="M905" s="21">
        <v>0.2</v>
      </c>
      <c r="N905" s="21">
        <v>0.65754750861509104</v>
      </c>
      <c r="O905" s="20">
        <f t="shared" si="56"/>
        <v>14074.248000000001</v>
      </c>
      <c r="P905" s="20">
        <f t="shared" si="57"/>
        <v>9254.4867080309286</v>
      </c>
      <c r="Q905" s="20">
        <f t="shared" si="58"/>
        <v>4819.7612919690728</v>
      </c>
      <c r="R905" s="22">
        <f t="shared" si="59"/>
        <v>0.34245249138490896</v>
      </c>
    </row>
    <row r="906" spans="1:18">
      <c r="A906" s="18">
        <v>1905</v>
      </c>
      <c r="B906" s="19" t="s">
        <v>372</v>
      </c>
      <c r="C906" s="18">
        <v>2024</v>
      </c>
      <c r="D906" s="18" t="s">
        <v>59</v>
      </c>
      <c r="E906" s="18" t="s">
        <v>88</v>
      </c>
      <c r="F906" s="18" t="s">
        <v>89</v>
      </c>
      <c r="G906" s="18" t="s">
        <v>50</v>
      </c>
      <c r="H906" s="18" t="s">
        <v>87</v>
      </c>
      <c r="I906" s="18" t="s">
        <v>43</v>
      </c>
      <c r="J906" s="18" t="s">
        <v>91</v>
      </c>
      <c r="K906" s="18">
        <v>2</v>
      </c>
      <c r="L906" s="20">
        <v>9742.6299999999992</v>
      </c>
      <c r="M906" s="21">
        <v>0.15</v>
      </c>
      <c r="N906" s="21">
        <v>0.70330781605766801</v>
      </c>
      <c r="O906" s="20">
        <f t="shared" si="56"/>
        <v>16562.470999999998</v>
      </c>
      <c r="P906" s="20">
        <f t="shared" si="57"/>
        <v>11648.51530752846</v>
      </c>
      <c r="Q906" s="20">
        <f t="shared" si="58"/>
        <v>4913.955692471538</v>
      </c>
      <c r="R906" s="22">
        <f t="shared" si="59"/>
        <v>0.29669218394233193</v>
      </c>
    </row>
    <row r="907" spans="1:18">
      <c r="A907" s="18">
        <v>1906</v>
      </c>
      <c r="B907" s="19" t="s">
        <v>372</v>
      </c>
      <c r="C907" s="18">
        <v>2024</v>
      </c>
      <c r="D907" s="18" t="s">
        <v>59</v>
      </c>
      <c r="E907" s="18" t="s">
        <v>98</v>
      </c>
      <c r="F907" s="18" t="s">
        <v>109</v>
      </c>
      <c r="G907" s="18" t="s">
        <v>50</v>
      </c>
      <c r="H907" s="18" t="s">
        <v>83</v>
      </c>
      <c r="I907" s="18" t="s">
        <v>52</v>
      </c>
      <c r="J907" s="18" t="s">
        <v>82</v>
      </c>
      <c r="K907" s="18">
        <v>9</v>
      </c>
      <c r="L907" s="20">
        <v>3340.62</v>
      </c>
      <c r="M907" s="21">
        <v>0</v>
      </c>
      <c r="N907" s="21">
        <v>0.56463909840414905</v>
      </c>
      <c r="O907" s="20">
        <f t="shared" si="56"/>
        <v>30065.579999999998</v>
      </c>
      <c r="P907" s="20">
        <f t="shared" si="57"/>
        <v>16976.201984197814</v>
      </c>
      <c r="Q907" s="20">
        <f t="shared" si="58"/>
        <v>13089.378015802184</v>
      </c>
      <c r="R907" s="22">
        <f t="shared" si="59"/>
        <v>0.43536090159585095</v>
      </c>
    </row>
    <row r="908" spans="1:18">
      <c r="A908" s="18">
        <v>1907</v>
      </c>
      <c r="B908" s="19" t="s">
        <v>373</v>
      </c>
      <c r="C908" s="18">
        <v>2024</v>
      </c>
      <c r="D908" s="18" t="s">
        <v>59</v>
      </c>
      <c r="E908" s="18" t="s">
        <v>85</v>
      </c>
      <c r="F908" s="18" t="s">
        <v>121</v>
      </c>
      <c r="G908" s="18" t="s">
        <v>50</v>
      </c>
      <c r="H908" s="18" t="s">
        <v>83</v>
      </c>
      <c r="I908" s="18" t="s">
        <v>56</v>
      </c>
      <c r="J908" s="18" t="s">
        <v>82</v>
      </c>
      <c r="K908" s="18">
        <v>1</v>
      </c>
      <c r="L908" s="20">
        <v>3412.71</v>
      </c>
      <c r="M908" s="21">
        <v>0.2</v>
      </c>
      <c r="N908" s="21">
        <v>0.73342739512991995</v>
      </c>
      <c r="O908" s="20">
        <f t="shared" si="56"/>
        <v>2730.1680000000001</v>
      </c>
      <c r="P908" s="20">
        <f t="shared" si="57"/>
        <v>2002.3800045070634</v>
      </c>
      <c r="Q908" s="20">
        <f t="shared" si="58"/>
        <v>727.78799549293672</v>
      </c>
      <c r="R908" s="22">
        <f t="shared" si="59"/>
        <v>0.26657260487008005</v>
      </c>
    </row>
    <row r="909" spans="1:18">
      <c r="A909" s="18">
        <v>1908</v>
      </c>
      <c r="B909" s="19" t="s">
        <v>373</v>
      </c>
      <c r="C909" s="18">
        <v>2024</v>
      </c>
      <c r="D909" s="18" t="s">
        <v>59</v>
      </c>
      <c r="E909" s="18" t="s">
        <v>98</v>
      </c>
      <c r="F909" s="18" t="s">
        <v>99</v>
      </c>
      <c r="G909" s="18" t="s">
        <v>50</v>
      </c>
      <c r="H909" s="18" t="s">
        <v>97</v>
      </c>
      <c r="I909" s="18" t="s">
        <v>58</v>
      </c>
      <c r="J909" s="18" t="s">
        <v>82</v>
      </c>
      <c r="K909" s="18">
        <v>2</v>
      </c>
      <c r="L909" s="20">
        <v>12058.11</v>
      </c>
      <c r="M909" s="21">
        <v>0</v>
      </c>
      <c r="N909" s="21">
        <v>0.69271630786362104</v>
      </c>
      <c r="O909" s="20">
        <f t="shared" si="56"/>
        <v>24116.22</v>
      </c>
      <c r="P909" s="20">
        <f t="shared" si="57"/>
        <v>16705.698878026815</v>
      </c>
      <c r="Q909" s="20">
        <f t="shared" si="58"/>
        <v>7410.5211219731864</v>
      </c>
      <c r="R909" s="22">
        <f t="shared" si="59"/>
        <v>0.30728369213637902</v>
      </c>
    </row>
    <row r="910" spans="1:18">
      <c r="A910" s="18">
        <v>1909</v>
      </c>
      <c r="B910" s="19" t="s">
        <v>373</v>
      </c>
      <c r="C910" s="18">
        <v>2024</v>
      </c>
      <c r="D910" s="18" t="s">
        <v>59</v>
      </c>
      <c r="E910" s="18" t="s">
        <v>85</v>
      </c>
      <c r="F910" s="18" t="s">
        <v>86</v>
      </c>
      <c r="G910" s="18" t="s">
        <v>50</v>
      </c>
      <c r="H910" s="18" t="s">
        <v>97</v>
      </c>
      <c r="I910" s="18" t="s">
        <v>46</v>
      </c>
      <c r="J910" s="18" t="s">
        <v>82</v>
      </c>
      <c r="K910" s="18">
        <v>1</v>
      </c>
      <c r="L910" s="20">
        <v>12128.39</v>
      </c>
      <c r="M910" s="21">
        <v>0</v>
      </c>
      <c r="N910" s="21">
        <v>0.60882893074177402</v>
      </c>
      <c r="O910" s="20">
        <f t="shared" si="56"/>
        <v>12128.39</v>
      </c>
      <c r="P910" s="20">
        <f t="shared" si="57"/>
        <v>7384.1147153192242</v>
      </c>
      <c r="Q910" s="20">
        <f t="shared" si="58"/>
        <v>4744.2752846807753</v>
      </c>
      <c r="R910" s="22">
        <f t="shared" si="59"/>
        <v>0.39117106925822598</v>
      </c>
    </row>
    <row r="911" spans="1:18">
      <c r="A911" s="18">
        <v>1910</v>
      </c>
      <c r="B911" s="19" t="s">
        <v>373</v>
      </c>
      <c r="C911" s="18">
        <v>2024</v>
      </c>
      <c r="D911" s="18" t="s">
        <v>59</v>
      </c>
      <c r="E911" s="18" t="s">
        <v>85</v>
      </c>
      <c r="F911" s="18" t="s">
        <v>86</v>
      </c>
      <c r="G911" s="18" t="s">
        <v>41</v>
      </c>
      <c r="H911" s="18" t="s">
        <v>90</v>
      </c>
      <c r="I911" s="18" t="s">
        <v>52</v>
      </c>
      <c r="J911" s="18" t="s">
        <v>82</v>
      </c>
      <c r="K911" s="18">
        <v>8</v>
      </c>
      <c r="L911" s="20">
        <v>17744.560000000001</v>
      </c>
      <c r="M911" s="21">
        <v>0</v>
      </c>
      <c r="N911" s="21">
        <v>0.692882454446621</v>
      </c>
      <c r="O911" s="20">
        <f t="shared" si="56"/>
        <v>141956.48000000001</v>
      </c>
      <c r="P911" s="20">
        <f t="shared" si="57"/>
        <v>98359.154287002675</v>
      </c>
      <c r="Q911" s="20">
        <f t="shared" si="58"/>
        <v>43597.325712997335</v>
      </c>
      <c r="R911" s="22">
        <f t="shared" si="59"/>
        <v>0.307117545553379</v>
      </c>
    </row>
    <row r="912" spans="1:18">
      <c r="A912" s="18">
        <v>1911</v>
      </c>
      <c r="B912" s="19" t="s">
        <v>373</v>
      </c>
      <c r="C912" s="18">
        <v>2024</v>
      </c>
      <c r="D912" s="18" t="s">
        <v>59</v>
      </c>
      <c r="E912" s="18" t="s">
        <v>88</v>
      </c>
      <c r="F912" s="18" t="s">
        <v>89</v>
      </c>
      <c r="G912" s="18" t="s">
        <v>41</v>
      </c>
      <c r="H912" s="18" t="s">
        <v>90</v>
      </c>
      <c r="I912" s="18" t="s">
        <v>56</v>
      </c>
      <c r="J912" s="18" t="s">
        <v>102</v>
      </c>
      <c r="K912" s="18">
        <v>5</v>
      </c>
      <c r="L912" s="20">
        <v>17899.18</v>
      </c>
      <c r="M912" s="21">
        <v>0.15</v>
      </c>
      <c r="N912" s="21">
        <v>0.55093314654926195</v>
      </c>
      <c r="O912" s="20">
        <f t="shared" si="56"/>
        <v>76071.514999999999</v>
      </c>
      <c r="P912" s="20">
        <f t="shared" si="57"/>
        <v>41910.319121719382</v>
      </c>
      <c r="Q912" s="20">
        <f t="shared" si="58"/>
        <v>34161.195878280618</v>
      </c>
      <c r="R912" s="22">
        <f t="shared" si="59"/>
        <v>0.44906685345073799</v>
      </c>
    </row>
    <row r="913" spans="1:18">
      <c r="A913" s="18">
        <v>1912</v>
      </c>
      <c r="B913" s="19" t="s">
        <v>374</v>
      </c>
      <c r="C913" s="18">
        <v>2024</v>
      </c>
      <c r="D913" s="18" t="s">
        <v>59</v>
      </c>
      <c r="E913" s="18" t="s">
        <v>88</v>
      </c>
      <c r="F913" s="18" t="s">
        <v>110</v>
      </c>
      <c r="G913" s="18" t="s">
        <v>47</v>
      </c>
      <c r="H913" s="18" t="s">
        <v>81</v>
      </c>
      <c r="I913" s="18" t="s">
        <v>49</v>
      </c>
      <c r="J913" s="18" t="s">
        <v>82</v>
      </c>
      <c r="K913" s="18">
        <v>1</v>
      </c>
      <c r="L913" s="20">
        <v>793.73</v>
      </c>
      <c r="M913" s="21">
        <v>0</v>
      </c>
      <c r="N913" s="21">
        <v>0.61742332848985004</v>
      </c>
      <c r="O913" s="20">
        <f t="shared" si="56"/>
        <v>793.73</v>
      </c>
      <c r="P913" s="20">
        <f t="shared" si="57"/>
        <v>490.06741852224866</v>
      </c>
      <c r="Q913" s="20">
        <f t="shared" si="58"/>
        <v>303.66258147775136</v>
      </c>
      <c r="R913" s="22">
        <f t="shared" si="59"/>
        <v>0.38257667151015001</v>
      </c>
    </row>
    <row r="914" spans="1:18">
      <c r="A914" s="18">
        <v>1913</v>
      </c>
      <c r="B914" s="19" t="s">
        <v>374</v>
      </c>
      <c r="C914" s="18">
        <v>2024</v>
      </c>
      <c r="D914" s="18" t="s">
        <v>59</v>
      </c>
      <c r="E914" s="18" t="s">
        <v>88</v>
      </c>
      <c r="F914" s="18" t="s">
        <v>93</v>
      </c>
      <c r="G914" s="18" t="s">
        <v>41</v>
      </c>
      <c r="H914" s="18" t="s">
        <v>101</v>
      </c>
      <c r="I914" s="18" t="s">
        <v>43</v>
      </c>
      <c r="J914" s="18" t="s">
        <v>102</v>
      </c>
      <c r="K914" s="18">
        <v>3</v>
      </c>
      <c r="L914" s="20">
        <v>56232.06</v>
      </c>
      <c r="M914" s="21">
        <v>0</v>
      </c>
      <c r="N914" s="21">
        <v>0.63313600199297104</v>
      </c>
      <c r="O914" s="20">
        <f t="shared" si="56"/>
        <v>168696.18</v>
      </c>
      <c r="P914" s="20">
        <f t="shared" si="57"/>
        <v>106807.6249566866</v>
      </c>
      <c r="Q914" s="20">
        <f t="shared" si="58"/>
        <v>61888.55504331339</v>
      </c>
      <c r="R914" s="22">
        <f t="shared" si="59"/>
        <v>0.3668639980070289</v>
      </c>
    </row>
    <row r="915" spans="1:18">
      <c r="A915" s="18">
        <v>1914</v>
      </c>
      <c r="B915" s="19" t="s">
        <v>374</v>
      </c>
      <c r="C915" s="18">
        <v>2024</v>
      </c>
      <c r="D915" s="18" t="s">
        <v>59</v>
      </c>
      <c r="E915" s="18" t="s">
        <v>79</v>
      </c>
      <c r="F915" s="18" t="s">
        <v>105</v>
      </c>
      <c r="G915" s="18" t="s">
        <v>47</v>
      </c>
      <c r="H915" s="18" t="s">
        <v>103</v>
      </c>
      <c r="I915" s="18" t="s">
        <v>49</v>
      </c>
      <c r="J915" s="18" t="s">
        <v>102</v>
      </c>
      <c r="K915" s="18">
        <v>4</v>
      </c>
      <c r="L915" s="20">
        <v>3338.98</v>
      </c>
      <c r="M915" s="21">
        <v>0.1</v>
      </c>
      <c r="N915" s="21">
        <v>0.73778464559894796</v>
      </c>
      <c r="O915" s="20">
        <f t="shared" si="56"/>
        <v>12020.328</v>
      </c>
      <c r="P915" s="20">
        <f t="shared" si="57"/>
        <v>8868.4134334631108</v>
      </c>
      <c r="Q915" s="20">
        <f t="shared" si="58"/>
        <v>3151.9145665368887</v>
      </c>
      <c r="R915" s="22">
        <f t="shared" si="59"/>
        <v>0.26221535440105204</v>
      </c>
    </row>
    <row r="916" spans="1:18">
      <c r="A916" s="18">
        <v>1915</v>
      </c>
      <c r="B916" s="19" t="s">
        <v>374</v>
      </c>
      <c r="C916" s="18">
        <v>2024</v>
      </c>
      <c r="D916" s="18" t="s">
        <v>59</v>
      </c>
      <c r="E916" s="18" t="s">
        <v>79</v>
      </c>
      <c r="F916" s="18" t="s">
        <v>100</v>
      </c>
      <c r="G916" s="18" t="s">
        <v>44</v>
      </c>
      <c r="H916" s="18" t="s">
        <v>119</v>
      </c>
      <c r="I916" s="18" t="s">
        <v>54</v>
      </c>
      <c r="J916" s="18" t="s">
        <v>91</v>
      </c>
      <c r="K916" s="18">
        <v>3</v>
      </c>
      <c r="L916" s="20">
        <v>6660.5</v>
      </c>
      <c r="M916" s="21">
        <v>0.2</v>
      </c>
      <c r="N916" s="21">
        <v>0.61324804427024904</v>
      </c>
      <c r="O916" s="20">
        <f t="shared" si="56"/>
        <v>15985.2</v>
      </c>
      <c r="P916" s="20">
        <f t="shared" si="57"/>
        <v>9802.8926372687856</v>
      </c>
      <c r="Q916" s="20">
        <f t="shared" si="58"/>
        <v>6182.3073627312151</v>
      </c>
      <c r="R916" s="22">
        <f t="shared" si="59"/>
        <v>0.38675195572975096</v>
      </c>
    </row>
    <row r="917" spans="1:18">
      <c r="A917" s="18">
        <v>1916</v>
      </c>
      <c r="B917" s="19" t="s">
        <v>374</v>
      </c>
      <c r="C917" s="18">
        <v>2024</v>
      </c>
      <c r="D917" s="18" t="s">
        <v>59</v>
      </c>
      <c r="E917" s="18" t="s">
        <v>85</v>
      </c>
      <c r="F917" s="18" t="s">
        <v>86</v>
      </c>
      <c r="G917" s="18" t="s">
        <v>50</v>
      </c>
      <c r="H917" s="18" t="s">
        <v>83</v>
      </c>
      <c r="I917" s="18" t="s">
        <v>43</v>
      </c>
      <c r="J917" s="18" t="s">
        <v>102</v>
      </c>
      <c r="K917" s="18">
        <v>5</v>
      </c>
      <c r="L917" s="20">
        <v>3552.48</v>
      </c>
      <c r="M917" s="21">
        <v>0.05</v>
      </c>
      <c r="N917" s="21">
        <v>0.55878778855104905</v>
      </c>
      <c r="O917" s="20">
        <f t="shared" si="56"/>
        <v>16874.28</v>
      </c>
      <c r="P917" s="20">
        <f t="shared" si="57"/>
        <v>9429.1416045911956</v>
      </c>
      <c r="Q917" s="20">
        <f t="shared" si="58"/>
        <v>7445.1383954088033</v>
      </c>
      <c r="R917" s="22">
        <f t="shared" si="59"/>
        <v>0.44121221144895095</v>
      </c>
    </row>
    <row r="918" spans="1:18">
      <c r="A918" s="18">
        <v>1917</v>
      </c>
      <c r="B918" s="19" t="s">
        <v>375</v>
      </c>
      <c r="C918" s="18">
        <v>2024</v>
      </c>
      <c r="D918" s="18" t="s">
        <v>59</v>
      </c>
      <c r="E918" s="18" t="s">
        <v>85</v>
      </c>
      <c r="F918" s="18" t="s">
        <v>121</v>
      </c>
      <c r="G918" s="18" t="s">
        <v>50</v>
      </c>
      <c r="H918" s="18" t="s">
        <v>83</v>
      </c>
      <c r="I918" s="18" t="s">
        <v>60</v>
      </c>
      <c r="J918" s="18" t="s">
        <v>102</v>
      </c>
      <c r="K918" s="18">
        <v>3</v>
      </c>
      <c r="L918" s="20">
        <v>3413.18</v>
      </c>
      <c r="M918" s="21">
        <v>0</v>
      </c>
      <c r="N918" s="21">
        <v>0.669973429030708</v>
      </c>
      <c r="O918" s="20">
        <f t="shared" si="56"/>
        <v>10239.539999999999</v>
      </c>
      <c r="P918" s="20">
        <f t="shared" si="57"/>
        <v>6860.2197254970952</v>
      </c>
      <c r="Q918" s="20">
        <f t="shared" si="58"/>
        <v>3379.3202745029039</v>
      </c>
      <c r="R918" s="22">
        <f t="shared" si="59"/>
        <v>0.330026570969292</v>
      </c>
    </row>
    <row r="919" spans="1:18">
      <c r="A919" s="18">
        <v>1918</v>
      </c>
      <c r="B919" s="19" t="s">
        <v>375</v>
      </c>
      <c r="C919" s="18">
        <v>2024</v>
      </c>
      <c r="D919" s="18" t="s">
        <v>59</v>
      </c>
      <c r="E919" s="18" t="s">
        <v>85</v>
      </c>
      <c r="F919" s="18" t="s">
        <v>94</v>
      </c>
      <c r="G919" s="18" t="s">
        <v>44</v>
      </c>
      <c r="H919" s="18" t="s">
        <v>114</v>
      </c>
      <c r="I919" s="18" t="s">
        <v>46</v>
      </c>
      <c r="J919" s="18" t="s">
        <v>102</v>
      </c>
      <c r="K919" s="18">
        <v>12</v>
      </c>
      <c r="L919" s="20">
        <v>8836.17</v>
      </c>
      <c r="M919" s="21">
        <v>0.2</v>
      </c>
      <c r="N919" s="21">
        <v>0.64642607579754796</v>
      </c>
      <c r="O919" s="20">
        <f t="shared" si="56"/>
        <v>84827.232000000018</v>
      </c>
      <c r="P919" s="20">
        <f t="shared" si="57"/>
        <v>54834.534702528195</v>
      </c>
      <c r="Q919" s="20">
        <f t="shared" si="58"/>
        <v>29992.697297471823</v>
      </c>
      <c r="R919" s="22">
        <f t="shared" si="59"/>
        <v>0.35357392420245204</v>
      </c>
    </row>
    <row r="920" spans="1:18">
      <c r="A920" s="18">
        <v>1919</v>
      </c>
      <c r="B920" s="19" t="s">
        <v>375</v>
      </c>
      <c r="C920" s="18">
        <v>2024</v>
      </c>
      <c r="D920" s="18" t="s">
        <v>59</v>
      </c>
      <c r="E920" s="18" t="s">
        <v>98</v>
      </c>
      <c r="F920" s="18" t="s">
        <v>117</v>
      </c>
      <c r="G920" s="18" t="s">
        <v>50</v>
      </c>
      <c r="H920" s="18" t="s">
        <v>97</v>
      </c>
      <c r="I920" s="18" t="s">
        <v>60</v>
      </c>
      <c r="J920" s="18" t="s">
        <v>102</v>
      </c>
      <c r="K920" s="18">
        <v>12</v>
      </c>
      <c r="L920" s="20">
        <v>11678.91</v>
      </c>
      <c r="M920" s="21">
        <v>0.15</v>
      </c>
      <c r="N920" s="21">
        <v>0.69092582611498399</v>
      </c>
      <c r="O920" s="20">
        <f t="shared" si="56"/>
        <v>119124.88199999998</v>
      </c>
      <c r="P920" s="20">
        <f t="shared" si="57"/>
        <v>82306.457506699968</v>
      </c>
      <c r="Q920" s="20">
        <f t="shared" si="58"/>
        <v>36818.424493300015</v>
      </c>
      <c r="R920" s="22">
        <f t="shared" si="59"/>
        <v>0.30907417388501607</v>
      </c>
    </row>
    <row r="921" spans="1:18">
      <c r="A921" s="18">
        <v>1920</v>
      </c>
      <c r="B921" s="19" t="s">
        <v>376</v>
      </c>
      <c r="C921" s="18">
        <v>2024</v>
      </c>
      <c r="D921" s="18" t="s">
        <v>59</v>
      </c>
      <c r="E921" s="18" t="s">
        <v>88</v>
      </c>
      <c r="F921" s="18" t="s">
        <v>110</v>
      </c>
      <c r="G921" s="18" t="s">
        <v>41</v>
      </c>
      <c r="H921" s="18" t="s">
        <v>106</v>
      </c>
      <c r="I921" s="18" t="s">
        <v>49</v>
      </c>
      <c r="J921" s="18" t="s">
        <v>102</v>
      </c>
      <c r="K921" s="18">
        <v>7</v>
      </c>
      <c r="L921" s="20">
        <v>2564.31</v>
      </c>
      <c r="M921" s="21">
        <v>0.15</v>
      </c>
      <c r="N921" s="21">
        <v>0.56587792792904801</v>
      </c>
      <c r="O921" s="20">
        <f t="shared" si="56"/>
        <v>15257.644499999999</v>
      </c>
      <c r="P921" s="20">
        <f t="shared" si="57"/>
        <v>8633.9642547380354</v>
      </c>
      <c r="Q921" s="20">
        <f t="shared" si="58"/>
        <v>6623.6802452619631</v>
      </c>
      <c r="R921" s="22">
        <f t="shared" si="59"/>
        <v>0.43412207207095194</v>
      </c>
    </row>
    <row r="922" spans="1:18">
      <c r="A922" s="18">
        <v>1921</v>
      </c>
      <c r="B922" s="19" t="s">
        <v>376</v>
      </c>
      <c r="C922" s="18">
        <v>2024</v>
      </c>
      <c r="D922" s="18" t="s">
        <v>59</v>
      </c>
      <c r="E922" s="18" t="s">
        <v>88</v>
      </c>
      <c r="F922" s="18" t="s">
        <v>89</v>
      </c>
      <c r="G922" s="18" t="s">
        <v>50</v>
      </c>
      <c r="H922" s="18" t="s">
        <v>97</v>
      </c>
      <c r="I922" s="18" t="s">
        <v>49</v>
      </c>
      <c r="J922" s="18" t="s">
        <v>82</v>
      </c>
      <c r="K922" s="18">
        <v>7</v>
      </c>
      <c r="L922" s="20">
        <v>11645.26</v>
      </c>
      <c r="M922" s="21">
        <v>0</v>
      </c>
      <c r="N922" s="21">
        <v>0.59761279362948105</v>
      </c>
      <c r="O922" s="20">
        <f t="shared" si="56"/>
        <v>81516.820000000007</v>
      </c>
      <c r="P922" s="20">
        <f t="shared" si="57"/>
        <v>48715.494527991556</v>
      </c>
      <c r="Q922" s="20">
        <f t="shared" si="58"/>
        <v>32801.325472008451</v>
      </c>
      <c r="R922" s="22">
        <f t="shared" si="59"/>
        <v>0.402387206370519</v>
      </c>
    </row>
    <row r="923" spans="1:18">
      <c r="A923" s="18">
        <v>1922</v>
      </c>
      <c r="B923" s="19" t="s">
        <v>377</v>
      </c>
      <c r="C923" s="18">
        <v>2024</v>
      </c>
      <c r="D923" s="18" t="s">
        <v>59</v>
      </c>
      <c r="E923" s="18" t="s">
        <v>98</v>
      </c>
      <c r="F923" s="18" t="s">
        <v>117</v>
      </c>
      <c r="G923" s="18" t="s">
        <v>47</v>
      </c>
      <c r="H923" s="18" t="s">
        <v>107</v>
      </c>
      <c r="I923" s="18" t="s">
        <v>40</v>
      </c>
      <c r="J923" s="18" t="s">
        <v>102</v>
      </c>
      <c r="K923" s="18">
        <v>7</v>
      </c>
      <c r="L923" s="20">
        <v>2232.5700000000002</v>
      </c>
      <c r="M923" s="21">
        <v>0.05</v>
      </c>
      <c r="N923" s="21">
        <v>0.70011018220140497</v>
      </c>
      <c r="O923" s="20">
        <f t="shared" si="56"/>
        <v>14846.5905</v>
      </c>
      <c r="P923" s="20">
        <f t="shared" si="57"/>
        <v>10394.249180024648</v>
      </c>
      <c r="Q923" s="20">
        <f t="shared" si="58"/>
        <v>4452.3413199753522</v>
      </c>
      <c r="R923" s="22">
        <f t="shared" si="59"/>
        <v>0.29988981779859503</v>
      </c>
    </row>
    <row r="924" spans="1:18">
      <c r="A924" s="18">
        <v>1923</v>
      </c>
      <c r="B924" s="19" t="s">
        <v>377</v>
      </c>
      <c r="C924" s="18">
        <v>2024</v>
      </c>
      <c r="D924" s="18" t="s">
        <v>59</v>
      </c>
      <c r="E924" s="18" t="s">
        <v>88</v>
      </c>
      <c r="F924" s="18" t="s">
        <v>93</v>
      </c>
      <c r="G924" s="18" t="s">
        <v>47</v>
      </c>
      <c r="H924" s="18" t="s">
        <v>107</v>
      </c>
      <c r="I924" s="18" t="s">
        <v>49</v>
      </c>
      <c r="J924" s="18" t="s">
        <v>82</v>
      </c>
      <c r="K924" s="18">
        <v>9</v>
      </c>
      <c r="L924" s="20">
        <v>2101.9</v>
      </c>
      <c r="M924" s="21">
        <v>0.2</v>
      </c>
      <c r="N924" s="21">
        <v>0.74767525531103896</v>
      </c>
      <c r="O924" s="20">
        <f t="shared" si="56"/>
        <v>15133.680000000002</v>
      </c>
      <c r="P924" s="20">
        <f t="shared" si="57"/>
        <v>11315.078057795565</v>
      </c>
      <c r="Q924" s="20">
        <f t="shared" si="58"/>
        <v>3818.6019422044374</v>
      </c>
      <c r="R924" s="22">
        <f t="shared" si="59"/>
        <v>0.2523247446889611</v>
      </c>
    </row>
    <row r="925" spans="1:18">
      <c r="A925" s="18">
        <v>1924</v>
      </c>
      <c r="B925" s="19" t="s">
        <v>377</v>
      </c>
      <c r="C925" s="18">
        <v>2024</v>
      </c>
      <c r="D925" s="18" t="s">
        <v>59</v>
      </c>
      <c r="E925" s="18" t="s">
        <v>88</v>
      </c>
      <c r="F925" s="18" t="s">
        <v>93</v>
      </c>
      <c r="G925" s="18" t="s">
        <v>50</v>
      </c>
      <c r="H925" s="18" t="s">
        <v>87</v>
      </c>
      <c r="I925" s="18" t="s">
        <v>54</v>
      </c>
      <c r="J925" s="18" t="s">
        <v>82</v>
      </c>
      <c r="K925" s="18">
        <v>8</v>
      </c>
      <c r="L925" s="20">
        <v>9623.2900000000009</v>
      </c>
      <c r="M925" s="21">
        <v>0</v>
      </c>
      <c r="N925" s="21">
        <v>0.72397334797925095</v>
      </c>
      <c r="O925" s="20">
        <f t="shared" si="56"/>
        <v>76986.320000000007</v>
      </c>
      <c r="P925" s="20">
        <f t="shared" si="57"/>
        <v>55736.04383900197</v>
      </c>
      <c r="Q925" s="20">
        <f t="shared" si="58"/>
        <v>21250.276160998037</v>
      </c>
      <c r="R925" s="22">
        <f t="shared" si="59"/>
        <v>0.27602665202074905</v>
      </c>
    </row>
    <row r="926" spans="1:18">
      <c r="A926" s="18">
        <v>1925</v>
      </c>
      <c r="B926" s="19" t="s">
        <v>377</v>
      </c>
      <c r="C926" s="18">
        <v>2024</v>
      </c>
      <c r="D926" s="18" t="s">
        <v>59</v>
      </c>
      <c r="E926" s="18" t="s">
        <v>79</v>
      </c>
      <c r="F926" s="18" t="s">
        <v>100</v>
      </c>
      <c r="G926" s="18" t="s">
        <v>41</v>
      </c>
      <c r="H926" s="18" t="s">
        <v>101</v>
      </c>
      <c r="I926" s="18" t="s">
        <v>49</v>
      </c>
      <c r="J926" s="18" t="s">
        <v>82</v>
      </c>
      <c r="K926" s="18">
        <v>2</v>
      </c>
      <c r="L926" s="20">
        <v>53205.22</v>
      </c>
      <c r="M926" s="21">
        <v>0.15</v>
      </c>
      <c r="N926" s="21">
        <v>0.71624417572503296</v>
      </c>
      <c r="O926" s="20">
        <f t="shared" si="56"/>
        <v>90448.873999999996</v>
      </c>
      <c r="P926" s="20">
        <f t="shared" si="57"/>
        <v>64783.47920338736</v>
      </c>
      <c r="Q926" s="20">
        <f t="shared" si="58"/>
        <v>25665.394796612636</v>
      </c>
      <c r="R926" s="22">
        <f t="shared" si="59"/>
        <v>0.28375582427496704</v>
      </c>
    </row>
    <row r="927" spans="1:18">
      <c r="A927" s="18">
        <v>1926</v>
      </c>
      <c r="B927" s="19" t="s">
        <v>377</v>
      </c>
      <c r="C927" s="18">
        <v>2024</v>
      </c>
      <c r="D927" s="18" t="s">
        <v>59</v>
      </c>
      <c r="E927" s="18" t="s">
        <v>88</v>
      </c>
      <c r="F927" s="18" t="s">
        <v>110</v>
      </c>
      <c r="G927" s="18" t="s">
        <v>41</v>
      </c>
      <c r="H927" s="18" t="s">
        <v>112</v>
      </c>
      <c r="I927" s="18" t="s">
        <v>58</v>
      </c>
      <c r="J927" s="18" t="s">
        <v>91</v>
      </c>
      <c r="K927" s="18">
        <v>3</v>
      </c>
      <c r="L927" s="20">
        <v>6133</v>
      </c>
      <c r="M927" s="21">
        <v>0</v>
      </c>
      <c r="N927" s="21">
        <v>0.63480335500305196</v>
      </c>
      <c r="O927" s="20">
        <f t="shared" si="56"/>
        <v>18399</v>
      </c>
      <c r="P927" s="20">
        <f t="shared" si="57"/>
        <v>11679.746928701154</v>
      </c>
      <c r="Q927" s="20">
        <f t="shared" si="58"/>
        <v>6719.2530712988464</v>
      </c>
      <c r="R927" s="22">
        <f t="shared" si="59"/>
        <v>0.36519664499694798</v>
      </c>
    </row>
    <row r="928" spans="1:18">
      <c r="A928" s="18">
        <v>1927</v>
      </c>
      <c r="B928" s="19" t="s">
        <v>378</v>
      </c>
      <c r="C928" s="18">
        <v>2024</v>
      </c>
      <c r="D928" s="18" t="s">
        <v>59</v>
      </c>
      <c r="E928" s="18" t="s">
        <v>98</v>
      </c>
      <c r="F928" s="18" t="s">
        <v>109</v>
      </c>
      <c r="G928" s="18" t="s">
        <v>50</v>
      </c>
      <c r="H928" s="18" t="s">
        <v>87</v>
      </c>
      <c r="I928" s="18" t="s">
        <v>49</v>
      </c>
      <c r="J928" s="18" t="s">
        <v>91</v>
      </c>
      <c r="K928" s="18">
        <v>8</v>
      </c>
      <c r="L928" s="20">
        <v>9101.02</v>
      </c>
      <c r="M928" s="21">
        <v>0.05</v>
      </c>
      <c r="N928" s="21">
        <v>0.62964889463442197</v>
      </c>
      <c r="O928" s="20">
        <f t="shared" si="56"/>
        <v>69167.751999999993</v>
      </c>
      <c r="P928" s="20">
        <f t="shared" si="57"/>
        <v>43551.398591147823</v>
      </c>
      <c r="Q928" s="20">
        <f t="shared" si="58"/>
        <v>25616.35340885217</v>
      </c>
      <c r="R928" s="22">
        <f t="shared" si="59"/>
        <v>0.37035110536557808</v>
      </c>
    </row>
    <row r="929" spans="1:18">
      <c r="A929" s="18">
        <v>1928</v>
      </c>
      <c r="B929" s="19" t="s">
        <v>378</v>
      </c>
      <c r="C929" s="18">
        <v>2024</v>
      </c>
      <c r="D929" s="18" t="s">
        <v>59</v>
      </c>
      <c r="E929" s="18" t="s">
        <v>88</v>
      </c>
      <c r="F929" s="18" t="s">
        <v>89</v>
      </c>
      <c r="G929" s="18" t="s">
        <v>50</v>
      </c>
      <c r="H929" s="18" t="s">
        <v>97</v>
      </c>
      <c r="I929" s="18" t="s">
        <v>60</v>
      </c>
      <c r="J929" s="18" t="s">
        <v>102</v>
      </c>
      <c r="K929" s="18">
        <v>12</v>
      </c>
      <c r="L929" s="20">
        <v>11920.12</v>
      </c>
      <c r="M929" s="21">
        <v>0</v>
      </c>
      <c r="N929" s="21">
        <v>0.71392076157593398</v>
      </c>
      <c r="O929" s="20">
        <f t="shared" si="56"/>
        <v>143041.44</v>
      </c>
      <c r="P929" s="20">
        <f t="shared" si="57"/>
        <v>102120.25378171827</v>
      </c>
      <c r="Q929" s="20">
        <f t="shared" si="58"/>
        <v>40921.186218281728</v>
      </c>
      <c r="R929" s="22">
        <f t="shared" si="59"/>
        <v>0.28607923842406596</v>
      </c>
    </row>
    <row r="930" spans="1:18">
      <c r="A930" s="18">
        <v>1929</v>
      </c>
      <c r="B930" s="19" t="s">
        <v>378</v>
      </c>
      <c r="C930" s="18">
        <v>2024</v>
      </c>
      <c r="D930" s="18" t="s">
        <v>59</v>
      </c>
      <c r="E930" s="18" t="s">
        <v>85</v>
      </c>
      <c r="F930" s="18" t="s">
        <v>86</v>
      </c>
      <c r="G930" s="18" t="s">
        <v>50</v>
      </c>
      <c r="H930" s="18" t="s">
        <v>97</v>
      </c>
      <c r="I930" s="18" t="s">
        <v>43</v>
      </c>
      <c r="J930" s="18" t="s">
        <v>91</v>
      </c>
      <c r="K930" s="18">
        <v>10</v>
      </c>
      <c r="L930" s="20">
        <v>12044.64</v>
      </c>
      <c r="M930" s="21">
        <v>0.15</v>
      </c>
      <c r="N930" s="21">
        <v>0.69532964702799804</v>
      </c>
      <c r="O930" s="20">
        <f t="shared" si="56"/>
        <v>102379.43999999999</v>
      </c>
      <c r="P930" s="20">
        <f t="shared" si="57"/>
        <v>71187.459878124093</v>
      </c>
      <c r="Q930" s="20">
        <f t="shared" si="58"/>
        <v>31191.980121875895</v>
      </c>
      <c r="R930" s="22">
        <f t="shared" si="59"/>
        <v>0.30467035297200196</v>
      </c>
    </row>
    <row r="931" spans="1:18">
      <c r="A931" s="18">
        <v>1930</v>
      </c>
      <c r="B931" s="19" t="s">
        <v>379</v>
      </c>
      <c r="C931" s="18">
        <v>2024</v>
      </c>
      <c r="D931" s="18" t="s">
        <v>59</v>
      </c>
      <c r="E931" s="18" t="s">
        <v>85</v>
      </c>
      <c r="F931" s="18" t="s">
        <v>121</v>
      </c>
      <c r="G931" s="18" t="s">
        <v>47</v>
      </c>
      <c r="H931" s="18" t="s">
        <v>107</v>
      </c>
      <c r="I931" s="18" t="s">
        <v>52</v>
      </c>
      <c r="J931" s="18" t="s">
        <v>91</v>
      </c>
      <c r="K931" s="18">
        <v>9</v>
      </c>
      <c r="L931" s="20">
        <v>2223.33</v>
      </c>
      <c r="M931" s="21">
        <v>0</v>
      </c>
      <c r="N931" s="21">
        <v>0.61664682796099302</v>
      </c>
      <c r="O931" s="20">
        <f t="shared" si="56"/>
        <v>20009.97</v>
      </c>
      <c r="P931" s="20">
        <f t="shared" si="57"/>
        <v>12339.084528094632</v>
      </c>
      <c r="Q931" s="20">
        <f t="shared" si="58"/>
        <v>7670.8854719053688</v>
      </c>
      <c r="R931" s="22">
        <f t="shared" si="59"/>
        <v>0.38335317203900698</v>
      </c>
    </row>
    <row r="932" spans="1:18">
      <c r="A932" s="18">
        <v>1931</v>
      </c>
      <c r="B932" s="19" t="s">
        <v>379</v>
      </c>
      <c r="C932" s="18">
        <v>2024</v>
      </c>
      <c r="D932" s="18" t="s">
        <v>59</v>
      </c>
      <c r="E932" s="18" t="s">
        <v>85</v>
      </c>
      <c r="F932" s="18" t="s">
        <v>86</v>
      </c>
      <c r="G932" s="18" t="s">
        <v>44</v>
      </c>
      <c r="H932" s="18" t="s">
        <v>119</v>
      </c>
      <c r="I932" s="18" t="s">
        <v>40</v>
      </c>
      <c r="J932" s="18" t="s">
        <v>82</v>
      </c>
      <c r="K932" s="18">
        <v>9</v>
      </c>
      <c r="L932" s="20">
        <v>7161.26</v>
      </c>
      <c r="M932" s="21">
        <v>0.05</v>
      </c>
      <c r="N932" s="21">
        <v>0.648290743536584</v>
      </c>
      <c r="O932" s="20">
        <f t="shared" si="56"/>
        <v>61228.773000000001</v>
      </c>
      <c r="P932" s="20">
        <f t="shared" si="57"/>
        <v>39694.046774002716</v>
      </c>
      <c r="Q932" s="20">
        <f t="shared" si="58"/>
        <v>21534.726225997285</v>
      </c>
      <c r="R932" s="22">
        <f t="shared" si="59"/>
        <v>0.35170925646341605</v>
      </c>
    </row>
    <row r="933" spans="1:18">
      <c r="A933" s="18">
        <v>1932</v>
      </c>
      <c r="B933" s="19" t="s">
        <v>379</v>
      </c>
      <c r="C933" s="18">
        <v>2024</v>
      </c>
      <c r="D933" s="18" t="s">
        <v>59</v>
      </c>
      <c r="E933" s="18" t="s">
        <v>85</v>
      </c>
      <c r="F933" s="18" t="s">
        <v>121</v>
      </c>
      <c r="G933" s="18" t="s">
        <v>47</v>
      </c>
      <c r="H933" s="18" t="s">
        <v>107</v>
      </c>
      <c r="I933" s="18" t="s">
        <v>58</v>
      </c>
      <c r="J933" s="18" t="s">
        <v>91</v>
      </c>
      <c r="K933" s="18">
        <v>11</v>
      </c>
      <c r="L933" s="20">
        <v>2307.25</v>
      </c>
      <c r="M933" s="21">
        <v>0</v>
      </c>
      <c r="N933" s="21">
        <v>0.63175751698762095</v>
      </c>
      <c r="O933" s="20">
        <f t="shared" si="56"/>
        <v>25379.75</v>
      </c>
      <c r="P933" s="20">
        <f t="shared" si="57"/>
        <v>16033.847841766572</v>
      </c>
      <c r="Q933" s="20">
        <f t="shared" si="58"/>
        <v>9345.9021582334281</v>
      </c>
      <c r="R933" s="22">
        <f t="shared" si="59"/>
        <v>0.36824248301237911</v>
      </c>
    </row>
    <row r="934" spans="1:18">
      <c r="A934" s="18">
        <v>1933</v>
      </c>
      <c r="B934" s="19" t="s">
        <v>379</v>
      </c>
      <c r="C934" s="18">
        <v>2024</v>
      </c>
      <c r="D934" s="18" t="s">
        <v>59</v>
      </c>
      <c r="E934" s="18" t="s">
        <v>79</v>
      </c>
      <c r="F934" s="18" t="s">
        <v>100</v>
      </c>
      <c r="G934" s="18" t="s">
        <v>50</v>
      </c>
      <c r="H934" s="18" t="s">
        <v>87</v>
      </c>
      <c r="I934" s="18" t="s">
        <v>46</v>
      </c>
      <c r="J934" s="18" t="s">
        <v>82</v>
      </c>
      <c r="K934" s="18">
        <v>7</v>
      </c>
      <c r="L934" s="20">
        <v>9934.24</v>
      </c>
      <c r="M934" s="21">
        <v>0.2</v>
      </c>
      <c r="N934" s="21">
        <v>0.61971573756576803</v>
      </c>
      <c r="O934" s="20">
        <f t="shared" si="56"/>
        <v>55631.743999999999</v>
      </c>
      <c r="P934" s="20">
        <f t="shared" si="57"/>
        <v>34475.867265029992</v>
      </c>
      <c r="Q934" s="20">
        <f t="shared" si="58"/>
        <v>21155.876734970007</v>
      </c>
      <c r="R934" s="22">
        <f t="shared" si="59"/>
        <v>0.38028426243423191</v>
      </c>
    </row>
    <row r="935" spans="1:18">
      <c r="A935" s="18">
        <v>1934</v>
      </c>
      <c r="B935" s="19" t="s">
        <v>380</v>
      </c>
      <c r="C935" s="18">
        <v>2024</v>
      </c>
      <c r="D935" s="18" t="s">
        <v>59</v>
      </c>
      <c r="E935" s="18" t="s">
        <v>98</v>
      </c>
      <c r="F935" s="18" t="s">
        <v>99</v>
      </c>
      <c r="G935" s="18" t="s">
        <v>41</v>
      </c>
      <c r="H935" s="18" t="s">
        <v>112</v>
      </c>
      <c r="I935" s="18" t="s">
        <v>56</v>
      </c>
      <c r="J935" s="18" t="s">
        <v>102</v>
      </c>
      <c r="K935" s="18">
        <v>4</v>
      </c>
      <c r="L935" s="20">
        <v>5845.41</v>
      </c>
      <c r="M935" s="21">
        <v>0</v>
      </c>
      <c r="N935" s="21">
        <v>0.73429370941687599</v>
      </c>
      <c r="O935" s="20">
        <f t="shared" si="56"/>
        <v>23381.64</v>
      </c>
      <c r="P935" s="20">
        <f t="shared" si="57"/>
        <v>17168.991167850003</v>
      </c>
      <c r="Q935" s="20">
        <f t="shared" si="58"/>
        <v>6212.6488321499965</v>
      </c>
      <c r="R935" s="22">
        <f t="shared" si="59"/>
        <v>0.26570629058312406</v>
      </c>
    </row>
    <row r="936" spans="1:18">
      <c r="A936" s="18">
        <v>1935</v>
      </c>
      <c r="B936" s="19" t="s">
        <v>380</v>
      </c>
      <c r="C936" s="18">
        <v>2024</v>
      </c>
      <c r="D936" s="18" t="s">
        <v>59</v>
      </c>
      <c r="E936" s="18" t="s">
        <v>98</v>
      </c>
      <c r="F936" s="18" t="s">
        <v>99</v>
      </c>
      <c r="G936" s="18" t="s">
        <v>41</v>
      </c>
      <c r="H936" s="18" t="s">
        <v>101</v>
      </c>
      <c r="I936" s="18" t="s">
        <v>52</v>
      </c>
      <c r="J936" s="18" t="s">
        <v>102</v>
      </c>
      <c r="K936" s="18">
        <v>8</v>
      </c>
      <c r="L936" s="20">
        <v>57443.46</v>
      </c>
      <c r="M936" s="21">
        <v>0</v>
      </c>
      <c r="N936" s="21">
        <v>0.60085760689886603</v>
      </c>
      <c r="O936" s="20">
        <f t="shared" si="56"/>
        <v>459547.68</v>
      </c>
      <c r="P936" s="20">
        <f t="shared" si="57"/>
        <v>276122.71926072589</v>
      </c>
      <c r="Q936" s="20">
        <f t="shared" si="58"/>
        <v>183424.9607392741</v>
      </c>
      <c r="R936" s="22">
        <f t="shared" si="59"/>
        <v>0.39914239310113392</v>
      </c>
    </row>
    <row r="937" spans="1:18">
      <c r="A937" s="18">
        <v>1936</v>
      </c>
      <c r="B937" s="19" t="s">
        <v>380</v>
      </c>
      <c r="C937" s="18">
        <v>2024</v>
      </c>
      <c r="D937" s="18" t="s">
        <v>59</v>
      </c>
      <c r="E937" s="18" t="s">
        <v>88</v>
      </c>
      <c r="F937" s="18" t="s">
        <v>110</v>
      </c>
      <c r="G937" s="18" t="s">
        <v>41</v>
      </c>
      <c r="H937" s="18" t="s">
        <v>90</v>
      </c>
      <c r="I937" s="18" t="s">
        <v>56</v>
      </c>
      <c r="J937" s="18" t="s">
        <v>91</v>
      </c>
      <c r="K937" s="18">
        <v>12</v>
      </c>
      <c r="L937" s="20">
        <v>18155.09</v>
      </c>
      <c r="M937" s="21">
        <v>0</v>
      </c>
      <c r="N937" s="21">
        <v>0.65370740877084299</v>
      </c>
      <c r="O937" s="20">
        <f t="shared" si="56"/>
        <v>217861.08000000002</v>
      </c>
      <c r="P937" s="20">
        <f t="shared" si="57"/>
        <v>142417.40207881734</v>
      </c>
      <c r="Q937" s="20">
        <f t="shared" si="58"/>
        <v>75443.67792118268</v>
      </c>
      <c r="R937" s="22">
        <f t="shared" si="59"/>
        <v>0.34629259122915701</v>
      </c>
    </row>
    <row r="938" spans="1:18">
      <c r="A938" s="18">
        <v>1937</v>
      </c>
      <c r="B938" s="19" t="s">
        <v>380</v>
      </c>
      <c r="C938" s="18">
        <v>2024</v>
      </c>
      <c r="D938" s="18" t="s">
        <v>59</v>
      </c>
      <c r="E938" s="18" t="s">
        <v>88</v>
      </c>
      <c r="F938" s="18" t="s">
        <v>89</v>
      </c>
      <c r="G938" s="18" t="s">
        <v>44</v>
      </c>
      <c r="H938" s="18" t="s">
        <v>114</v>
      </c>
      <c r="I938" s="18" t="s">
        <v>52</v>
      </c>
      <c r="J938" s="18" t="s">
        <v>102</v>
      </c>
      <c r="K938" s="18">
        <v>5</v>
      </c>
      <c r="L938" s="20">
        <v>9000.58</v>
      </c>
      <c r="M938" s="21">
        <v>0.15</v>
      </c>
      <c r="N938" s="21">
        <v>0.68169721199072997</v>
      </c>
      <c r="O938" s="20">
        <f t="shared" si="56"/>
        <v>38252.465000000004</v>
      </c>
      <c r="P938" s="20">
        <f t="shared" si="57"/>
        <v>26076.598742272981</v>
      </c>
      <c r="Q938" s="20">
        <f t="shared" si="58"/>
        <v>12175.866257727022</v>
      </c>
      <c r="R938" s="22">
        <f t="shared" si="59"/>
        <v>0.31830278800927003</v>
      </c>
    </row>
    <row r="939" spans="1:18">
      <c r="A939" s="18">
        <v>1938</v>
      </c>
      <c r="B939" s="19" t="s">
        <v>380</v>
      </c>
      <c r="C939" s="18">
        <v>2024</v>
      </c>
      <c r="D939" s="18" t="s">
        <v>59</v>
      </c>
      <c r="E939" s="18" t="s">
        <v>85</v>
      </c>
      <c r="F939" s="18" t="s">
        <v>94</v>
      </c>
      <c r="G939" s="18" t="s">
        <v>47</v>
      </c>
      <c r="H939" s="18" t="s">
        <v>103</v>
      </c>
      <c r="I939" s="18" t="s">
        <v>56</v>
      </c>
      <c r="J939" s="18" t="s">
        <v>102</v>
      </c>
      <c r="K939" s="18">
        <v>2</v>
      </c>
      <c r="L939" s="20">
        <v>3074.97</v>
      </c>
      <c r="M939" s="21">
        <v>0.15</v>
      </c>
      <c r="N939" s="21">
        <v>0.70533822297682502</v>
      </c>
      <c r="O939" s="20">
        <f t="shared" si="56"/>
        <v>5227.4489999999996</v>
      </c>
      <c r="P939" s="20">
        <f t="shared" si="57"/>
        <v>3687.1195883619807</v>
      </c>
      <c r="Q939" s="20">
        <f t="shared" si="58"/>
        <v>1540.3294116380189</v>
      </c>
      <c r="R939" s="22">
        <f t="shared" si="59"/>
        <v>0.29466177702317498</v>
      </c>
    </row>
    <row r="940" spans="1:18">
      <c r="A940" s="18">
        <v>1939</v>
      </c>
      <c r="B940" s="19" t="s">
        <v>381</v>
      </c>
      <c r="C940" s="18">
        <v>2024</v>
      </c>
      <c r="D940" s="18" t="s">
        <v>59</v>
      </c>
      <c r="E940" s="18" t="s">
        <v>88</v>
      </c>
      <c r="F940" s="18" t="s">
        <v>89</v>
      </c>
      <c r="G940" s="18" t="s">
        <v>44</v>
      </c>
      <c r="H940" s="18" t="s">
        <v>95</v>
      </c>
      <c r="I940" s="18" t="s">
        <v>56</v>
      </c>
      <c r="J940" s="18" t="s">
        <v>102</v>
      </c>
      <c r="K940" s="18">
        <v>5</v>
      </c>
      <c r="L940" s="20">
        <v>4277.8900000000003</v>
      </c>
      <c r="M940" s="21">
        <v>0</v>
      </c>
      <c r="N940" s="21">
        <v>0.71327787561971401</v>
      </c>
      <c r="O940" s="20">
        <f t="shared" si="56"/>
        <v>21389.45</v>
      </c>
      <c r="P940" s="20">
        <f t="shared" si="57"/>
        <v>15256.621456674093</v>
      </c>
      <c r="Q940" s="20">
        <f t="shared" si="58"/>
        <v>6132.828543325908</v>
      </c>
      <c r="R940" s="22">
        <f t="shared" si="59"/>
        <v>0.28672212438028599</v>
      </c>
    </row>
    <row r="941" spans="1:18">
      <c r="A941" s="18">
        <v>1940</v>
      </c>
      <c r="B941" s="19" t="s">
        <v>381</v>
      </c>
      <c r="C941" s="18">
        <v>2024</v>
      </c>
      <c r="D941" s="18" t="s">
        <v>59</v>
      </c>
      <c r="E941" s="18" t="s">
        <v>79</v>
      </c>
      <c r="F941" s="18" t="s">
        <v>100</v>
      </c>
      <c r="G941" s="18" t="s">
        <v>41</v>
      </c>
      <c r="H941" s="18" t="s">
        <v>112</v>
      </c>
      <c r="I941" s="18" t="s">
        <v>60</v>
      </c>
      <c r="J941" s="18" t="s">
        <v>91</v>
      </c>
      <c r="K941" s="18">
        <v>11</v>
      </c>
      <c r="L941" s="20">
        <v>5873</v>
      </c>
      <c r="M941" s="21">
        <v>0.1</v>
      </c>
      <c r="N941" s="21">
        <v>0.58412685122549701</v>
      </c>
      <c r="O941" s="20">
        <f t="shared" si="56"/>
        <v>58142.700000000004</v>
      </c>
      <c r="P941" s="20">
        <f t="shared" si="57"/>
        <v>33962.712272748708</v>
      </c>
      <c r="Q941" s="20">
        <f t="shared" si="58"/>
        <v>24179.987727251297</v>
      </c>
      <c r="R941" s="22">
        <f t="shared" si="59"/>
        <v>0.41587314877450299</v>
      </c>
    </row>
    <row r="942" spans="1:18">
      <c r="A942" s="18">
        <v>1941</v>
      </c>
      <c r="B942" s="19" t="s">
        <v>381</v>
      </c>
      <c r="C942" s="18">
        <v>2024</v>
      </c>
      <c r="D942" s="18" t="s">
        <v>59</v>
      </c>
      <c r="E942" s="18" t="s">
        <v>98</v>
      </c>
      <c r="F942" s="18" t="s">
        <v>117</v>
      </c>
      <c r="G942" s="18" t="s">
        <v>44</v>
      </c>
      <c r="H942" s="18" t="s">
        <v>119</v>
      </c>
      <c r="I942" s="18" t="s">
        <v>58</v>
      </c>
      <c r="J942" s="18" t="s">
        <v>82</v>
      </c>
      <c r="K942" s="18">
        <v>9</v>
      </c>
      <c r="L942" s="20">
        <v>7313.94</v>
      </c>
      <c r="M942" s="21">
        <v>0.1</v>
      </c>
      <c r="N942" s="21">
        <v>0.66341842683310903</v>
      </c>
      <c r="O942" s="20">
        <f t="shared" si="56"/>
        <v>59242.913999999997</v>
      </c>
      <c r="P942" s="20">
        <f t="shared" si="57"/>
        <v>39302.840806889166</v>
      </c>
      <c r="Q942" s="20">
        <f t="shared" si="58"/>
        <v>19940.073193110831</v>
      </c>
      <c r="R942" s="22">
        <f t="shared" si="59"/>
        <v>0.33658157316689102</v>
      </c>
    </row>
    <row r="943" spans="1:18">
      <c r="A943" s="18">
        <v>1942</v>
      </c>
      <c r="B943" s="19" t="s">
        <v>381</v>
      </c>
      <c r="C943" s="18">
        <v>2024</v>
      </c>
      <c r="D943" s="18" t="s">
        <v>59</v>
      </c>
      <c r="E943" s="18" t="s">
        <v>88</v>
      </c>
      <c r="F943" s="18" t="s">
        <v>110</v>
      </c>
      <c r="G943" s="18" t="s">
        <v>44</v>
      </c>
      <c r="H943" s="18" t="s">
        <v>119</v>
      </c>
      <c r="I943" s="18" t="s">
        <v>46</v>
      </c>
      <c r="J943" s="18" t="s">
        <v>82</v>
      </c>
      <c r="K943" s="18">
        <v>5</v>
      </c>
      <c r="L943" s="20">
        <v>7338.06</v>
      </c>
      <c r="M943" s="21">
        <v>0.1</v>
      </c>
      <c r="N943" s="21">
        <v>0.63814608995145194</v>
      </c>
      <c r="O943" s="20">
        <f t="shared" si="56"/>
        <v>33021.270000000004</v>
      </c>
      <c r="P943" s="20">
        <f t="shared" si="57"/>
        <v>21072.394335731184</v>
      </c>
      <c r="Q943" s="20">
        <f t="shared" si="58"/>
        <v>11948.87566426882</v>
      </c>
      <c r="R943" s="22">
        <f t="shared" si="59"/>
        <v>0.36185391004854806</v>
      </c>
    </row>
    <row r="944" spans="1:18">
      <c r="A944" s="18">
        <v>1943</v>
      </c>
      <c r="B944" s="19" t="s">
        <v>382</v>
      </c>
      <c r="C944" s="18">
        <v>2024</v>
      </c>
      <c r="D944" s="18" t="s">
        <v>59</v>
      </c>
      <c r="E944" s="18" t="s">
        <v>88</v>
      </c>
      <c r="F944" s="18" t="s">
        <v>110</v>
      </c>
      <c r="G944" s="18" t="s">
        <v>47</v>
      </c>
      <c r="H944" s="18" t="s">
        <v>81</v>
      </c>
      <c r="I944" s="18" t="s">
        <v>56</v>
      </c>
      <c r="J944" s="18" t="s">
        <v>82</v>
      </c>
      <c r="K944" s="18">
        <v>5</v>
      </c>
      <c r="L944" s="20">
        <v>765.14</v>
      </c>
      <c r="M944" s="21">
        <v>0</v>
      </c>
      <c r="N944" s="21">
        <v>0.66712928002294902</v>
      </c>
      <c r="O944" s="20">
        <f t="shared" si="56"/>
        <v>3825.7</v>
      </c>
      <c r="P944" s="20">
        <f t="shared" si="57"/>
        <v>2552.2364865837958</v>
      </c>
      <c r="Q944" s="20">
        <f t="shared" si="58"/>
        <v>1273.463513416204</v>
      </c>
      <c r="R944" s="22">
        <f t="shared" si="59"/>
        <v>0.33287071997705103</v>
      </c>
    </row>
    <row r="945" spans="1:18">
      <c r="A945" s="18">
        <v>1944</v>
      </c>
      <c r="B945" s="19" t="s">
        <v>382</v>
      </c>
      <c r="C945" s="18">
        <v>2024</v>
      </c>
      <c r="D945" s="18" t="s">
        <v>59</v>
      </c>
      <c r="E945" s="18" t="s">
        <v>85</v>
      </c>
      <c r="F945" s="18" t="s">
        <v>121</v>
      </c>
      <c r="G945" s="18" t="s">
        <v>41</v>
      </c>
      <c r="H945" s="18" t="s">
        <v>90</v>
      </c>
      <c r="I945" s="18" t="s">
        <v>40</v>
      </c>
      <c r="J945" s="18" t="s">
        <v>91</v>
      </c>
      <c r="K945" s="18">
        <v>1</v>
      </c>
      <c r="L945" s="20">
        <v>18297.580000000002</v>
      </c>
      <c r="M945" s="21">
        <v>0</v>
      </c>
      <c r="N945" s="21">
        <v>0.56936837019185504</v>
      </c>
      <c r="O945" s="20">
        <f t="shared" si="56"/>
        <v>18297.580000000002</v>
      </c>
      <c r="P945" s="20">
        <f t="shared" si="57"/>
        <v>10418.063303055083</v>
      </c>
      <c r="Q945" s="20">
        <f t="shared" si="58"/>
        <v>7879.5166969449183</v>
      </c>
      <c r="R945" s="22">
        <f t="shared" si="59"/>
        <v>0.43063162980814501</v>
      </c>
    </row>
    <row r="946" spans="1:18">
      <c r="A946" s="18">
        <v>1945</v>
      </c>
      <c r="B946" s="19" t="s">
        <v>383</v>
      </c>
      <c r="C946" s="18">
        <v>2024</v>
      </c>
      <c r="D946" s="18" t="s">
        <v>59</v>
      </c>
      <c r="E946" s="18" t="s">
        <v>85</v>
      </c>
      <c r="F946" s="18" t="s">
        <v>94</v>
      </c>
      <c r="G946" s="18" t="s">
        <v>47</v>
      </c>
      <c r="H946" s="18" t="s">
        <v>107</v>
      </c>
      <c r="I946" s="18" t="s">
        <v>58</v>
      </c>
      <c r="J946" s="18" t="s">
        <v>91</v>
      </c>
      <c r="K946" s="18">
        <v>10</v>
      </c>
      <c r="L946" s="20">
        <v>2184.48</v>
      </c>
      <c r="M946" s="21">
        <v>0.05</v>
      </c>
      <c r="N946" s="21">
        <v>0.68637199981533303</v>
      </c>
      <c r="O946" s="20">
        <f t="shared" si="56"/>
        <v>20752.559999999998</v>
      </c>
      <c r="P946" s="20">
        <f t="shared" si="57"/>
        <v>14243.976108487686</v>
      </c>
      <c r="Q946" s="20">
        <f t="shared" si="58"/>
        <v>6508.5838915123113</v>
      </c>
      <c r="R946" s="22">
        <f t="shared" si="59"/>
        <v>0.31362800018466697</v>
      </c>
    </row>
    <row r="947" spans="1:18">
      <c r="A947" s="18">
        <v>1946</v>
      </c>
      <c r="B947" s="19" t="s">
        <v>383</v>
      </c>
      <c r="C947" s="18">
        <v>2024</v>
      </c>
      <c r="D947" s="18" t="s">
        <v>59</v>
      </c>
      <c r="E947" s="18" t="s">
        <v>98</v>
      </c>
      <c r="F947" s="18" t="s">
        <v>109</v>
      </c>
      <c r="G947" s="18" t="s">
        <v>44</v>
      </c>
      <c r="H947" s="18" t="s">
        <v>114</v>
      </c>
      <c r="I947" s="18" t="s">
        <v>56</v>
      </c>
      <c r="J947" s="18" t="s">
        <v>91</v>
      </c>
      <c r="K947" s="18">
        <v>10</v>
      </c>
      <c r="L947" s="20">
        <v>8601.52</v>
      </c>
      <c r="M947" s="21">
        <v>0.05</v>
      </c>
      <c r="N947" s="21">
        <v>0.72461548645832397</v>
      </c>
      <c r="O947" s="20">
        <f t="shared" si="56"/>
        <v>81714.44</v>
      </c>
      <c r="P947" s="20">
        <f t="shared" si="57"/>
        <v>59211.548691269527</v>
      </c>
      <c r="Q947" s="20">
        <f t="shared" si="58"/>
        <v>22502.891308730475</v>
      </c>
      <c r="R947" s="22">
        <f t="shared" si="59"/>
        <v>0.27538451354167603</v>
      </c>
    </row>
    <row r="948" spans="1:18">
      <c r="A948" s="18">
        <v>1947</v>
      </c>
      <c r="B948" s="19" t="s">
        <v>384</v>
      </c>
      <c r="C948" s="18">
        <v>2024</v>
      </c>
      <c r="D948" s="18" t="s">
        <v>61</v>
      </c>
      <c r="E948" s="18" t="s">
        <v>79</v>
      </c>
      <c r="F948" s="18" t="s">
        <v>105</v>
      </c>
      <c r="G948" s="18" t="s">
        <v>50</v>
      </c>
      <c r="H948" s="18" t="s">
        <v>87</v>
      </c>
      <c r="I948" s="18" t="s">
        <v>46</v>
      </c>
      <c r="J948" s="18" t="s">
        <v>82</v>
      </c>
      <c r="K948" s="18">
        <v>10</v>
      </c>
      <c r="L948" s="20">
        <v>9141.75</v>
      </c>
      <c r="M948" s="21">
        <v>0.15</v>
      </c>
      <c r="N948" s="21">
        <v>0.60589350603679104</v>
      </c>
      <c r="O948" s="20">
        <f t="shared" si="56"/>
        <v>77704.875</v>
      </c>
      <c r="P948" s="20">
        <f t="shared" si="57"/>
        <v>47080.879149900597</v>
      </c>
      <c r="Q948" s="20">
        <f t="shared" si="58"/>
        <v>30623.995850099403</v>
      </c>
      <c r="R948" s="22">
        <f t="shared" si="59"/>
        <v>0.3941064939632089</v>
      </c>
    </row>
    <row r="949" spans="1:18">
      <c r="A949" s="18">
        <v>1948</v>
      </c>
      <c r="B949" s="19" t="s">
        <v>384</v>
      </c>
      <c r="C949" s="18">
        <v>2024</v>
      </c>
      <c r="D949" s="18" t="s">
        <v>61</v>
      </c>
      <c r="E949" s="18" t="s">
        <v>88</v>
      </c>
      <c r="F949" s="18" t="s">
        <v>89</v>
      </c>
      <c r="G949" s="18" t="s">
        <v>50</v>
      </c>
      <c r="H949" s="18" t="s">
        <v>87</v>
      </c>
      <c r="I949" s="18" t="s">
        <v>58</v>
      </c>
      <c r="J949" s="18" t="s">
        <v>102</v>
      </c>
      <c r="K949" s="18">
        <v>7</v>
      </c>
      <c r="L949" s="20">
        <v>9652.2199999999993</v>
      </c>
      <c r="M949" s="21">
        <v>0</v>
      </c>
      <c r="N949" s="21">
        <v>0.74723628109406404</v>
      </c>
      <c r="O949" s="20">
        <f t="shared" si="56"/>
        <v>67565.539999999994</v>
      </c>
      <c r="P949" s="20">
        <f t="shared" si="57"/>
        <v>50487.422839712221</v>
      </c>
      <c r="Q949" s="20">
        <f t="shared" si="58"/>
        <v>17078.117160287773</v>
      </c>
      <c r="R949" s="22">
        <f t="shared" si="59"/>
        <v>0.25276371890593602</v>
      </c>
    </row>
    <row r="950" spans="1:18">
      <c r="A950" s="18">
        <v>1949</v>
      </c>
      <c r="B950" s="19" t="s">
        <v>385</v>
      </c>
      <c r="C950" s="18">
        <v>2024</v>
      </c>
      <c r="D950" s="18" t="s">
        <v>61</v>
      </c>
      <c r="E950" s="18" t="s">
        <v>79</v>
      </c>
      <c r="F950" s="18" t="s">
        <v>80</v>
      </c>
      <c r="G950" s="18" t="s">
        <v>47</v>
      </c>
      <c r="H950" s="18" t="s">
        <v>81</v>
      </c>
      <c r="I950" s="18" t="s">
        <v>54</v>
      </c>
      <c r="J950" s="18" t="s">
        <v>102</v>
      </c>
      <c r="K950" s="18">
        <v>8</v>
      </c>
      <c r="L950" s="20">
        <v>778.68</v>
      </c>
      <c r="M950" s="21">
        <v>0.1</v>
      </c>
      <c r="N950" s="21">
        <v>0.63003303816795997</v>
      </c>
      <c r="O950" s="20">
        <f t="shared" si="56"/>
        <v>5606.4960000000001</v>
      </c>
      <c r="P950" s="20">
        <f t="shared" si="57"/>
        <v>3532.2777083565152</v>
      </c>
      <c r="Q950" s="20">
        <f t="shared" si="58"/>
        <v>2074.2182916434849</v>
      </c>
      <c r="R950" s="22">
        <f t="shared" si="59"/>
        <v>0.36996696183203998</v>
      </c>
    </row>
    <row r="951" spans="1:18">
      <c r="A951" s="18">
        <v>1950</v>
      </c>
      <c r="B951" s="19" t="s">
        <v>385</v>
      </c>
      <c r="C951" s="18">
        <v>2024</v>
      </c>
      <c r="D951" s="18" t="s">
        <v>61</v>
      </c>
      <c r="E951" s="18" t="s">
        <v>79</v>
      </c>
      <c r="F951" s="18" t="s">
        <v>105</v>
      </c>
      <c r="G951" s="18" t="s">
        <v>50</v>
      </c>
      <c r="H951" s="18" t="s">
        <v>97</v>
      </c>
      <c r="I951" s="18" t="s">
        <v>43</v>
      </c>
      <c r="J951" s="18" t="s">
        <v>102</v>
      </c>
      <c r="K951" s="18">
        <v>7</v>
      </c>
      <c r="L951" s="20">
        <v>11752.64</v>
      </c>
      <c r="M951" s="21">
        <v>0</v>
      </c>
      <c r="N951" s="21">
        <v>0.69238839468831004</v>
      </c>
      <c r="O951" s="20">
        <f t="shared" si="56"/>
        <v>82268.479999999996</v>
      </c>
      <c r="P951" s="20">
        <f t="shared" si="57"/>
        <v>56961.740800647334</v>
      </c>
      <c r="Q951" s="20">
        <f t="shared" si="58"/>
        <v>25306.739199352662</v>
      </c>
      <c r="R951" s="22">
        <f t="shared" si="59"/>
        <v>0.30761160531169002</v>
      </c>
    </row>
    <row r="952" spans="1:18">
      <c r="A952" s="18">
        <v>1951</v>
      </c>
      <c r="B952" s="19" t="s">
        <v>385</v>
      </c>
      <c r="C952" s="18">
        <v>2024</v>
      </c>
      <c r="D952" s="18" t="s">
        <v>61</v>
      </c>
      <c r="E952" s="18" t="s">
        <v>79</v>
      </c>
      <c r="F952" s="18" t="s">
        <v>100</v>
      </c>
      <c r="G952" s="18" t="s">
        <v>50</v>
      </c>
      <c r="H952" s="18" t="s">
        <v>83</v>
      </c>
      <c r="I952" s="18" t="s">
        <v>52</v>
      </c>
      <c r="J952" s="18" t="s">
        <v>102</v>
      </c>
      <c r="K952" s="18">
        <v>9</v>
      </c>
      <c r="L952" s="20">
        <v>3670.53</v>
      </c>
      <c r="M952" s="21">
        <v>0.1</v>
      </c>
      <c r="N952" s="21">
        <v>0.58361057027639196</v>
      </c>
      <c r="O952" s="20">
        <f t="shared" si="56"/>
        <v>29731.293000000005</v>
      </c>
      <c r="P952" s="20">
        <f t="shared" si="57"/>
        <v>17351.496862784505</v>
      </c>
      <c r="Q952" s="20">
        <f t="shared" si="58"/>
        <v>12379.7961372155</v>
      </c>
      <c r="R952" s="22">
        <f t="shared" si="59"/>
        <v>0.41638942972360798</v>
      </c>
    </row>
    <row r="953" spans="1:18">
      <c r="A953" s="18">
        <v>1952</v>
      </c>
      <c r="B953" s="19" t="s">
        <v>385</v>
      </c>
      <c r="C953" s="18">
        <v>2024</v>
      </c>
      <c r="D953" s="18" t="s">
        <v>61</v>
      </c>
      <c r="E953" s="18" t="s">
        <v>85</v>
      </c>
      <c r="F953" s="18" t="s">
        <v>86</v>
      </c>
      <c r="G953" s="18" t="s">
        <v>50</v>
      </c>
      <c r="H953" s="18" t="s">
        <v>87</v>
      </c>
      <c r="I953" s="18" t="s">
        <v>60</v>
      </c>
      <c r="J953" s="18" t="s">
        <v>82</v>
      </c>
      <c r="K953" s="18">
        <v>4</v>
      </c>
      <c r="L953" s="20">
        <v>9226.06</v>
      </c>
      <c r="M953" s="21">
        <v>0.2</v>
      </c>
      <c r="N953" s="21">
        <v>0.68998180045102797</v>
      </c>
      <c r="O953" s="20">
        <f t="shared" si="56"/>
        <v>29523.392</v>
      </c>
      <c r="P953" s="20">
        <f t="shared" si="57"/>
        <v>20370.603167581474</v>
      </c>
      <c r="Q953" s="20">
        <f t="shared" si="58"/>
        <v>9152.788832418526</v>
      </c>
      <c r="R953" s="22">
        <f t="shared" si="59"/>
        <v>0.31001819954897208</v>
      </c>
    </row>
    <row r="954" spans="1:18">
      <c r="A954" s="18">
        <v>1953</v>
      </c>
      <c r="B954" s="19" t="s">
        <v>386</v>
      </c>
      <c r="C954" s="18">
        <v>2024</v>
      </c>
      <c r="D954" s="18" t="s">
        <v>61</v>
      </c>
      <c r="E954" s="18" t="s">
        <v>85</v>
      </c>
      <c r="F954" s="18" t="s">
        <v>94</v>
      </c>
      <c r="G954" s="18" t="s">
        <v>41</v>
      </c>
      <c r="H954" s="18" t="s">
        <v>101</v>
      </c>
      <c r="I954" s="18" t="s">
        <v>54</v>
      </c>
      <c r="J954" s="18" t="s">
        <v>91</v>
      </c>
      <c r="K954" s="18">
        <v>5</v>
      </c>
      <c r="L954" s="20">
        <v>53462.07</v>
      </c>
      <c r="M954" s="21">
        <v>0.05</v>
      </c>
      <c r="N954" s="21">
        <v>0.683186536246989</v>
      </c>
      <c r="O954" s="20">
        <f t="shared" si="56"/>
        <v>253944.83249999996</v>
      </c>
      <c r="P954" s="20">
        <f t="shared" si="57"/>
        <v>173491.69051349678</v>
      </c>
      <c r="Q954" s="20">
        <f t="shared" si="58"/>
        <v>80453.141986503178</v>
      </c>
      <c r="R954" s="22">
        <f t="shared" si="59"/>
        <v>0.31681346375301095</v>
      </c>
    </row>
    <row r="955" spans="1:18">
      <c r="A955" s="18">
        <v>1954</v>
      </c>
      <c r="B955" s="19" t="s">
        <v>386</v>
      </c>
      <c r="C955" s="18">
        <v>2024</v>
      </c>
      <c r="D955" s="18" t="s">
        <v>61</v>
      </c>
      <c r="E955" s="18" t="s">
        <v>79</v>
      </c>
      <c r="F955" s="18" t="s">
        <v>80</v>
      </c>
      <c r="G955" s="18" t="s">
        <v>44</v>
      </c>
      <c r="H955" s="18" t="s">
        <v>95</v>
      </c>
      <c r="I955" s="18" t="s">
        <v>58</v>
      </c>
      <c r="J955" s="18" t="s">
        <v>82</v>
      </c>
      <c r="K955" s="18">
        <v>12</v>
      </c>
      <c r="L955" s="20">
        <v>4424.76</v>
      </c>
      <c r="M955" s="21">
        <v>0</v>
      </c>
      <c r="N955" s="21">
        <v>0.73635599102969795</v>
      </c>
      <c r="O955" s="20">
        <f t="shared" si="56"/>
        <v>53097.120000000003</v>
      </c>
      <c r="P955" s="20">
        <f t="shared" si="57"/>
        <v>39098.3824184228</v>
      </c>
      <c r="Q955" s="20">
        <f t="shared" si="58"/>
        <v>13998.737581577203</v>
      </c>
      <c r="R955" s="22">
        <f t="shared" si="59"/>
        <v>0.26364400897030199</v>
      </c>
    </row>
    <row r="956" spans="1:18">
      <c r="A956" s="18">
        <v>1955</v>
      </c>
      <c r="B956" s="19" t="s">
        <v>387</v>
      </c>
      <c r="C956" s="18">
        <v>2024</v>
      </c>
      <c r="D956" s="18" t="s">
        <v>61</v>
      </c>
      <c r="E956" s="18" t="s">
        <v>98</v>
      </c>
      <c r="F956" s="18" t="s">
        <v>109</v>
      </c>
      <c r="G956" s="18" t="s">
        <v>50</v>
      </c>
      <c r="H956" s="18" t="s">
        <v>87</v>
      </c>
      <c r="I956" s="18" t="s">
        <v>60</v>
      </c>
      <c r="J956" s="18" t="s">
        <v>91</v>
      </c>
      <c r="K956" s="18">
        <v>4</v>
      </c>
      <c r="L956" s="20">
        <v>9237.3700000000008</v>
      </c>
      <c r="M956" s="21">
        <v>0</v>
      </c>
      <c r="N956" s="21">
        <v>0.60819530053091098</v>
      </c>
      <c r="O956" s="20">
        <f t="shared" si="56"/>
        <v>36949.480000000003</v>
      </c>
      <c r="P956" s="20">
        <f t="shared" si="57"/>
        <v>22472.500093060888</v>
      </c>
      <c r="Q956" s="20">
        <f t="shared" si="58"/>
        <v>14476.979906939116</v>
      </c>
      <c r="R956" s="22">
        <f t="shared" si="59"/>
        <v>0.39180469946908897</v>
      </c>
    </row>
    <row r="957" spans="1:18">
      <c r="A957" s="18">
        <v>1956</v>
      </c>
      <c r="B957" s="19" t="s">
        <v>387</v>
      </c>
      <c r="C957" s="18">
        <v>2024</v>
      </c>
      <c r="D957" s="18" t="s">
        <v>61</v>
      </c>
      <c r="E957" s="18" t="s">
        <v>79</v>
      </c>
      <c r="F957" s="18" t="s">
        <v>100</v>
      </c>
      <c r="G957" s="18" t="s">
        <v>47</v>
      </c>
      <c r="H957" s="18" t="s">
        <v>103</v>
      </c>
      <c r="I957" s="18" t="s">
        <v>62</v>
      </c>
      <c r="J957" s="18" t="s">
        <v>82</v>
      </c>
      <c r="K957" s="18">
        <v>12</v>
      </c>
      <c r="L957" s="20">
        <v>3341.44</v>
      </c>
      <c r="M957" s="21">
        <v>0.15</v>
      </c>
      <c r="N957" s="21">
        <v>0.62354740519436802</v>
      </c>
      <c r="O957" s="20">
        <f t="shared" si="56"/>
        <v>34082.687999999995</v>
      </c>
      <c r="P957" s="20">
        <f t="shared" si="57"/>
        <v>21252.171664449223</v>
      </c>
      <c r="Q957" s="20">
        <f t="shared" si="58"/>
        <v>12830.516335550772</v>
      </c>
      <c r="R957" s="22">
        <f t="shared" si="59"/>
        <v>0.37645259480563192</v>
      </c>
    </row>
    <row r="958" spans="1:18">
      <c r="A958" s="18">
        <v>1957</v>
      </c>
      <c r="B958" s="19" t="s">
        <v>388</v>
      </c>
      <c r="C958" s="18">
        <v>2024</v>
      </c>
      <c r="D958" s="18" t="s">
        <v>61</v>
      </c>
      <c r="E958" s="18" t="s">
        <v>85</v>
      </c>
      <c r="F958" s="18" t="s">
        <v>94</v>
      </c>
      <c r="G958" s="18" t="s">
        <v>41</v>
      </c>
      <c r="H958" s="18" t="s">
        <v>106</v>
      </c>
      <c r="I958" s="18" t="s">
        <v>40</v>
      </c>
      <c r="J958" s="18" t="s">
        <v>102</v>
      </c>
      <c r="K958" s="18">
        <v>9</v>
      </c>
      <c r="L958" s="20">
        <v>2422.46</v>
      </c>
      <c r="M958" s="21">
        <v>0.1</v>
      </c>
      <c r="N958" s="21">
        <v>0.74596989963009697</v>
      </c>
      <c r="O958" s="20">
        <f t="shared" si="56"/>
        <v>19621.925999999999</v>
      </c>
      <c r="P958" s="20">
        <f t="shared" si="57"/>
        <v>14637.366168769189</v>
      </c>
      <c r="Q958" s="20">
        <f t="shared" si="58"/>
        <v>4984.5598312308102</v>
      </c>
      <c r="R958" s="22">
        <f t="shared" si="59"/>
        <v>0.25403010036990303</v>
      </c>
    </row>
    <row r="959" spans="1:18">
      <c r="A959" s="18">
        <v>1958</v>
      </c>
      <c r="B959" s="19" t="s">
        <v>388</v>
      </c>
      <c r="C959" s="18">
        <v>2024</v>
      </c>
      <c r="D959" s="18" t="s">
        <v>61</v>
      </c>
      <c r="E959" s="18" t="s">
        <v>98</v>
      </c>
      <c r="F959" s="18" t="s">
        <v>109</v>
      </c>
      <c r="G959" s="18" t="s">
        <v>44</v>
      </c>
      <c r="H959" s="18" t="s">
        <v>95</v>
      </c>
      <c r="I959" s="18" t="s">
        <v>62</v>
      </c>
      <c r="J959" s="18" t="s">
        <v>102</v>
      </c>
      <c r="K959" s="18">
        <v>4</v>
      </c>
      <c r="L959" s="20">
        <v>4322.96</v>
      </c>
      <c r="M959" s="21">
        <v>0</v>
      </c>
      <c r="N959" s="21">
        <v>0.65765858866626303</v>
      </c>
      <c r="O959" s="20">
        <f t="shared" si="56"/>
        <v>17291.84</v>
      </c>
      <c r="P959" s="20">
        <f t="shared" si="57"/>
        <v>11372.127089842834</v>
      </c>
      <c r="Q959" s="20">
        <f t="shared" si="58"/>
        <v>5919.7129101571663</v>
      </c>
      <c r="R959" s="22">
        <f t="shared" si="59"/>
        <v>0.34234141133373697</v>
      </c>
    </row>
    <row r="960" spans="1:18">
      <c r="A960" s="18">
        <v>1959</v>
      </c>
      <c r="B960" s="19" t="s">
        <v>388</v>
      </c>
      <c r="C960" s="18">
        <v>2024</v>
      </c>
      <c r="D960" s="18" t="s">
        <v>61</v>
      </c>
      <c r="E960" s="18" t="s">
        <v>85</v>
      </c>
      <c r="F960" s="18" t="s">
        <v>121</v>
      </c>
      <c r="G960" s="18" t="s">
        <v>44</v>
      </c>
      <c r="H960" s="18" t="s">
        <v>114</v>
      </c>
      <c r="I960" s="18" t="s">
        <v>49</v>
      </c>
      <c r="J960" s="18" t="s">
        <v>91</v>
      </c>
      <c r="K960" s="18">
        <v>11</v>
      </c>
      <c r="L960" s="20">
        <v>8960.2099999999991</v>
      </c>
      <c r="M960" s="21">
        <v>0.15</v>
      </c>
      <c r="N960" s="21">
        <v>0.60667856506387996</v>
      </c>
      <c r="O960" s="20">
        <f t="shared" si="56"/>
        <v>83777.963499999998</v>
      </c>
      <c r="P960" s="20">
        <f t="shared" si="57"/>
        <v>50826.294680154111</v>
      </c>
      <c r="Q960" s="20">
        <f t="shared" si="58"/>
        <v>32951.668819845887</v>
      </c>
      <c r="R960" s="22">
        <f t="shared" si="59"/>
        <v>0.39332143493612004</v>
      </c>
    </row>
    <row r="961" spans="1:18">
      <c r="A961" s="18">
        <v>1960</v>
      </c>
      <c r="B961" s="19" t="s">
        <v>388</v>
      </c>
      <c r="C961" s="18">
        <v>2024</v>
      </c>
      <c r="D961" s="18" t="s">
        <v>61</v>
      </c>
      <c r="E961" s="18" t="s">
        <v>79</v>
      </c>
      <c r="F961" s="18" t="s">
        <v>80</v>
      </c>
      <c r="G961" s="18" t="s">
        <v>47</v>
      </c>
      <c r="H961" s="18" t="s">
        <v>107</v>
      </c>
      <c r="I961" s="18" t="s">
        <v>60</v>
      </c>
      <c r="J961" s="18" t="s">
        <v>102</v>
      </c>
      <c r="K961" s="18">
        <v>2</v>
      </c>
      <c r="L961" s="20">
        <v>2150.16</v>
      </c>
      <c r="M961" s="21">
        <v>0.2</v>
      </c>
      <c r="N961" s="21">
        <v>0.66479439061624201</v>
      </c>
      <c r="O961" s="20">
        <f t="shared" si="56"/>
        <v>3440.2559999999999</v>
      </c>
      <c r="P961" s="20">
        <f t="shared" si="57"/>
        <v>2287.06289108387</v>
      </c>
      <c r="Q961" s="20">
        <f t="shared" si="58"/>
        <v>1153.1931089161299</v>
      </c>
      <c r="R961" s="22">
        <f t="shared" si="59"/>
        <v>0.33520560938375804</v>
      </c>
    </row>
    <row r="962" spans="1:18">
      <c r="A962" s="18">
        <v>1961</v>
      </c>
      <c r="B962" s="19" t="s">
        <v>389</v>
      </c>
      <c r="C962" s="18">
        <v>2024</v>
      </c>
      <c r="D962" s="18" t="s">
        <v>61</v>
      </c>
      <c r="E962" s="18" t="s">
        <v>85</v>
      </c>
      <c r="F962" s="18" t="s">
        <v>121</v>
      </c>
      <c r="G962" s="18" t="s">
        <v>50</v>
      </c>
      <c r="H962" s="18" t="s">
        <v>83</v>
      </c>
      <c r="I962" s="18" t="s">
        <v>54</v>
      </c>
      <c r="J962" s="18" t="s">
        <v>82</v>
      </c>
      <c r="K962" s="18">
        <v>12</v>
      </c>
      <c r="L962" s="20">
        <v>3398.71</v>
      </c>
      <c r="M962" s="21">
        <v>0.2</v>
      </c>
      <c r="N962" s="21">
        <v>0.73688658149602804</v>
      </c>
      <c r="O962" s="20">
        <f t="shared" ref="O962:O1025" si="60">K962*L962*(1-M962)</f>
        <v>32627.616000000005</v>
      </c>
      <c r="P962" s="20">
        <f t="shared" ref="P962:P1025" si="61">O962*N962</f>
        <v>24042.852416605114</v>
      </c>
      <c r="Q962" s="20">
        <f t="shared" ref="Q962:Q1025" si="62">O962-P962</f>
        <v>8584.7635833948916</v>
      </c>
      <c r="R962" s="22">
        <f t="shared" ref="R962:R1025" si="63">IF(O962=0,0,Q962/O962)</f>
        <v>0.26311341850397191</v>
      </c>
    </row>
    <row r="963" spans="1:18">
      <c r="A963" s="18">
        <v>1962</v>
      </c>
      <c r="B963" s="19" t="s">
        <v>389</v>
      </c>
      <c r="C963" s="18">
        <v>2024</v>
      </c>
      <c r="D963" s="18" t="s">
        <v>61</v>
      </c>
      <c r="E963" s="18" t="s">
        <v>88</v>
      </c>
      <c r="F963" s="18" t="s">
        <v>93</v>
      </c>
      <c r="G963" s="18" t="s">
        <v>41</v>
      </c>
      <c r="H963" s="18" t="s">
        <v>101</v>
      </c>
      <c r="I963" s="18" t="s">
        <v>58</v>
      </c>
      <c r="J963" s="18" t="s">
        <v>102</v>
      </c>
      <c r="K963" s="18">
        <v>7</v>
      </c>
      <c r="L963" s="20">
        <v>53895.06</v>
      </c>
      <c r="M963" s="21">
        <v>0.2</v>
      </c>
      <c r="N963" s="21">
        <v>0.73247527457552897</v>
      </c>
      <c r="O963" s="20">
        <f t="shared" si="60"/>
        <v>301812.33600000001</v>
      </c>
      <c r="P963" s="20">
        <f t="shared" si="61"/>
        <v>221070.07368188183</v>
      </c>
      <c r="Q963" s="20">
        <f t="shared" si="62"/>
        <v>80742.262318118184</v>
      </c>
      <c r="R963" s="22">
        <f t="shared" si="63"/>
        <v>0.26752472542447098</v>
      </c>
    </row>
    <row r="964" spans="1:18">
      <c r="A964" s="18">
        <v>1963</v>
      </c>
      <c r="B964" s="19" t="s">
        <v>389</v>
      </c>
      <c r="C964" s="18">
        <v>2024</v>
      </c>
      <c r="D964" s="18" t="s">
        <v>61</v>
      </c>
      <c r="E964" s="18" t="s">
        <v>88</v>
      </c>
      <c r="F964" s="18" t="s">
        <v>110</v>
      </c>
      <c r="G964" s="18" t="s">
        <v>50</v>
      </c>
      <c r="H964" s="18" t="s">
        <v>97</v>
      </c>
      <c r="I964" s="18" t="s">
        <v>56</v>
      </c>
      <c r="J964" s="18" t="s">
        <v>102</v>
      </c>
      <c r="K964" s="18">
        <v>8</v>
      </c>
      <c r="L964" s="20">
        <v>12588.38</v>
      </c>
      <c r="M964" s="21">
        <v>0.1</v>
      </c>
      <c r="N964" s="21">
        <v>0.62821261893484504</v>
      </c>
      <c r="O964" s="20">
        <f t="shared" si="60"/>
        <v>90636.335999999996</v>
      </c>
      <c r="P964" s="20">
        <f t="shared" si="61"/>
        <v>56938.890009218572</v>
      </c>
      <c r="Q964" s="20">
        <f t="shared" si="62"/>
        <v>33697.445990781423</v>
      </c>
      <c r="R964" s="22">
        <f t="shared" si="63"/>
        <v>0.37178738106515496</v>
      </c>
    </row>
    <row r="965" spans="1:18">
      <c r="A965" s="18">
        <v>1964</v>
      </c>
      <c r="B965" s="19" t="s">
        <v>390</v>
      </c>
      <c r="C965" s="18">
        <v>2024</v>
      </c>
      <c r="D965" s="18" t="s">
        <v>61</v>
      </c>
      <c r="E965" s="18" t="s">
        <v>98</v>
      </c>
      <c r="F965" s="18" t="s">
        <v>99</v>
      </c>
      <c r="G965" s="18" t="s">
        <v>44</v>
      </c>
      <c r="H965" s="18" t="s">
        <v>95</v>
      </c>
      <c r="I965" s="18" t="s">
        <v>60</v>
      </c>
      <c r="J965" s="18" t="s">
        <v>91</v>
      </c>
      <c r="K965" s="18">
        <v>2</v>
      </c>
      <c r="L965" s="20">
        <v>4333.91</v>
      </c>
      <c r="M965" s="21">
        <v>0.15</v>
      </c>
      <c r="N965" s="21">
        <v>0.72317108631889804</v>
      </c>
      <c r="O965" s="20">
        <f t="shared" si="60"/>
        <v>7367.6469999999999</v>
      </c>
      <c r="P965" s="20">
        <f t="shared" si="61"/>
        <v>5328.0692846041702</v>
      </c>
      <c r="Q965" s="20">
        <f t="shared" si="62"/>
        <v>2039.5777153958297</v>
      </c>
      <c r="R965" s="22">
        <f t="shared" si="63"/>
        <v>0.27682891368110196</v>
      </c>
    </row>
    <row r="966" spans="1:18">
      <c r="A966" s="18">
        <v>1965</v>
      </c>
      <c r="B966" s="19" t="s">
        <v>390</v>
      </c>
      <c r="C966" s="18">
        <v>2024</v>
      </c>
      <c r="D966" s="18" t="s">
        <v>61</v>
      </c>
      <c r="E966" s="18" t="s">
        <v>79</v>
      </c>
      <c r="F966" s="18" t="s">
        <v>80</v>
      </c>
      <c r="G966" s="18" t="s">
        <v>47</v>
      </c>
      <c r="H966" s="18" t="s">
        <v>107</v>
      </c>
      <c r="I966" s="18" t="s">
        <v>46</v>
      </c>
      <c r="J966" s="18" t="s">
        <v>102</v>
      </c>
      <c r="K966" s="18">
        <v>3</v>
      </c>
      <c r="L966" s="20">
        <v>2187.21</v>
      </c>
      <c r="M966" s="21">
        <v>0.1</v>
      </c>
      <c r="N966" s="21">
        <v>0.60821631386461605</v>
      </c>
      <c r="O966" s="20">
        <f t="shared" si="60"/>
        <v>5905.4670000000006</v>
      </c>
      <c r="P966" s="20">
        <f t="shared" si="61"/>
        <v>3591.8013703891329</v>
      </c>
      <c r="Q966" s="20">
        <f t="shared" si="62"/>
        <v>2313.6656296108677</v>
      </c>
      <c r="R966" s="22">
        <f t="shared" si="63"/>
        <v>0.39178368613538395</v>
      </c>
    </row>
    <row r="967" spans="1:18">
      <c r="A967" s="18">
        <v>1966</v>
      </c>
      <c r="B967" s="19" t="s">
        <v>390</v>
      </c>
      <c r="C967" s="18">
        <v>2024</v>
      </c>
      <c r="D967" s="18" t="s">
        <v>61</v>
      </c>
      <c r="E967" s="18" t="s">
        <v>88</v>
      </c>
      <c r="F967" s="18" t="s">
        <v>110</v>
      </c>
      <c r="G967" s="18" t="s">
        <v>44</v>
      </c>
      <c r="H967" s="18" t="s">
        <v>95</v>
      </c>
      <c r="I967" s="18" t="s">
        <v>49</v>
      </c>
      <c r="J967" s="18" t="s">
        <v>102</v>
      </c>
      <c r="K967" s="18">
        <v>11</v>
      </c>
      <c r="L967" s="20">
        <v>4279.1099999999997</v>
      </c>
      <c r="M967" s="21">
        <v>0.2</v>
      </c>
      <c r="N967" s="21">
        <v>0.721228259169582</v>
      </c>
      <c r="O967" s="20">
        <f t="shared" si="60"/>
        <v>37656.167999999998</v>
      </c>
      <c r="P967" s="20">
        <f t="shared" si="61"/>
        <v>27158.692493637318</v>
      </c>
      <c r="Q967" s="20">
        <f t="shared" si="62"/>
        <v>10497.47550636268</v>
      </c>
      <c r="R967" s="22">
        <f t="shared" si="63"/>
        <v>0.278771740830418</v>
      </c>
    </row>
    <row r="968" spans="1:18">
      <c r="A968" s="18">
        <v>1967</v>
      </c>
      <c r="B968" s="19" t="s">
        <v>390</v>
      </c>
      <c r="C968" s="18">
        <v>2024</v>
      </c>
      <c r="D968" s="18" t="s">
        <v>61</v>
      </c>
      <c r="E968" s="18" t="s">
        <v>79</v>
      </c>
      <c r="F968" s="18" t="s">
        <v>80</v>
      </c>
      <c r="G968" s="18" t="s">
        <v>44</v>
      </c>
      <c r="H968" s="18" t="s">
        <v>114</v>
      </c>
      <c r="I968" s="18" t="s">
        <v>56</v>
      </c>
      <c r="J968" s="18" t="s">
        <v>102</v>
      </c>
      <c r="K968" s="18">
        <v>3</v>
      </c>
      <c r="L968" s="20">
        <v>9383.39</v>
      </c>
      <c r="M968" s="21">
        <v>0</v>
      </c>
      <c r="N968" s="21">
        <v>0.62111677076542204</v>
      </c>
      <c r="O968" s="20">
        <f t="shared" si="60"/>
        <v>28150.17</v>
      </c>
      <c r="P968" s="20">
        <f t="shared" si="61"/>
        <v>17484.542686897661</v>
      </c>
      <c r="Q968" s="20">
        <f t="shared" si="62"/>
        <v>10665.627313102337</v>
      </c>
      <c r="R968" s="22">
        <f t="shared" si="63"/>
        <v>0.3788832292345779</v>
      </c>
    </row>
    <row r="969" spans="1:18">
      <c r="A969" s="18">
        <v>1968</v>
      </c>
      <c r="B969" s="19" t="s">
        <v>391</v>
      </c>
      <c r="C969" s="18">
        <v>2024</v>
      </c>
      <c r="D969" s="18" t="s">
        <v>61</v>
      </c>
      <c r="E969" s="18" t="s">
        <v>88</v>
      </c>
      <c r="F969" s="18" t="s">
        <v>110</v>
      </c>
      <c r="G969" s="18" t="s">
        <v>41</v>
      </c>
      <c r="H969" s="18" t="s">
        <v>106</v>
      </c>
      <c r="I969" s="18" t="s">
        <v>62</v>
      </c>
      <c r="J969" s="18" t="s">
        <v>91</v>
      </c>
      <c r="K969" s="18">
        <v>3</v>
      </c>
      <c r="L969" s="20">
        <v>2531.7399999999998</v>
      </c>
      <c r="M969" s="21">
        <v>0.1</v>
      </c>
      <c r="N969" s="21">
        <v>0.59900020067988802</v>
      </c>
      <c r="O969" s="20">
        <f t="shared" si="60"/>
        <v>6835.6979999999994</v>
      </c>
      <c r="P969" s="20">
        <f t="shared" si="61"/>
        <v>4094.5844737871089</v>
      </c>
      <c r="Q969" s="20">
        <f t="shared" si="62"/>
        <v>2741.1135262128905</v>
      </c>
      <c r="R969" s="22">
        <f t="shared" si="63"/>
        <v>0.40099979932011198</v>
      </c>
    </row>
    <row r="970" spans="1:18">
      <c r="A970" s="18">
        <v>1969</v>
      </c>
      <c r="B970" s="19" t="s">
        <v>391</v>
      </c>
      <c r="C970" s="18">
        <v>2024</v>
      </c>
      <c r="D970" s="18" t="s">
        <v>61</v>
      </c>
      <c r="E970" s="18" t="s">
        <v>79</v>
      </c>
      <c r="F970" s="18" t="s">
        <v>100</v>
      </c>
      <c r="G970" s="18" t="s">
        <v>50</v>
      </c>
      <c r="H970" s="18" t="s">
        <v>97</v>
      </c>
      <c r="I970" s="18" t="s">
        <v>52</v>
      </c>
      <c r="J970" s="18" t="s">
        <v>102</v>
      </c>
      <c r="K970" s="18">
        <v>10</v>
      </c>
      <c r="L970" s="20">
        <v>12545.47</v>
      </c>
      <c r="M970" s="21">
        <v>0.2</v>
      </c>
      <c r="N970" s="21">
        <v>0.69904004689361399</v>
      </c>
      <c r="O970" s="20">
        <f t="shared" si="60"/>
        <v>100363.76000000001</v>
      </c>
      <c r="P970" s="20">
        <f t="shared" si="61"/>
        <v>70158.287496819423</v>
      </c>
      <c r="Q970" s="20">
        <f t="shared" si="62"/>
        <v>30205.472503180587</v>
      </c>
      <c r="R970" s="22">
        <f t="shared" si="63"/>
        <v>0.30095995310638607</v>
      </c>
    </row>
    <row r="971" spans="1:18">
      <c r="A971" s="18">
        <v>1970</v>
      </c>
      <c r="B971" s="19" t="s">
        <v>391</v>
      </c>
      <c r="C971" s="18">
        <v>2024</v>
      </c>
      <c r="D971" s="18" t="s">
        <v>61</v>
      </c>
      <c r="E971" s="18" t="s">
        <v>79</v>
      </c>
      <c r="F971" s="18" t="s">
        <v>105</v>
      </c>
      <c r="G971" s="18" t="s">
        <v>50</v>
      </c>
      <c r="H971" s="18" t="s">
        <v>97</v>
      </c>
      <c r="I971" s="18" t="s">
        <v>58</v>
      </c>
      <c r="J971" s="18" t="s">
        <v>91</v>
      </c>
      <c r="K971" s="18">
        <v>1</v>
      </c>
      <c r="L971" s="20">
        <v>11544</v>
      </c>
      <c r="M971" s="21">
        <v>0</v>
      </c>
      <c r="N971" s="21">
        <v>0.57441031260672004</v>
      </c>
      <c r="O971" s="20">
        <f t="shared" si="60"/>
        <v>11544</v>
      </c>
      <c r="P971" s="20">
        <f t="shared" si="61"/>
        <v>6630.9926487319763</v>
      </c>
      <c r="Q971" s="20">
        <f t="shared" si="62"/>
        <v>4913.0073512680237</v>
      </c>
      <c r="R971" s="22">
        <f t="shared" si="63"/>
        <v>0.42558968739327996</v>
      </c>
    </row>
    <row r="972" spans="1:18">
      <c r="A972" s="18">
        <v>1971</v>
      </c>
      <c r="B972" s="19" t="s">
        <v>391</v>
      </c>
      <c r="C972" s="18">
        <v>2024</v>
      </c>
      <c r="D972" s="18" t="s">
        <v>61</v>
      </c>
      <c r="E972" s="18" t="s">
        <v>88</v>
      </c>
      <c r="F972" s="18" t="s">
        <v>110</v>
      </c>
      <c r="G972" s="18" t="s">
        <v>50</v>
      </c>
      <c r="H972" s="18" t="s">
        <v>97</v>
      </c>
      <c r="I972" s="18" t="s">
        <v>43</v>
      </c>
      <c r="J972" s="18" t="s">
        <v>102</v>
      </c>
      <c r="K972" s="18">
        <v>3</v>
      </c>
      <c r="L972" s="20">
        <v>11860.75</v>
      </c>
      <c r="M972" s="21">
        <v>0.2</v>
      </c>
      <c r="N972" s="21">
        <v>0.69054739688881706</v>
      </c>
      <c r="O972" s="20">
        <f t="shared" si="60"/>
        <v>28465.800000000003</v>
      </c>
      <c r="P972" s="20">
        <f t="shared" si="61"/>
        <v>19656.984090357691</v>
      </c>
      <c r="Q972" s="20">
        <f t="shared" si="62"/>
        <v>8808.8159096423115</v>
      </c>
      <c r="R972" s="22">
        <f t="shared" si="63"/>
        <v>0.30945260311118289</v>
      </c>
    </row>
    <row r="973" spans="1:18">
      <c r="A973" s="18">
        <v>1972</v>
      </c>
      <c r="B973" s="19" t="s">
        <v>391</v>
      </c>
      <c r="C973" s="18">
        <v>2024</v>
      </c>
      <c r="D973" s="18" t="s">
        <v>61</v>
      </c>
      <c r="E973" s="18" t="s">
        <v>98</v>
      </c>
      <c r="F973" s="18" t="s">
        <v>99</v>
      </c>
      <c r="G973" s="18" t="s">
        <v>44</v>
      </c>
      <c r="H973" s="18" t="s">
        <v>119</v>
      </c>
      <c r="I973" s="18" t="s">
        <v>54</v>
      </c>
      <c r="J973" s="18" t="s">
        <v>82</v>
      </c>
      <c r="K973" s="18">
        <v>12</v>
      </c>
      <c r="L973" s="20">
        <v>7286.22</v>
      </c>
      <c r="M973" s="21">
        <v>0.15</v>
      </c>
      <c r="N973" s="21">
        <v>0.58697796971400196</v>
      </c>
      <c r="O973" s="20">
        <f t="shared" si="60"/>
        <v>74319.444000000003</v>
      </c>
      <c r="P973" s="20">
        <f t="shared" si="61"/>
        <v>43623.876349393468</v>
      </c>
      <c r="Q973" s="20">
        <f t="shared" si="62"/>
        <v>30695.567650606536</v>
      </c>
      <c r="R973" s="22">
        <f t="shared" si="63"/>
        <v>0.41302203028599804</v>
      </c>
    </row>
    <row r="974" spans="1:18">
      <c r="A974" s="18">
        <v>1973</v>
      </c>
      <c r="B974" s="19" t="s">
        <v>392</v>
      </c>
      <c r="C974" s="18">
        <v>2024</v>
      </c>
      <c r="D974" s="18" t="s">
        <v>61</v>
      </c>
      <c r="E974" s="18" t="s">
        <v>85</v>
      </c>
      <c r="F974" s="18" t="s">
        <v>94</v>
      </c>
      <c r="G974" s="18" t="s">
        <v>50</v>
      </c>
      <c r="H974" s="18" t="s">
        <v>83</v>
      </c>
      <c r="I974" s="18" t="s">
        <v>60</v>
      </c>
      <c r="J974" s="18" t="s">
        <v>102</v>
      </c>
      <c r="K974" s="18">
        <v>9</v>
      </c>
      <c r="L974" s="20">
        <v>3574.81</v>
      </c>
      <c r="M974" s="21">
        <v>0.2</v>
      </c>
      <c r="N974" s="21">
        <v>0.57481786571965898</v>
      </c>
      <c r="O974" s="20">
        <f t="shared" si="60"/>
        <v>25738.632000000001</v>
      </c>
      <c r="P974" s="20">
        <f t="shared" si="61"/>
        <v>14795.025512783719</v>
      </c>
      <c r="Q974" s="20">
        <f t="shared" si="62"/>
        <v>10943.606487216282</v>
      </c>
      <c r="R974" s="22">
        <f t="shared" si="63"/>
        <v>0.42518213428034102</v>
      </c>
    </row>
    <row r="975" spans="1:18">
      <c r="A975" s="18">
        <v>1974</v>
      </c>
      <c r="B975" s="19" t="s">
        <v>392</v>
      </c>
      <c r="C975" s="18">
        <v>2024</v>
      </c>
      <c r="D975" s="18" t="s">
        <v>61</v>
      </c>
      <c r="E975" s="18" t="s">
        <v>88</v>
      </c>
      <c r="F975" s="18" t="s">
        <v>93</v>
      </c>
      <c r="G975" s="18" t="s">
        <v>41</v>
      </c>
      <c r="H975" s="18" t="s">
        <v>101</v>
      </c>
      <c r="I975" s="18" t="s">
        <v>62</v>
      </c>
      <c r="J975" s="18" t="s">
        <v>102</v>
      </c>
      <c r="K975" s="18">
        <v>3</v>
      </c>
      <c r="L975" s="20">
        <v>52279.28</v>
      </c>
      <c r="M975" s="21">
        <v>0.1</v>
      </c>
      <c r="N975" s="21">
        <v>0.71010259436711098</v>
      </c>
      <c r="O975" s="20">
        <f t="shared" si="60"/>
        <v>141154.05600000001</v>
      </c>
      <c r="P975" s="20">
        <f t="shared" si="61"/>
        <v>100233.86137104048</v>
      </c>
      <c r="Q975" s="20">
        <f t="shared" si="62"/>
        <v>40920.194628959536</v>
      </c>
      <c r="R975" s="22">
        <f t="shared" si="63"/>
        <v>0.28989740563288902</v>
      </c>
    </row>
    <row r="976" spans="1:18">
      <c r="A976" s="18">
        <v>1975</v>
      </c>
      <c r="B976" s="19" t="s">
        <v>393</v>
      </c>
      <c r="C976" s="18">
        <v>2024</v>
      </c>
      <c r="D976" s="18" t="s">
        <v>61</v>
      </c>
      <c r="E976" s="18" t="s">
        <v>79</v>
      </c>
      <c r="F976" s="18" t="s">
        <v>100</v>
      </c>
      <c r="G976" s="18" t="s">
        <v>44</v>
      </c>
      <c r="H976" s="18" t="s">
        <v>95</v>
      </c>
      <c r="I976" s="18" t="s">
        <v>46</v>
      </c>
      <c r="J976" s="18" t="s">
        <v>82</v>
      </c>
      <c r="K976" s="18">
        <v>9</v>
      </c>
      <c r="L976" s="20">
        <v>4390.54</v>
      </c>
      <c r="M976" s="21">
        <v>0</v>
      </c>
      <c r="N976" s="21">
        <v>0.56692206558574498</v>
      </c>
      <c r="O976" s="20">
        <f t="shared" si="60"/>
        <v>39514.86</v>
      </c>
      <c r="P976" s="20">
        <f t="shared" si="61"/>
        <v>22401.846052531531</v>
      </c>
      <c r="Q976" s="20">
        <f t="shared" si="62"/>
        <v>17113.013947468469</v>
      </c>
      <c r="R976" s="22">
        <f t="shared" si="63"/>
        <v>0.43307793441425502</v>
      </c>
    </row>
    <row r="977" spans="1:18">
      <c r="A977" s="18">
        <v>1976</v>
      </c>
      <c r="B977" s="19" t="s">
        <v>393</v>
      </c>
      <c r="C977" s="18">
        <v>2024</v>
      </c>
      <c r="D977" s="18" t="s">
        <v>61</v>
      </c>
      <c r="E977" s="18" t="s">
        <v>79</v>
      </c>
      <c r="F977" s="18" t="s">
        <v>80</v>
      </c>
      <c r="G977" s="18" t="s">
        <v>47</v>
      </c>
      <c r="H977" s="18" t="s">
        <v>107</v>
      </c>
      <c r="I977" s="18" t="s">
        <v>60</v>
      </c>
      <c r="J977" s="18" t="s">
        <v>82</v>
      </c>
      <c r="K977" s="18">
        <v>7</v>
      </c>
      <c r="L977" s="20">
        <v>2304.96</v>
      </c>
      <c r="M977" s="21">
        <v>0.2</v>
      </c>
      <c r="N977" s="21">
        <v>0.55001711286356603</v>
      </c>
      <c r="O977" s="20">
        <f t="shared" si="60"/>
        <v>12907.776000000002</v>
      </c>
      <c r="P977" s="20">
        <f t="shared" si="61"/>
        <v>7099.4976890096295</v>
      </c>
      <c r="Q977" s="20">
        <f t="shared" si="62"/>
        <v>5808.2783109903721</v>
      </c>
      <c r="R977" s="22">
        <f t="shared" si="63"/>
        <v>0.44998288713643397</v>
      </c>
    </row>
    <row r="978" spans="1:18">
      <c r="A978" s="18">
        <v>1977</v>
      </c>
      <c r="B978" s="19" t="s">
        <v>394</v>
      </c>
      <c r="C978" s="18">
        <v>2024</v>
      </c>
      <c r="D978" s="18" t="s">
        <v>61</v>
      </c>
      <c r="E978" s="18" t="s">
        <v>79</v>
      </c>
      <c r="F978" s="18" t="s">
        <v>80</v>
      </c>
      <c r="G978" s="18" t="s">
        <v>47</v>
      </c>
      <c r="H978" s="18" t="s">
        <v>103</v>
      </c>
      <c r="I978" s="18" t="s">
        <v>60</v>
      </c>
      <c r="J978" s="18" t="s">
        <v>91</v>
      </c>
      <c r="K978" s="18">
        <v>3</v>
      </c>
      <c r="L978" s="20">
        <v>3224.66</v>
      </c>
      <c r="M978" s="21">
        <v>0.2</v>
      </c>
      <c r="N978" s="21">
        <v>0.61258720982472104</v>
      </c>
      <c r="O978" s="20">
        <f t="shared" si="60"/>
        <v>7739.1840000000002</v>
      </c>
      <c r="P978" s="20">
        <f t="shared" si="61"/>
        <v>4740.9251328801238</v>
      </c>
      <c r="Q978" s="20">
        <f t="shared" si="62"/>
        <v>2998.2588671198764</v>
      </c>
      <c r="R978" s="22">
        <f t="shared" si="63"/>
        <v>0.38741279017527896</v>
      </c>
    </row>
    <row r="979" spans="1:18">
      <c r="A979" s="18">
        <v>1978</v>
      </c>
      <c r="B979" s="19" t="s">
        <v>394</v>
      </c>
      <c r="C979" s="18">
        <v>2024</v>
      </c>
      <c r="D979" s="18" t="s">
        <v>61</v>
      </c>
      <c r="E979" s="18" t="s">
        <v>98</v>
      </c>
      <c r="F979" s="18" t="s">
        <v>99</v>
      </c>
      <c r="G979" s="18" t="s">
        <v>44</v>
      </c>
      <c r="H979" s="18" t="s">
        <v>95</v>
      </c>
      <c r="I979" s="18" t="s">
        <v>43</v>
      </c>
      <c r="J979" s="18" t="s">
        <v>102</v>
      </c>
      <c r="K979" s="18">
        <v>1</v>
      </c>
      <c r="L979" s="20">
        <v>4381.7</v>
      </c>
      <c r="M979" s="21">
        <v>0</v>
      </c>
      <c r="N979" s="21">
        <v>0.57833346620158699</v>
      </c>
      <c r="O979" s="20">
        <f t="shared" si="60"/>
        <v>4381.7</v>
      </c>
      <c r="P979" s="20">
        <f t="shared" si="61"/>
        <v>2534.0837488554935</v>
      </c>
      <c r="Q979" s="20">
        <f t="shared" si="62"/>
        <v>1847.6162511445064</v>
      </c>
      <c r="R979" s="22">
        <f t="shared" si="63"/>
        <v>0.42166653379841307</v>
      </c>
    </row>
    <row r="980" spans="1:18">
      <c r="A980" s="18">
        <v>1979</v>
      </c>
      <c r="B980" s="19" t="s">
        <v>394</v>
      </c>
      <c r="C980" s="18">
        <v>2024</v>
      </c>
      <c r="D980" s="18" t="s">
        <v>61</v>
      </c>
      <c r="E980" s="18" t="s">
        <v>88</v>
      </c>
      <c r="F980" s="18" t="s">
        <v>110</v>
      </c>
      <c r="G980" s="18" t="s">
        <v>44</v>
      </c>
      <c r="H980" s="18" t="s">
        <v>95</v>
      </c>
      <c r="I980" s="18" t="s">
        <v>54</v>
      </c>
      <c r="J980" s="18" t="s">
        <v>91</v>
      </c>
      <c r="K980" s="18">
        <v>3</v>
      </c>
      <c r="L980" s="20">
        <v>4603.1000000000004</v>
      </c>
      <c r="M980" s="21">
        <v>0.1</v>
      </c>
      <c r="N980" s="21">
        <v>0.56487193189538798</v>
      </c>
      <c r="O980" s="20">
        <f t="shared" si="60"/>
        <v>12428.37</v>
      </c>
      <c r="P980" s="20">
        <f t="shared" si="61"/>
        <v>7020.4373722106839</v>
      </c>
      <c r="Q980" s="20">
        <f t="shared" si="62"/>
        <v>5407.9326277893169</v>
      </c>
      <c r="R980" s="22">
        <f t="shared" si="63"/>
        <v>0.43512806810461202</v>
      </c>
    </row>
    <row r="981" spans="1:18">
      <c r="A981" s="18">
        <v>1980</v>
      </c>
      <c r="B981" s="19" t="s">
        <v>394</v>
      </c>
      <c r="C981" s="18">
        <v>2024</v>
      </c>
      <c r="D981" s="18" t="s">
        <v>61</v>
      </c>
      <c r="E981" s="18" t="s">
        <v>98</v>
      </c>
      <c r="F981" s="18" t="s">
        <v>109</v>
      </c>
      <c r="G981" s="18" t="s">
        <v>50</v>
      </c>
      <c r="H981" s="18" t="s">
        <v>87</v>
      </c>
      <c r="I981" s="18" t="s">
        <v>46</v>
      </c>
      <c r="J981" s="18" t="s">
        <v>91</v>
      </c>
      <c r="K981" s="18">
        <v>8</v>
      </c>
      <c r="L981" s="20">
        <v>9104.09</v>
      </c>
      <c r="M981" s="21">
        <v>0.05</v>
      </c>
      <c r="N981" s="21">
        <v>0.68530513409576299</v>
      </c>
      <c r="O981" s="20">
        <f t="shared" si="60"/>
        <v>69191.084000000003</v>
      </c>
      <c r="P981" s="20">
        <f t="shared" si="61"/>
        <v>47417.005098851201</v>
      </c>
      <c r="Q981" s="20">
        <f t="shared" si="62"/>
        <v>21774.078901148801</v>
      </c>
      <c r="R981" s="22">
        <f t="shared" si="63"/>
        <v>0.31469486590423701</v>
      </c>
    </row>
    <row r="982" spans="1:18">
      <c r="A982" s="18">
        <v>1981</v>
      </c>
      <c r="B982" s="19" t="s">
        <v>395</v>
      </c>
      <c r="C982" s="18">
        <v>2024</v>
      </c>
      <c r="D982" s="18" t="s">
        <v>61</v>
      </c>
      <c r="E982" s="18" t="s">
        <v>88</v>
      </c>
      <c r="F982" s="18" t="s">
        <v>110</v>
      </c>
      <c r="G982" s="18" t="s">
        <v>47</v>
      </c>
      <c r="H982" s="18" t="s">
        <v>103</v>
      </c>
      <c r="I982" s="18" t="s">
        <v>49</v>
      </c>
      <c r="J982" s="18" t="s">
        <v>102</v>
      </c>
      <c r="K982" s="18">
        <v>6</v>
      </c>
      <c r="L982" s="20">
        <v>3220.37</v>
      </c>
      <c r="M982" s="21">
        <v>0.2</v>
      </c>
      <c r="N982" s="21">
        <v>0.71410164164219403</v>
      </c>
      <c r="O982" s="20">
        <f t="shared" si="60"/>
        <v>15457.776000000002</v>
      </c>
      <c r="P982" s="20">
        <f t="shared" si="61"/>
        <v>11038.423217737309</v>
      </c>
      <c r="Q982" s="20">
        <f t="shared" si="62"/>
        <v>4419.3527822626929</v>
      </c>
      <c r="R982" s="22">
        <f t="shared" si="63"/>
        <v>0.28589835835780597</v>
      </c>
    </row>
    <row r="983" spans="1:18">
      <c r="A983" s="18">
        <v>1982</v>
      </c>
      <c r="B983" s="19" t="s">
        <v>395</v>
      </c>
      <c r="C983" s="18">
        <v>2024</v>
      </c>
      <c r="D983" s="18" t="s">
        <v>61</v>
      </c>
      <c r="E983" s="18" t="s">
        <v>88</v>
      </c>
      <c r="F983" s="18" t="s">
        <v>89</v>
      </c>
      <c r="G983" s="18" t="s">
        <v>44</v>
      </c>
      <c r="H983" s="18" t="s">
        <v>114</v>
      </c>
      <c r="I983" s="18" t="s">
        <v>56</v>
      </c>
      <c r="J983" s="18" t="s">
        <v>91</v>
      </c>
      <c r="K983" s="18">
        <v>1</v>
      </c>
      <c r="L983" s="20">
        <v>9417.6200000000008</v>
      </c>
      <c r="M983" s="21">
        <v>0</v>
      </c>
      <c r="N983" s="21">
        <v>0.565504919395037</v>
      </c>
      <c r="O983" s="20">
        <f t="shared" si="60"/>
        <v>9417.6200000000008</v>
      </c>
      <c r="P983" s="20">
        <f t="shared" si="61"/>
        <v>5325.7104389930892</v>
      </c>
      <c r="Q983" s="20">
        <f t="shared" si="62"/>
        <v>4091.9095610069116</v>
      </c>
      <c r="R983" s="22">
        <f t="shared" si="63"/>
        <v>0.43449508060496295</v>
      </c>
    </row>
    <row r="984" spans="1:18">
      <c r="A984" s="18">
        <v>1983</v>
      </c>
      <c r="B984" s="19" t="s">
        <v>395</v>
      </c>
      <c r="C984" s="18">
        <v>2024</v>
      </c>
      <c r="D984" s="18" t="s">
        <v>61</v>
      </c>
      <c r="E984" s="18" t="s">
        <v>79</v>
      </c>
      <c r="F984" s="18" t="s">
        <v>80</v>
      </c>
      <c r="G984" s="18" t="s">
        <v>41</v>
      </c>
      <c r="H984" s="18" t="s">
        <v>112</v>
      </c>
      <c r="I984" s="18" t="s">
        <v>43</v>
      </c>
      <c r="J984" s="18" t="s">
        <v>91</v>
      </c>
      <c r="K984" s="18">
        <v>11</v>
      </c>
      <c r="L984" s="20">
        <v>5753.38</v>
      </c>
      <c r="M984" s="21">
        <v>0.05</v>
      </c>
      <c r="N984" s="21">
        <v>0.70561419021077898</v>
      </c>
      <c r="O984" s="20">
        <f t="shared" si="60"/>
        <v>60122.820999999996</v>
      </c>
      <c r="P984" s="20">
        <f t="shared" si="61"/>
        <v>42423.515653102615</v>
      </c>
      <c r="Q984" s="20">
        <f t="shared" si="62"/>
        <v>17699.305346897381</v>
      </c>
      <c r="R984" s="22">
        <f t="shared" si="63"/>
        <v>0.29438580978922102</v>
      </c>
    </row>
    <row r="985" spans="1:18">
      <c r="A985" s="18">
        <v>1984</v>
      </c>
      <c r="B985" s="19" t="s">
        <v>396</v>
      </c>
      <c r="C985" s="18">
        <v>2024</v>
      </c>
      <c r="D985" s="18" t="s">
        <v>61</v>
      </c>
      <c r="E985" s="18" t="s">
        <v>88</v>
      </c>
      <c r="F985" s="18" t="s">
        <v>89</v>
      </c>
      <c r="G985" s="18" t="s">
        <v>41</v>
      </c>
      <c r="H985" s="18" t="s">
        <v>90</v>
      </c>
      <c r="I985" s="18" t="s">
        <v>56</v>
      </c>
      <c r="J985" s="18" t="s">
        <v>82</v>
      </c>
      <c r="K985" s="18">
        <v>7</v>
      </c>
      <c r="L985" s="20">
        <v>18813.21</v>
      </c>
      <c r="M985" s="21">
        <v>0</v>
      </c>
      <c r="N985" s="21">
        <v>0.585146274457091</v>
      </c>
      <c r="O985" s="20">
        <f t="shared" si="60"/>
        <v>131692.47</v>
      </c>
      <c r="P985" s="20">
        <f t="shared" si="61"/>
        <v>77059.358194552216</v>
      </c>
      <c r="Q985" s="20">
        <f t="shared" si="62"/>
        <v>54633.111805447785</v>
      </c>
      <c r="R985" s="22">
        <f t="shared" si="63"/>
        <v>0.41485372554290906</v>
      </c>
    </row>
    <row r="986" spans="1:18">
      <c r="A986" s="18">
        <v>1985</v>
      </c>
      <c r="B986" s="19" t="s">
        <v>396</v>
      </c>
      <c r="C986" s="18">
        <v>2024</v>
      </c>
      <c r="D986" s="18" t="s">
        <v>61</v>
      </c>
      <c r="E986" s="18" t="s">
        <v>98</v>
      </c>
      <c r="F986" s="18" t="s">
        <v>99</v>
      </c>
      <c r="G986" s="18" t="s">
        <v>50</v>
      </c>
      <c r="H986" s="18" t="s">
        <v>83</v>
      </c>
      <c r="I986" s="18" t="s">
        <v>60</v>
      </c>
      <c r="J986" s="18" t="s">
        <v>91</v>
      </c>
      <c r="K986" s="18">
        <v>12</v>
      </c>
      <c r="L986" s="20">
        <v>3525.26</v>
      </c>
      <c r="M986" s="21">
        <v>0.05</v>
      </c>
      <c r="N986" s="21">
        <v>0.660308446393987</v>
      </c>
      <c r="O986" s="20">
        <f t="shared" si="60"/>
        <v>40187.964</v>
      </c>
      <c r="P986" s="20">
        <f t="shared" si="61"/>
        <v>26536.452072577478</v>
      </c>
      <c r="Q986" s="20">
        <f t="shared" si="62"/>
        <v>13651.511927422522</v>
      </c>
      <c r="R986" s="22">
        <f t="shared" si="63"/>
        <v>0.33969155360601305</v>
      </c>
    </row>
    <row r="987" spans="1:18">
      <c r="A987" s="18">
        <v>1986</v>
      </c>
      <c r="B987" s="19" t="s">
        <v>396</v>
      </c>
      <c r="C987" s="18">
        <v>2024</v>
      </c>
      <c r="D987" s="18" t="s">
        <v>61</v>
      </c>
      <c r="E987" s="18" t="s">
        <v>79</v>
      </c>
      <c r="F987" s="18" t="s">
        <v>100</v>
      </c>
      <c r="G987" s="18" t="s">
        <v>44</v>
      </c>
      <c r="H987" s="18" t="s">
        <v>114</v>
      </c>
      <c r="I987" s="18" t="s">
        <v>56</v>
      </c>
      <c r="J987" s="18" t="s">
        <v>82</v>
      </c>
      <c r="K987" s="18">
        <v>6</v>
      </c>
      <c r="L987" s="20">
        <v>9275.48</v>
      </c>
      <c r="M987" s="21">
        <v>0.2</v>
      </c>
      <c r="N987" s="21">
        <v>0.74360005675069596</v>
      </c>
      <c r="O987" s="20">
        <f t="shared" si="60"/>
        <v>44522.304000000004</v>
      </c>
      <c r="P987" s="20">
        <f t="shared" si="61"/>
        <v>33106.78778107174</v>
      </c>
      <c r="Q987" s="20">
        <f t="shared" si="62"/>
        <v>11415.516218928264</v>
      </c>
      <c r="R987" s="22">
        <f t="shared" si="63"/>
        <v>0.25639994324930404</v>
      </c>
    </row>
    <row r="988" spans="1:18">
      <c r="A988" s="18">
        <v>1987</v>
      </c>
      <c r="B988" s="19" t="s">
        <v>397</v>
      </c>
      <c r="C988" s="18">
        <v>2024</v>
      </c>
      <c r="D988" s="18" t="s">
        <v>61</v>
      </c>
      <c r="E988" s="18" t="s">
        <v>85</v>
      </c>
      <c r="F988" s="18" t="s">
        <v>94</v>
      </c>
      <c r="G988" s="18" t="s">
        <v>44</v>
      </c>
      <c r="H988" s="18" t="s">
        <v>114</v>
      </c>
      <c r="I988" s="18" t="s">
        <v>40</v>
      </c>
      <c r="J988" s="18" t="s">
        <v>102</v>
      </c>
      <c r="K988" s="18">
        <v>9</v>
      </c>
      <c r="L988" s="20">
        <v>9191.9</v>
      </c>
      <c r="M988" s="21">
        <v>0.2</v>
      </c>
      <c r="N988" s="21">
        <v>0.57527367195884904</v>
      </c>
      <c r="O988" s="20">
        <f t="shared" si="60"/>
        <v>66181.679999999993</v>
      </c>
      <c r="P988" s="20">
        <f t="shared" si="61"/>
        <v>38072.578070005518</v>
      </c>
      <c r="Q988" s="20">
        <f t="shared" si="62"/>
        <v>28109.101929994475</v>
      </c>
      <c r="R988" s="22">
        <f t="shared" si="63"/>
        <v>0.4247263280411509</v>
      </c>
    </row>
    <row r="989" spans="1:18">
      <c r="A989" s="18">
        <v>1988</v>
      </c>
      <c r="B989" s="19" t="s">
        <v>397</v>
      </c>
      <c r="C989" s="18">
        <v>2024</v>
      </c>
      <c r="D989" s="18" t="s">
        <v>61</v>
      </c>
      <c r="E989" s="18" t="s">
        <v>85</v>
      </c>
      <c r="F989" s="18" t="s">
        <v>94</v>
      </c>
      <c r="G989" s="18" t="s">
        <v>47</v>
      </c>
      <c r="H989" s="18" t="s">
        <v>81</v>
      </c>
      <c r="I989" s="18" t="s">
        <v>54</v>
      </c>
      <c r="J989" s="18" t="s">
        <v>102</v>
      </c>
      <c r="K989" s="18">
        <v>4</v>
      </c>
      <c r="L989" s="20">
        <v>814.26</v>
      </c>
      <c r="M989" s="21">
        <v>0.1</v>
      </c>
      <c r="N989" s="21">
        <v>0.69135735252169805</v>
      </c>
      <c r="O989" s="20">
        <f t="shared" si="60"/>
        <v>2931.3360000000002</v>
      </c>
      <c r="P989" s="20">
        <f t="shared" si="61"/>
        <v>2026.6006963115444</v>
      </c>
      <c r="Q989" s="20">
        <f t="shared" si="62"/>
        <v>904.73530368845582</v>
      </c>
      <c r="R989" s="22">
        <f t="shared" si="63"/>
        <v>0.30864264747830195</v>
      </c>
    </row>
    <row r="990" spans="1:18">
      <c r="A990" s="18">
        <v>1989</v>
      </c>
      <c r="B990" s="19" t="s">
        <v>397</v>
      </c>
      <c r="C990" s="18">
        <v>2024</v>
      </c>
      <c r="D990" s="18" t="s">
        <v>61</v>
      </c>
      <c r="E990" s="18" t="s">
        <v>88</v>
      </c>
      <c r="F990" s="18" t="s">
        <v>89</v>
      </c>
      <c r="G990" s="18" t="s">
        <v>47</v>
      </c>
      <c r="H990" s="18" t="s">
        <v>107</v>
      </c>
      <c r="I990" s="18" t="s">
        <v>60</v>
      </c>
      <c r="J990" s="18" t="s">
        <v>91</v>
      </c>
      <c r="K990" s="18">
        <v>5</v>
      </c>
      <c r="L990" s="20">
        <v>2299.58</v>
      </c>
      <c r="M990" s="21">
        <v>0.15</v>
      </c>
      <c r="N990" s="21">
        <v>0.73833540189037705</v>
      </c>
      <c r="O990" s="20">
        <f t="shared" si="60"/>
        <v>9773.2150000000001</v>
      </c>
      <c r="P990" s="20">
        <f t="shared" si="61"/>
        <v>7215.9106247860618</v>
      </c>
      <c r="Q990" s="20">
        <f t="shared" si="62"/>
        <v>2557.3043752139383</v>
      </c>
      <c r="R990" s="22">
        <f t="shared" si="63"/>
        <v>0.26166459810962289</v>
      </c>
    </row>
    <row r="991" spans="1:18">
      <c r="A991" s="18">
        <v>1990</v>
      </c>
      <c r="B991" s="19" t="s">
        <v>397</v>
      </c>
      <c r="C991" s="18">
        <v>2024</v>
      </c>
      <c r="D991" s="18" t="s">
        <v>61</v>
      </c>
      <c r="E991" s="18" t="s">
        <v>88</v>
      </c>
      <c r="F991" s="18" t="s">
        <v>89</v>
      </c>
      <c r="G991" s="18" t="s">
        <v>41</v>
      </c>
      <c r="H991" s="18" t="s">
        <v>106</v>
      </c>
      <c r="I991" s="18" t="s">
        <v>56</v>
      </c>
      <c r="J991" s="18" t="s">
        <v>91</v>
      </c>
      <c r="K991" s="18">
        <v>2</v>
      </c>
      <c r="L991" s="20">
        <v>2533.67</v>
      </c>
      <c r="M991" s="21">
        <v>0</v>
      </c>
      <c r="N991" s="21">
        <v>0.69599060601001494</v>
      </c>
      <c r="O991" s="20">
        <f t="shared" si="60"/>
        <v>5067.34</v>
      </c>
      <c r="P991" s="20">
        <f t="shared" si="61"/>
        <v>3526.8210374587893</v>
      </c>
      <c r="Q991" s="20">
        <f t="shared" si="62"/>
        <v>1540.5189625412108</v>
      </c>
      <c r="R991" s="22">
        <f t="shared" si="63"/>
        <v>0.30400939398998506</v>
      </c>
    </row>
    <row r="992" spans="1:18">
      <c r="A992" s="18">
        <v>1991</v>
      </c>
      <c r="B992" s="19" t="s">
        <v>397</v>
      </c>
      <c r="C992" s="18">
        <v>2024</v>
      </c>
      <c r="D992" s="18" t="s">
        <v>61</v>
      </c>
      <c r="E992" s="18" t="s">
        <v>79</v>
      </c>
      <c r="F992" s="18" t="s">
        <v>100</v>
      </c>
      <c r="G992" s="18" t="s">
        <v>41</v>
      </c>
      <c r="H992" s="18" t="s">
        <v>90</v>
      </c>
      <c r="I992" s="18" t="s">
        <v>52</v>
      </c>
      <c r="J992" s="18" t="s">
        <v>102</v>
      </c>
      <c r="K992" s="18">
        <v>8</v>
      </c>
      <c r="L992" s="20">
        <v>18555.02</v>
      </c>
      <c r="M992" s="21">
        <v>0</v>
      </c>
      <c r="N992" s="21">
        <v>0.742433266264791</v>
      </c>
      <c r="O992" s="20">
        <f t="shared" si="60"/>
        <v>148440.16</v>
      </c>
      <c r="P992" s="20">
        <f t="shared" si="61"/>
        <v>110206.91283366818</v>
      </c>
      <c r="Q992" s="20">
        <f t="shared" si="62"/>
        <v>38233.247166331828</v>
      </c>
      <c r="R992" s="22">
        <f t="shared" si="63"/>
        <v>0.25756673373520905</v>
      </c>
    </row>
    <row r="993" spans="1:18">
      <c r="A993" s="18">
        <v>1992</v>
      </c>
      <c r="B993" s="19" t="s">
        <v>398</v>
      </c>
      <c r="C993" s="18">
        <v>2024</v>
      </c>
      <c r="D993" s="18" t="s">
        <v>61</v>
      </c>
      <c r="E993" s="18" t="s">
        <v>88</v>
      </c>
      <c r="F993" s="18" t="s">
        <v>89</v>
      </c>
      <c r="G993" s="18" t="s">
        <v>50</v>
      </c>
      <c r="H993" s="18" t="s">
        <v>87</v>
      </c>
      <c r="I993" s="18" t="s">
        <v>60</v>
      </c>
      <c r="J993" s="18" t="s">
        <v>102</v>
      </c>
      <c r="K993" s="18">
        <v>2</v>
      </c>
      <c r="L993" s="20">
        <v>9410.2000000000007</v>
      </c>
      <c r="M993" s="21">
        <v>0.15</v>
      </c>
      <c r="N993" s="21">
        <v>0.588036800788174</v>
      </c>
      <c r="O993" s="20">
        <f t="shared" si="60"/>
        <v>15997.34</v>
      </c>
      <c r="P993" s="20">
        <f t="shared" si="61"/>
        <v>9407.0246347206867</v>
      </c>
      <c r="Q993" s="20">
        <f t="shared" si="62"/>
        <v>6590.3153652793135</v>
      </c>
      <c r="R993" s="22">
        <f t="shared" si="63"/>
        <v>0.41196319921182606</v>
      </c>
    </row>
    <row r="994" spans="1:18">
      <c r="A994" s="18">
        <v>1993</v>
      </c>
      <c r="B994" s="19" t="s">
        <v>398</v>
      </c>
      <c r="C994" s="18">
        <v>2024</v>
      </c>
      <c r="D994" s="18" t="s">
        <v>61</v>
      </c>
      <c r="E994" s="18" t="s">
        <v>79</v>
      </c>
      <c r="F994" s="18" t="s">
        <v>80</v>
      </c>
      <c r="G994" s="18" t="s">
        <v>50</v>
      </c>
      <c r="H994" s="18" t="s">
        <v>87</v>
      </c>
      <c r="I994" s="18" t="s">
        <v>60</v>
      </c>
      <c r="J994" s="18" t="s">
        <v>102</v>
      </c>
      <c r="K994" s="18">
        <v>6</v>
      </c>
      <c r="L994" s="20">
        <v>9257.01</v>
      </c>
      <c r="M994" s="21">
        <v>0.2</v>
      </c>
      <c r="N994" s="21">
        <v>0.68223482214043796</v>
      </c>
      <c r="O994" s="20">
        <f t="shared" si="60"/>
        <v>44433.648000000001</v>
      </c>
      <c r="P994" s="20">
        <f t="shared" si="61"/>
        <v>30314.181940330829</v>
      </c>
      <c r="Q994" s="20">
        <f t="shared" si="62"/>
        <v>14119.466059669172</v>
      </c>
      <c r="R994" s="22">
        <f t="shared" si="63"/>
        <v>0.31776517785956199</v>
      </c>
    </row>
    <row r="995" spans="1:18">
      <c r="A995" s="18">
        <v>1994</v>
      </c>
      <c r="B995" s="19" t="s">
        <v>398</v>
      </c>
      <c r="C995" s="18">
        <v>2024</v>
      </c>
      <c r="D995" s="18" t="s">
        <v>61</v>
      </c>
      <c r="E995" s="18" t="s">
        <v>79</v>
      </c>
      <c r="F995" s="18" t="s">
        <v>80</v>
      </c>
      <c r="G995" s="18" t="s">
        <v>50</v>
      </c>
      <c r="H995" s="18" t="s">
        <v>83</v>
      </c>
      <c r="I995" s="18" t="s">
        <v>60</v>
      </c>
      <c r="J995" s="18" t="s">
        <v>82</v>
      </c>
      <c r="K995" s="18">
        <v>3</v>
      </c>
      <c r="L995" s="20">
        <v>3351.29</v>
      </c>
      <c r="M995" s="21">
        <v>0</v>
      </c>
      <c r="N995" s="21">
        <v>0.65273689680292002</v>
      </c>
      <c r="O995" s="20">
        <f t="shared" si="60"/>
        <v>10053.869999999999</v>
      </c>
      <c r="P995" s="20">
        <f t="shared" si="61"/>
        <v>6562.5319046599725</v>
      </c>
      <c r="Q995" s="20">
        <f t="shared" si="62"/>
        <v>3491.3380953400265</v>
      </c>
      <c r="R995" s="22">
        <f t="shared" si="63"/>
        <v>0.34726310319708004</v>
      </c>
    </row>
    <row r="996" spans="1:18">
      <c r="A996" s="18">
        <v>1995</v>
      </c>
      <c r="B996" s="19" t="s">
        <v>398</v>
      </c>
      <c r="C996" s="18">
        <v>2024</v>
      </c>
      <c r="D996" s="18" t="s">
        <v>61</v>
      </c>
      <c r="E996" s="18" t="s">
        <v>79</v>
      </c>
      <c r="F996" s="18" t="s">
        <v>105</v>
      </c>
      <c r="G996" s="18" t="s">
        <v>50</v>
      </c>
      <c r="H996" s="18" t="s">
        <v>97</v>
      </c>
      <c r="I996" s="18" t="s">
        <v>46</v>
      </c>
      <c r="J996" s="18" t="s">
        <v>91</v>
      </c>
      <c r="K996" s="18">
        <v>2</v>
      </c>
      <c r="L996" s="20">
        <v>11805.55</v>
      </c>
      <c r="M996" s="21">
        <v>0.2</v>
      </c>
      <c r="N996" s="21">
        <v>0.59995304470021504</v>
      </c>
      <c r="O996" s="20">
        <f t="shared" si="60"/>
        <v>18888.88</v>
      </c>
      <c r="P996" s="20">
        <f t="shared" si="61"/>
        <v>11332.441066976999</v>
      </c>
      <c r="Q996" s="20">
        <f t="shared" si="62"/>
        <v>7556.4389330230024</v>
      </c>
      <c r="R996" s="22">
        <f t="shared" si="63"/>
        <v>0.40004695529978496</v>
      </c>
    </row>
    <row r="997" spans="1:18">
      <c r="A997" s="18">
        <v>1996</v>
      </c>
      <c r="B997" s="19" t="s">
        <v>398</v>
      </c>
      <c r="C997" s="18">
        <v>2024</v>
      </c>
      <c r="D997" s="18" t="s">
        <v>61</v>
      </c>
      <c r="E997" s="18" t="s">
        <v>79</v>
      </c>
      <c r="F997" s="18" t="s">
        <v>105</v>
      </c>
      <c r="G997" s="18" t="s">
        <v>47</v>
      </c>
      <c r="H997" s="18" t="s">
        <v>107</v>
      </c>
      <c r="I997" s="18" t="s">
        <v>52</v>
      </c>
      <c r="J997" s="18" t="s">
        <v>91</v>
      </c>
      <c r="K997" s="18">
        <v>4</v>
      </c>
      <c r="L997" s="20">
        <v>2090.4899999999998</v>
      </c>
      <c r="M997" s="21">
        <v>0.2</v>
      </c>
      <c r="N997" s="21">
        <v>0.66376838891747802</v>
      </c>
      <c r="O997" s="20">
        <f t="shared" si="60"/>
        <v>6689.5679999999993</v>
      </c>
      <c r="P997" s="20">
        <f t="shared" si="61"/>
        <v>4440.3237739139149</v>
      </c>
      <c r="Q997" s="20">
        <f t="shared" si="62"/>
        <v>2249.2442260860844</v>
      </c>
      <c r="R997" s="22">
        <f t="shared" si="63"/>
        <v>0.33623161108252203</v>
      </c>
    </row>
    <row r="998" spans="1:18">
      <c r="A998" s="18">
        <v>1997</v>
      </c>
      <c r="B998" s="19" t="s">
        <v>399</v>
      </c>
      <c r="C998" s="18">
        <v>2024</v>
      </c>
      <c r="D998" s="18" t="s">
        <v>61</v>
      </c>
      <c r="E998" s="18" t="s">
        <v>98</v>
      </c>
      <c r="F998" s="18" t="s">
        <v>99</v>
      </c>
      <c r="G998" s="18" t="s">
        <v>41</v>
      </c>
      <c r="H998" s="18" t="s">
        <v>112</v>
      </c>
      <c r="I998" s="18" t="s">
        <v>62</v>
      </c>
      <c r="J998" s="18" t="s">
        <v>91</v>
      </c>
      <c r="K998" s="18">
        <v>1</v>
      </c>
      <c r="L998" s="20">
        <v>5913.45</v>
      </c>
      <c r="M998" s="21">
        <v>0.15</v>
      </c>
      <c r="N998" s="21">
        <v>0.64207077522360101</v>
      </c>
      <c r="O998" s="20">
        <f t="shared" si="60"/>
        <v>5026.4324999999999</v>
      </c>
      <c r="P998" s="20">
        <f t="shared" si="61"/>
        <v>3227.3254118841028</v>
      </c>
      <c r="Q998" s="20">
        <f t="shared" si="62"/>
        <v>1799.1070881158971</v>
      </c>
      <c r="R998" s="22">
        <f t="shared" si="63"/>
        <v>0.35792922477639899</v>
      </c>
    </row>
    <row r="999" spans="1:18">
      <c r="A999" s="18">
        <v>1998</v>
      </c>
      <c r="B999" s="19" t="s">
        <v>399</v>
      </c>
      <c r="C999" s="18">
        <v>2024</v>
      </c>
      <c r="D999" s="18" t="s">
        <v>61</v>
      </c>
      <c r="E999" s="18" t="s">
        <v>98</v>
      </c>
      <c r="F999" s="18" t="s">
        <v>109</v>
      </c>
      <c r="G999" s="18" t="s">
        <v>41</v>
      </c>
      <c r="H999" s="18" t="s">
        <v>90</v>
      </c>
      <c r="I999" s="18" t="s">
        <v>54</v>
      </c>
      <c r="J999" s="18" t="s">
        <v>102</v>
      </c>
      <c r="K999" s="18">
        <v>3</v>
      </c>
      <c r="L999" s="20">
        <v>17823.72</v>
      </c>
      <c r="M999" s="21">
        <v>0</v>
      </c>
      <c r="N999" s="21">
        <v>0.57026755575955501</v>
      </c>
      <c r="O999" s="20">
        <f t="shared" si="60"/>
        <v>53471.16</v>
      </c>
      <c r="P999" s="20">
        <f t="shared" si="61"/>
        <v>30492.867716828088</v>
      </c>
      <c r="Q999" s="20">
        <f t="shared" si="62"/>
        <v>22978.292283171915</v>
      </c>
      <c r="R999" s="22">
        <f t="shared" si="63"/>
        <v>0.42973244424044499</v>
      </c>
    </row>
    <row r="1000" spans="1:18">
      <c r="A1000" s="18">
        <v>1999</v>
      </c>
      <c r="B1000" s="19" t="s">
        <v>399</v>
      </c>
      <c r="C1000" s="18">
        <v>2024</v>
      </c>
      <c r="D1000" s="18" t="s">
        <v>61</v>
      </c>
      <c r="E1000" s="18" t="s">
        <v>85</v>
      </c>
      <c r="F1000" s="18" t="s">
        <v>86</v>
      </c>
      <c r="G1000" s="18" t="s">
        <v>41</v>
      </c>
      <c r="H1000" s="18" t="s">
        <v>101</v>
      </c>
      <c r="I1000" s="18" t="s">
        <v>56</v>
      </c>
      <c r="J1000" s="18" t="s">
        <v>82</v>
      </c>
      <c r="K1000" s="18">
        <v>8</v>
      </c>
      <c r="L1000" s="20">
        <v>52288.01</v>
      </c>
      <c r="M1000" s="21">
        <v>0.2</v>
      </c>
      <c r="N1000" s="21">
        <v>0.60002695057704303</v>
      </c>
      <c r="O1000" s="20">
        <f t="shared" si="60"/>
        <v>334643.26400000002</v>
      </c>
      <c r="P1000" s="20">
        <f t="shared" si="61"/>
        <v>200794.97722906838</v>
      </c>
      <c r="Q1000" s="20">
        <f t="shared" si="62"/>
        <v>133848.28677093165</v>
      </c>
      <c r="R1000" s="22">
        <f t="shared" si="63"/>
        <v>0.39997304942295697</v>
      </c>
    </row>
    <row r="1001" spans="1:18">
      <c r="A1001" s="18">
        <v>2000</v>
      </c>
      <c r="B1001" s="19" t="s">
        <v>400</v>
      </c>
      <c r="C1001" s="18">
        <v>2024</v>
      </c>
      <c r="D1001" s="18" t="s">
        <v>61</v>
      </c>
      <c r="E1001" s="18" t="s">
        <v>85</v>
      </c>
      <c r="F1001" s="18" t="s">
        <v>121</v>
      </c>
      <c r="G1001" s="18" t="s">
        <v>47</v>
      </c>
      <c r="H1001" s="18" t="s">
        <v>107</v>
      </c>
      <c r="I1001" s="18" t="s">
        <v>56</v>
      </c>
      <c r="J1001" s="18" t="s">
        <v>82</v>
      </c>
      <c r="K1001" s="18">
        <v>9</v>
      </c>
      <c r="L1001" s="20">
        <v>2268.54</v>
      </c>
      <c r="M1001" s="21">
        <v>0</v>
      </c>
      <c r="N1001" s="21">
        <v>0.74787384933020495</v>
      </c>
      <c r="O1001" s="20">
        <f t="shared" si="60"/>
        <v>20416.86</v>
      </c>
      <c r="P1001" s="20">
        <f t="shared" si="61"/>
        <v>15269.235679435889</v>
      </c>
      <c r="Q1001" s="20">
        <f t="shared" si="62"/>
        <v>5147.6243205641113</v>
      </c>
      <c r="R1001" s="22">
        <f t="shared" si="63"/>
        <v>0.25212615066979499</v>
      </c>
    </row>
    <row r="1002" spans="1:18">
      <c r="A1002" s="18">
        <v>2001</v>
      </c>
      <c r="B1002" s="19" t="s">
        <v>400</v>
      </c>
      <c r="C1002" s="18">
        <v>2024</v>
      </c>
      <c r="D1002" s="18" t="s">
        <v>61</v>
      </c>
      <c r="E1002" s="18" t="s">
        <v>85</v>
      </c>
      <c r="F1002" s="18" t="s">
        <v>86</v>
      </c>
      <c r="G1002" s="18" t="s">
        <v>44</v>
      </c>
      <c r="H1002" s="18" t="s">
        <v>114</v>
      </c>
      <c r="I1002" s="18" t="s">
        <v>56</v>
      </c>
      <c r="J1002" s="18" t="s">
        <v>82</v>
      </c>
      <c r="K1002" s="18">
        <v>6</v>
      </c>
      <c r="L1002" s="20">
        <v>9345.2199999999993</v>
      </c>
      <c r="M1002" s="21">
        <v>0.2</v>
      </c>
      <c r="N1002" s="21">
        <v>0.58969292359153302</v>
      </c>
      <c r="O1002" s="20">
        <f t="shared" si="60"/>
        <v>44857.055999999997</v>
      </c>
      <c r="P1002" s="20">
        <f t="shared" si="61"/>
        <v>26451.888496349115</v>
      </c>
      <c r="Q1002" s="20">
        <f t="shared" si="62"/>
        <v>18405.167503650882</v>
      </c>
      <c r="R1002" s="22">
        <f t="shared" si="63"/>
        <v>0.41030707640846703</v>
      </c>
    </row>
    <row r="1003" spans="1:18">
      <c r="A1003" s="18">
        <v>2002</v>
      </c>
      <c r="B1003" s="19" t="s">
        <v>400</v>
      </c>
      <c r="C1003" s="18">
        <v>2024</v>
      </c>
      <c r="D1003" s="18" t="s">
        <v>61</v>
      </c>
      <c r="E1003" s="18" t="s">
        <v>88</v>
      </c>
      <c r="F1003" s="18" t="s">
        <v>89</v>
      </c>
      <c r="G1003" s="18" t="s">
        <v>41</v>
      </c>
      <c r="H1003" s="18" t="s">
        <v>101</v>
      </c>
      <c r="I1003" s="18" t="s">
        <v>56</v>
      </c>
      <c r="J1003" s="18" t="s">
        <v>91</v>
      </c>
      <c r="K1003" s="18">
        <v>12</v>
      </c>
      <c r="L1003" s="20">
        <v>54071.67</v>
      </c>
      <c r="M1003" s="21">
        <v>0</v>
      </c>
      <c r="N1003" s="21">
        <v>0.58206250021786199</v>
      </c>
      <c r="O1003" s="20">
        <f t="shared" si="60"/>
        <v>648860.04</v>
      </c>
      <c r="P1003" s="20">
        <f t="shared" si="61"/>
        <v>377677.09717386198</v>
      </c>
      <c r="Q1003" s="20">
        <f t="shared" si="62"/>
        <v>271182.94282613805</v>
      </c>
      <c r="R1003" s="22">
        <f t="shared" si="63"/>
        <v>0.41793749978213796</v>
      </c>
    </row>
    <row r="1004" spans="1:18">
      <c r="A1004" s="18">
        <v>2003</v>
      </c>
      <c r="B1004" s="19" t="s">
        <v>400</v>
      </c>
      <c r="C1004" s="18">
        <v>2024</v>
      </c>
      <c r="D1004" s="18" t="s">
        <v>61</v>
      </c>
      <c r="E1004" s="18" t="s">
        <v>88</v>
      </c>
      <c r="F1004" s="18" t="s">
        <v>89</v>
      </c>
      <c r="G1004" s="18" t="s">
        <v>47</v>
      </c>
      <c r="H1004" s="18" t="s">
        <v>81</v>
      </c>
      <c r="I1004" s="18" t="s">
        <v>56</v>
      </c>
      <c r="J1004" s="18" t="s">
        <v>91</v>
      </c>
      <c r="K1004" s="18">
        <v>9</v>
      </c>
      <c r="L1004" s="20">
        <v>799.65</v>
      </c>
      <c r="M1004" s="21">
        <v>0.2</v>
      </c>
      <c r="N1004" s="21">
        <v>0.69286419172202596</v>
      </c>
      <c r="O1004" s="20">
        <f t="shared" si="60"/>
        <v>5757.48</v>
      </c>
      <c r="P1004" s="20">
        <f t="shared" si="61"/>
        <v>3989.1517265557295</v>
      </c>
      <c r="Q1004" s="20">
        <f t="shared" si="62"/>
        <v>1768.3282734442701</v>
      </c>
      <c r="R1004" s="22">
        <f t="shared" si="63"/>
        <v>0.3071358082779741</v>
      </c>
    </row>
    <row r="1005" spans="1:18">
      <c r="A1005" s="18">
        <v>2004</v>
      </c>
      <c r="B1005" s="19" t="s">
        <v>400</v>
      </c>
      <c r="C1005" s="18">
        <v>2024</v>
      </c>
      <c r="D1005" s="18" t="s">
        <v>61</v>
      </c>
      <c r="E1005" s="18" t="s">
        <v>98</v>
      </c>
      <c r="F1005" s="18" t="s">
        <v>109</v>
      </c>
      <c r="G1005" s="18" t="s">
        <v>50</v>
      </c>
      <c r="H1005" s="18" t="s">
        <v>83</v>
      </c>
      <c r="I1005" s="18" t="s">
        <v>43</v>
      </c>
      <c r="J1005" s="18" t="s">
        <v>82</v>
      </c>
      <c r="K1005" s="18">
        <v>1</v>
      </c>
      <c r="L1005" s="20">
        <v>3369.14</v>
      </c>
      <c r="M1005" s="21">
        <v>0.05</v>
      </c>
      <c r="N1005" s="21">
        <v>0.65000018628485401</v>
      </c>
      <c r="O1005" s="20">
        <f t="shared" si="60"/>
        <v>3200.6829999999995</v>
      </c>
      <c r="P1005" s="20">
        <f t="shared" si="61"/>
        <v>2080.4445462387653</v>
      </c>
      <c r="Q1005" s="20">
        <f t="shared" si="62"/>
        <v>1120.2384537612343</v>
      </c>
      <c r="R1005" s="22">
        <f t="shared" si="63"/>
        <v>0.34999981371514594</v>
      </c>
    </row>
    <row r="1006" spans="1:18">
      <c r="A1006" s="18">
        <v>2005</v>
      </c>
      <c r="B1006" s="19" t="s">
        <v>401</v>
      </c>
      <c r="C1006" s="18">
        <v>2024</v>
      </c>
      <c r="D1006" s="18" t="s">
        <v>61</v>
      </c>
      <c r="E1006" s="18" t="s">
        <v>79</v>
      </c>
      <c r="F1006" s="18" t="s">
        <v>80</v>
      </c>
      <c r="G1006" s="18" t="s">
        <v>47</v>
      </c>
      <c r="H1006" s="18" t="s">
        <v>107</v>
      </c>
      <c r="I1006" s="18" t="s">
        <v>62</v>
      </c>
      <c r="J1006" s="18" t="s">
        <v>102</v>
      </c>
      <c r="K1006" s="18">
        <v>1</v>
      </c>
      <c r="L1006" s="20">
        <v>2185.5500000000002</v>
      </c>
      <c r="M1006" s="21">
        <v>0.05</v>
      </c>
      <c r="N1006" s="21">
        <v>0.60644467396427604</v>
      </c>
      <c r="O1006" s="20">
        <f t="shared" si="60"/>
        <v>2076.2725</v>
      </c>
      <c r="P1006" s="20">
        <f t="shared" si="61"/>
        <v>1259.1443993234923</v>
      </c>
      <c r="Q1006" s="20">
        <f t="shared" si="62"/>
        <v>817.12810067650776</v>
      </c>
      <c r="R1006" s="22">
        <f t="shared" si="63"/>
        <v>0.39355532603572402</v>
      </c>
    </row>
    <row r="1007" spans="1:18">
      <c r="A1007" s="18">
        <v>2006</v>
      </c>
      <c r="B1007" s="19" t="s">
        <v>401</v>
      </c>
      <c r="C1007" s="18">
        <v>2024</v>
      </c>
      <c r="D1007" s="18" t="s">
        <v>61</v>
      </c>
      <c r="E1007" s="18" t="s">
        <v>79</v>
      </c>
      <c r="F1007" s="18" t="s">
        <v>105</v>
      </c>
      <c r="G1007" s="18" t="s">
        <v>44</v>
      </c>
      <c r="H1007" s="18" t="s">
        <v>95</v>
      </c>
      <c r="I1007" s="18" t="s">
        <v>46</v>
      </c>
      <c r="J1007" s="18" t="s">
        <v>102</v>
      </c>
      <c r="K1007" s="18">
        <v>9</v>
      </c>
      <c r="L1007" s="20">
        <v>4359.09</v>
      </c>
      <c r="M1007" s="21">
        <v>0.05</v>
      </c>
      <c r="N1007" s="21">
        <v>0.70334552096578495</v>
      </c>
      <c r="O1007" s="20">
        <f t="shared" si="60"/>
        <v>37270.219499999999</v>
      </c>
      <c r="P1007" s="20">
        <f t="shared" si="61"/>
        <v>26213.841950736656</v>
      </c>
      <c r="Q1007" s="20">
        <f t="shared" si="62"/>
        <v>11056.377549263343</v>
      </c>
      <c r="R1007" s="22">
        <f t="shared" si="63"/>
        <v>0.29665447903421505</v>
      </c>
    </row>
    <row r="1008" spans="1:18">
      <c r="A1008" s="18">
        <v>2007</v>
      </c>
      <c r="B1008" s="19" t="s">
        <v>401</v>
      </c>
      <c r="C1008" s="18">
        <v>2024</v>
      </c>
      <c r="D1008" s="18" t="s">
        <v>61</v>
      </c>
      <c r="E1008" s="18" t="s">
        <v>98</v>
      </c>
      <c r="F1008" s="18" t="s">
        <v>99</v>
      </c>
      <c r="G1008" s="18" t="s">
        <v>44</v>
      </c>
      <c r="H1008" s="18" t="s">
        <v>95</v>
      </c>
      <c r="I1008" s="18" t="s">
        <v>56</v>
      </c>
      <c r="J1008" s="18" t="s">
        <v>82</v>
      </c>
      <c r="K1008" s="18">
        <v>8</v>
      </c>
      <c r="L1008" s="20">
        <v>4592.91</v>
      </c>
      <c r="M1008" s="21">
        <v>0</v>
      </c>
      <c r="N1008" s="21">
        <v>0.69022899080880995</v>
      </c>
      <c r="O1008" s="20">
        <f t="shared" si="60"/>
        <v>36743.279999999999</v>
      </c>
      <c r="P1008" s="20">
        <f t="shared" si="61"/>
        <v>25361.27707340553</v>
      </c>
      <c r="Q1008" s="20">
        <f t="shared" si="62"/>
        <v>11382.002926594469</v>
      </c>
      <c r="R1008" s="22">
        <f t="shared" si="63"/>
        <v>0.30977100919119005</v>
      </c>
    </row>
    <row r="1009" spans="1:18">
      <c r="A1009" s="18">
        <v>2008</v>
      </c>
      <c r="B1009" s="19" t="s">
        <v>402</v>
      </c>
      <c r="C1009" s="18">
        <v>2024</v>
      </c>
      <c r="D1009" s="18" t="s">
        <v>61</v>
      </c>
      <c r="E1009" s="18" t="s">
        <v>88</v>
      </c>
      <c r="F1009" s="18" t="s">
        <v>93</v>
      </c>
      <c r="G1009" s="18" t="s">
        <v>44</v>
      </c>
      <c r="H1009" s="18" t="s">
        <v>119</v>
      </c>
      <c r="I1009" s="18" t="s">
        <v>43</v>
      </c>
      <c r="J1009" s="18" t="s">
        <v>82</v>
      </c>
      <c r="K1009" s="18">
        <v>7</v>
      </c>
      <c r="L1009" s="20">
        <v>6676.86</v>
      </c>
      <c r="M1009" s="21">
        <v>0</v>
      </c>
      <c r="N1009" s="21">
        <v>0.735819666305496</v>
      </c>
      <c r="O1009" s="20">
        <f t="shared" si="60"/>
        <v>46738.02</v>
      </c>
      <c r="P1009" s="20">
        <f t="shared" si="61"/>
        <v>34390.754280179593</v>
      </c>
      <c r="Q1009" s="20">
        <f t="shared" si="62"/>
        <v>12347.265719820403</v>
      </c>
      <c r="R1009" s="22">
        <f t="shared" si="63"/>
        <v>0.26418033369450405</v>
      </c>
    </row>
    <row r="1010" spans="1:18">
      <c r="A1010" s="18">
        <v>2009</v>
      </c>
      <c r="B1010" s="19" t="s">
        <v>402</v>
      </c>
      <c r="C1010" s="18">
        <v>2024</v>
      </c>
      <c r="D1010" s="18" t="s">
        <v>61</v>
      </c>
      <c r="E1010" s="18" t="s">
        <v>85</v>
      </c>
      <c r="F1010" s="18" t="s">
        <v>86</v>
      </c>
      <c r="G1010" s="18" t="s">
        <v>44</v>
      </c>
      <c r="H1010" s="18" t="s">
        <v>119</v>
      </c>
      <c r="I1010" s="18" t="s">
        <v>40</v>
      </c>
      <c r="J1010" s="18" t="s">
        <v>91</v>
      </c>
      <c r="K1010" s="18">
        <v>7</v>
      </c>
      <c r="L1010" s="20">
        <v>7017.48</v>
      </c>
      <c r="M1010" s="21">
        <v>0.2</v>
      </c>
      <c r="N1010" s="21">
        <v>0.67666199502367397</v>
      </c>
      <c r="O1010" s="20">
        <f t="shared" si="60"/>
        <v>39297.887999999999</v>
      </c>
      <c r="P1010" s="20">
        <f t="shared" si="61"/>
        <v>26591.387294296896</v>
      </c>
      <c r="Q1010" s="20">
        <f t="shared" si="62"/>
        <v>12706.500705703103</v>
      </c>
      <c r="R1010" s="22">
        <f t="shared" si="63"/>
        <v>0.32333800497632603</v>
      </c>
    </row>
    <row r="1011" spans="1:18">
      <c r="A1011" s="18">
        <v>2010</v>
      </c>
      <c r="B1011" s="19" t="s">
        <v>402</v>
      </c>
      <c r="C1011" s="18">
        <v>2024</v>
      </c>
      <c r="D1011" s="18" t="s">
        <v>61</v>
      </c>
      <c r="E1011" s="18" t="s">
        <v>88</v>
      </c>
      <c r="F1011" s="18" t="s">
        <v>110</v>
      </c>
      <c r="G1011" s="18" t="s">
        <v>47</v>
      </c>
      <c r="H1011" s="18" t="s">
        <v>107</v>
      </c>
      <c r="I1011" s="18" t="s">
        <v>58</v>
      </c>
      <c r="J1011" s="18" t="s">
        <v>82</v>
      </c>
      <c r="K1011" s="18">
        <v>9</v>
      </c>
      <c r="L1011" s="20">
        <v>2183.96</v>
      </c>
      <c r="M1011" s="21">
        <v>0</v>
      </c>
      <c r="N1011" s="21">
        <v>0.61085799799867702</v>
      </c>
      <c r="O1011" s="20">
        <f t="shared" si="60"/>
        <v>19655.64</v>
      </c>
      <c r="P1011" s="20">
        <f t="shared" si="61"/>
        <v>12006.804899782715</v>
      </c>
      <c r="Q1011" s="20">
        <f t="shared" si="62"/>
        <v>7648.835100217284</v>
      </c>
      <c r="R1011" s="22">
        <f t="shared" si="63"/>
        <v>0.38914200200132298</v>
      </c>
    </row>
    <row r="1012" spans="1:18">
      <c r="A1012" s="18">
        <v>2011</v>
      </c>
      <c r="B1012" s="19" t="s">
        <v>403</v>
      </c>
      <c r="C1012" s="18">
        <v>2024</v>
      </c>
      <c r="D1012" s="18" t="s">
        <v>61</v>
      </c>
      <c r="E1012" s="18" t="s">
        <v>98</v>
      </c>
      <c r="F1012" s="18" t="s">
        <v>109</v>
      </c>
      <c r="G1012" s="18" t="s">
        <v>47</v>
      </c>
      <c r="H1012" s="18" t="s">
        <v>103</v>
      </c>
      <c r="I1012" s="18" t="s">
        <v>56</v>
      </c>
      <c r="J1012" s="18" t="s">
        <v>82</v>
      </c>
      <c r="K1012" s="18">
        <v>6</v>
      </c>
      <c r="L1012" s="20">
        <v>3326.43</v>
      </c>
      <c r="M1012" s="21">
        <v>0</v>
      </c>
      <c r="N1012" s="21">
        <v>0.55817782580932396</v>
      </c>
      <c r="O1012" s="20">
        <f t="shared" si="60"/>
        <v>19958.579999999998</v>
      </c>
      <c r="P1012" s="20">
        <f t="shared" si="61"/>
        <v>11140.436790641455</v>
      </c>
      <c r="Q1012" s="20">
        <f t="shared" si="62"/>
        <v>8818.1432093585427</v>
      </c>
      <c r="R1012" s="22">
        <f t="shared" si="63"/>
        <v>0.44182217419067604</v>
      </c>
    </row>
    <row r="1013" spans="1:18">
      <c r="A1013" s="18">
        <v>2012</v>
      </c>
      <c r="B1013" s="19" t="s">
        <v>403</v>
      </c>
      <c r="C1013" s="18">
        <v>2024</v>
      </c>
      <c r="D1013" s="18" t="s">
        <v>61</v>
      </c>
      <c r="E1013" s="18" t="s">
        <v>79</v>
      </c>
      <c r="F1013" s="18" t="s">
        <v>80</v>
      </c>
      <c r="G1013" s="18" t="s">
        <v>47</v>
      </c>
      <c r="H1013" s="18" t="s">
        <v>81</v>
      </c>
      <c r="I1013" s="18" t="s">
        <v>52</v>
      </c>
      <c r="J1013" s="18" t="s">
        <v>91</v>
      </c>
      <c r="K1013" s="18">
        <v>5</v>
      </c>
      <c r="L1013" s="20">
        <v>832.68</v>
      </c>
      <c r="M1013" s="21">
        <v>0</v>
      </c>
      <c r="N1013" s="21">
        <v>0.63618150529986595</v>
      </c>
      <c r="O1013" s="20">
        <f t="shared" si="60"/>
        <v>4163.3999999999996</v>
      </c>
      <c r="P1013" s="20">
        <f t="shared" si="61"/>
        <v>2648.6780791654614</v>
      </c>
      <c r="Q1013" s="20">
        <f t="shared" si="62"/>
        <v>1514.7219208345382</v>
      </c>
      <c r="R1013" s="22">
        <f t="shared" si="63"/>
        <v>0.36381849470013411</v>
      </c>
    </row>
    <row r="1014" spans="1:18">
      <c r="A1014" s="18">
        <v>2013</v>
      </c>
      <c r="B1014" s="19" t="s">
        <v>403</v>
      </c>
      <c r="C1014" s="18">
        <v>2024</v>
      </c>
      <c r="D1014" s="18" t="s">
        <v>61</v>
      </c>
      <c r="E1014" s="18" t="s">
        <v>98</v>
      </c>
      <c r="F1014" s="18" t="s">
        <v>109</v>
      </c>
      <c r="G1014" s="18" t="s">
        <v>47</v>
      </c>
      <c r="H1014" s="18" t="s">
        <v>107</v>
      </c>
      <c r="I1014" s="18" t="s">
        <v>52</v>
      </c>
      <c r="J1014" s="18" t="s">
        <v>82</v>
      </c>
      <c r="K1014" s="18">
        <v>2</v>
      </c>
      <c r="L1014" s="20">
        <v>2237.17</v>
      </c>
      <c r="M1014" s="21">
        <v>0.2</v>
      </c>
      <c r="N1014" s="21">
        <v>0.66035364534029894</v>
      </c>
      <c r="O1014" s="20">
        <f t="shared" si="60"/>
        <v>3579.4720000000002</v>
      </c>
      <c r="P1014" s="20">
        <f t="shared" si="61"/>
        <v>2363.7173835935305</v>
      </c>
      <c r="Q1014" s="20">
        <f t="shared" si="62"/>
        <v>1215.7546164064697</v>
      </c>
      <c r="R1014" s="22">
        <f t="shared" si="63"/>
        <v>0.33964635465970111</v>
      </c>
    </row>
    <row r="1015" spans="1:18">
      <c r="A1015" s="18">
        <v>2014</v>
      </c>
      <c r="B1015" s="19" t="s">
        <v>403</v>
      </c>
      <c r="C1015" s="18">
        <v>2024</v>
      </c>
      <c r="D1015" s="18" t="s">
        <v>61</v>
      </c>
      <c r="E1015" s="18" t="s">
        <v>88</v>
      </c>
      <c r="F1015" s="18" t="s">
        <v>89</v>
      </c>
      <c r="G1015" s="18" t="s">
        <v>47</v>
      </c>
      <c r="H1015" s="18" t="s">
        <v>103</v>
      </c>
      <c r="I1015" s="18" t="s">
        <v>54</v>
      </c>
      <c r="J1015" s="18" t="s">
        <v>102</v>
      </c>
      <c r="K1015" s="18">
        <v>10</v>
      </c>
      <c r="L1015" s="20">
        <v>3209.24</v>
      </c>
      <c r="M1015" s="21">
        <v>0.05</v>
      </c>
      <c r="N1015" s="21">
        <v>0.59765044398642797</v>
      </c>
      <c r="O1015" s="20">
        <f t="shared" si="60"/>
        <v>30487.779999999995</v>
      </c>
      <c r="P1015" s="20">
        <f t="shared" si="61"/>
        <v>18221.035253160535</v>
      </c>
      <c r="Q1015" s="20">
        <f t="shared" si="62"/>
        <v>12266.74474683946</v>
      </c>
      <c r="R1015" s="22">
        <f t="shared" si="63"/>
        <v>0.40234955601357208</v>
      </c>
    </row>
    <row r="1016" spans="1:18">
      <c r="A1016" s="18">
        <v>2015</v>
      </c>
      <c r="B1016" s="19" t="s">
        <v>404</v>
      </c>
      <c r="C1016" s="18">
        <v>2024</v>
      </c>
      <c r="D1016" s="18" t="s">
        <v>61</v>
      </c>
      <c r="E1016" s="18" t="s">
        <v>88</v>
      </c>
      <c r="F1016" s="18" t="s">
        <v>93</v>
      </c>
      <c r="G1016" s="18" t="s">
        <v>50</v>
      </c>
      <c r="H1016" s="18" t="s">
        <v>83</v>
      </c>
      <c r="I1016" s="18" t="s">
        <v>43</v>
      </c>
      <c r="J1016" s="18" t="s">
        <v>82</v>
      </c>
      <c r="K1016" s="18">
        <v>11</v>
      </c>
      <c r="L1016" s="20">
        <v>3584.91</v>
      </c>
      <c r="M1016" s="21">
        <v>0</v>
      </c>
      <c r="N1016" s="21">
        <v>0.55820778695726603</v>
      </c>
      <c r="O1016" s="20">
        <f t="shared" si="60"/>
        <v>39434.009999999995</v>
      </c>
      <c r="P1016" s="20">
        <f t="shared" si="61"/>
        <v>22012.371452950694</v>
      </c>
      <c r="Q1016" s="20">
        <f t="shared" si="62"/>
        <v>17421.638547049301</v>
      </c>
      <c r="R1016" s="22">
        <f t="shared" si="63"/>
        <v>0.44179221304273397</v>
      </c>
    </row>
    <row r="1017" spans="1:18">
      <c r="A1017" s="18">
        <v>2016</v>
      </c>
      <c r="B1017" s="19" t="s">
        <v>404</v>
      </c>
      <c r="C1017" s="18">
        <v>2024</v>
      </c>
      <c r="D1017" s="18" t="s">
        <v>61</v>
      </c>
      <c r="E1017" s="18" t="s">
        <v>88</v>
      </c>
      <c r="F1017" s="18" t="s">
        <v>110</v>
      </c>
      <c r="G1017" s="18" t="s">
        <v>50</v>
      </c>
      <c r="H1017" s="18" t="s">
        <v>83</v>
      </c>
      <c r="I1017" s="18" t="s">
        <v>43</v>
      </c>
      <c r="J1017" s="18" t="s">
        <v>102</v>
      </c>
      <c r="K1017" s="18">
        <v>10</v>
      </c>
      <c r="L1017" s="20">
        <v>3445.01</v>
      </c>
      <c r="M1017" s="21">
        <v>0.2</v>
      </c>
      <c r="N1017" s="21">
        <v>0.64483970402128199</v>
      </c>
      <c r="O1017" s="20">
        <f t="shared" si="60"/>
        <v>27560.080000000005</v>
      </c>
      <c r="P1017" s="20">
        <f t="shared" si="61"/>
        <v>17771.833830002855</v>
      </c>
      <c r="Q1017" s="20">
        <f t="shared" si="62"/>
        <v>9788.24616999715</v>
      </c>
      <c r="R1017" s="22">
        <f t="shared" si="63"/>
        <v>0.35516029597871807</v>
      </c>
    </row>
    <row r="1018" spans="1:18">
      <c r="A1018" s="18">
        <v>2017</v>
      </c>
      <c r="B1018" s="19" t="s">
        <v>404</v>
      </c>
      <c r="C1018" s="18">
        <v>2024</v>
      </c>
      <c r="D1018" s="18" t="s">
        <v>61</v>
      </c>
      <c r="E1018" s="18" t="s">
        <v>88</v>
      </c>
      <c r="F1018" s="18" t="s">
        <v>93</v>
      </c>
      <c r="G1018" s="18" t="s">
        <v>44</v>
      </c>
      <c r="H1018" s="18" t="s">
        <v>119</v>
      </c>
      <c r="I1018" s="18" t="s">
        <v>46</v>
      </c>
      <c r="J1018" s="18" t="s">
        <v>82</v>
      </c>
      <c r="K1018" s="18">
        <v>7</v>
      </c>
      <c r="L1018" s="20">
        <v>7035.35</v>
      </c>
      <c r="M1018" s="21">
        <v>0.05</v>
      </c>
      <c r="N1018" s="21">
        <v>0.72831733059447301</v>
      </c>
      <c r="O1018" s="20">
        <f t="shared" si="60"/>
        <v>46785.077499999999</v>
      </c>
      <c r="P1018" s="20">
        <f t="shared" si="61"/>
        <v>34074.382756455539</v>
      </c>
      <c r="Q1018" s="20">
        <f t="shared" si="62"/>
        <v>12710.69474354446</v>
      </c>
      <c r="R1018" s="22">
        <f t="shared" si="63"/>
        <v>0.27168266940552699</v>
      </c>
    </row>
    <row r="1019" spans="1:18">
      <c r="A1019" s="18">
        <v>2018</v>
      </c>
      <c r="B1019" s="19" t="s">
        <v>404</v>
      </c>
      <c r="C1019" s="18">
        <v>2024</v>
      </c>
      <c r="D1019" s="18" t="s">
        <v>61</v>
      </c>
      <c r="E1019" s="18" t="s">
        <v>98</v>
      </c>
      <c r="F1019" s="18" t="s">
        <v>109</v>
      </c>
      <c r="G1019" s="18" t="s">
        <v>50</v>
      </c>
      <c r="H1019" s="18" t="s">
        <v>87</v>
      </c>
      <c r="I1019" s="18" t="s">
        <v>43</v>
      </c>
      <c r="J1019" s="18" t="s">
        <v>91</v>
      </c>
      <c r="K1019" s="18">
        <v>2</v>
      </c>
      <c r="L1019" s="20">
        <v>9483.68</v>
      </c>
      <c r="M1019" s="21">
        <v>0.15</v>
      </c>
      <c r="N1019" s="21">
        <v>0.73626646541423202</v>
      </c>
      <c r="O1019" s="20">
        <f t="shared" si="60"/>
        <v>16122.255999999999</v>
      </c>
      <c r="P1019" s="20">
        <f t="shared" si="61"/>
        <v>11870.276439623394</v>
      </c>
      <c r="Q1019" s="20">
        <f t="shared" si="62"/>
        <v>4251.9795603766051</v>
      </c>
      <c r="R1019" s="22">
        <f t="shared" si="63"/>
        <v>0.26373353458576798</v>
      </c>
    </row>
    <row r="1020" spans="1:18">
      <c r="A1020" s="18">
        <v>2019</v>
      </c>
      <c r="B1020" s="19" t="s">
        <v>405</v>
      </c>
      <c r="C1020" s="18">
        <v>2024</v>
      </c>
      <c r="D1020" s="18" t="s">
        <v>61</v>
      </c>
      <c r="E1020" s="18" t="s">
        <v>88</v>
      </c>
      <c r="F1020" s="18" t="s">
        <v>93</v>
      </c>
      <c r="G1020" s="18" t="s">
        <v>47</v>
      </c>
      <c r="H1020" s="18" t="s">
        <v>103</v>
      </c>
      <c r="I1020" s="18" t="s">
        <v>46</v>
      </c>
      <c r="J1020" s="18" t="s">
        <v>91</v>
      </c>
      <c r="K1020" s="18">
        <v>1</v>
      </c>
      <c r="L1020" s="20">
        <v>3345.86</v>
      </c>
      <c r="M1020" s="21">
        <v>0</v>
      </c>
      <c r="N1020" s="21">
        <v>0.70887807603549102</v>
      </c>
      <c r="O1020" s="20">
        <f t="shared" si="60"/>
        <v>3345.86</v>
      </c>
      <c r="P1020" s="20">
        <f t="shared" si="61"/>
        <v>2371.8067994841081</v>
      </c>
      <c r="Q1020" s="20">
        <f t="shared" si="62"/>
        <v>974.05320051589206</v>
      </c>
      <c r="R1020" s="22">
        <f t="shared" si="63"/>
        <v>0.29112192396450898</v>
      </c>
    </row>
    <row r="1021" spans="1:18">
      <c r="A1021" s="18">
        <v>2020</v>
      </c>
      <c r="B1021" s="19" t="s">
        <v>405</v>
      </c>
      <c r="C1021" s="18">
        <v>2024</v>
      </c>
      <c r="D1021" s="18" t="s">
        <v>61</v>
      </c>
      <c r="E1021" s="18" t="s">
        <v>88</v>
      </c>
      <c r="F1021" s="18" t="s">
        <v>93</v>
      </c>
      <c r="G1021" s="18" t="s">
        <v>50</v>
      </c>
      <c r="H1021" s="18" t="s">
        <v>97</v>
      </c>
      <c r="I1021" s="18" t="s">
        <v>60</v>
      </c>
      <c r="J1021" s="18" t="s">
        <v>102</v>
      </c>
      <c r="K1021" s="18">
        <v>2</v>
      </c>
      <c r="L1021" s="20">
        <v>11598.62</v>
      </c>
      <c r="M1021" s="21">
        <v>0.15</v>
      </c>
      <c r="N1021" s="21">
        <v>0.62683008396997797</v>
      </c>
      <c r="O1021" s="20">
        <f t="shared" si="60"/>
        <v>19717.654000000002</v>
      </c>
      <c r="P1021" s="20">
        <f t="shared" si="61"/>
        <v>12359.618712510974</v>
      </c>
      <c r="Q1021" s="20">
        <f t="shared" si="62"/>
        <v>7358.0352874890286</v>
      </c>
      <c r="R1021" s="22">
        <f t="shared" si="63"/>
        <v>0.37316991603002203</v>
      </c>
    </row>
    <row r="1022" spans="1:18">
      <c r="A1022" s="18">
        <v>2021</v>
      </c>
      <c r="B1022" s="19" t="s">
        <v>406</v>
      </c>
      <c r="C1022" s="18">
        <v>2024</v>
      </c>
      <c r="D1022" s="18" t="s">
        <v>61</v>
      </c>
      <c r="E1022" s="18" t="s">
        <v>85</v>
      </c>
      <c r="F1022" s="18" t="s">
        <v>94</v>
      </c>
      <c r="G1022" s="18" t="s">
        <v>47</v>
      </c>
      <c r="H1022" s="18" t="s">
        <v>81</v>
      </c>
      <c r="I1022" s="18" t="s">
        <v>46</v>
      </c>
      <c r="J1022" s="18" t="s">
        <v>82</v>
      </c>
      <c r="K1022" s="18">
        <v>3</v>
      </c>
      <c r="L1022" s="20">
        <v>805.75</v>
      </c>
      <c r="M1022" s="21">
        <v>0.15</v>
      </c>
      <c r="N1022" s="21">
        <v>0.68934434951672197</v>
      </c>
      <c r="O1022" s="20">
        <f t="shared" si="60"/>
        <v>2054.6624999999999</v>
      </c>
      <c r="P1022" s="20">
        <f t="shared" si="61"/>
        <v>1416.3699845389017</v>
      </c>
      <c r="Q1022" s="20">
        <f t="shared" si="62"/>
        <v>638.29251546109822</v>
      </c>
      <c r="R1022" s="22">
        <f t="shared" si="63"/>
        <v>0.31065565048327803</v>
      </c>
    </row>
    <row r="1023" spans="1:18">
      <c r="A1023" s="18">
        <v>2022</v>
      </c>
      <c r="B1023" s="19" t="s">
        <v>406</v>
      </c>
      <c r="C1023" s="18">
        <v>2024</v>
      </c>
      <c r="D1023" s="18" t="s">
        <v>61</v>
      </c>
      <c r="E1023" s="18" t="s">
        <v>85</v>
      </c>
      <c r="F1023" s="18" t="s">
        <v>94</v>
      </c>
      <c r="G1023" s="18" t="s">
        <v>47</v>
      </c>
      <c r="H1023" s="18" t="s">
        <v>107</v>
      </c>
      <c r="I1023" s="18" t="s">
        <v>49</v>
      </c>
      <c r="J1023" s="18" t="s">
        <v>91</v>
      </c>
      <c r="K1023" s="18">
        <v>12</v>
      </c>
      <c r="L1023" s="20">
        <v>2149.0700000000002</v>
      </c>
      <c r="M1023" s="21">
        <v>0</v>
      </c>
      <c r="N1023" s="21">
        <v>0.58422181937684003</v>
      </c>
      <c r="O1023" s="20">
        <f t="shared" si="60"/>
        <v>25788.840000000004</v>
      </c>
      <c r="P1023" s="20">
        <f t="shared" si="61"/>
        <v>15066.40302441823</v>
      </c>
      <c r="Q1023" s="20">
        <f t="shared" si="62"/>
        <v>10722.436975581773</v>
      </c>
      <c r="R1023" s="22">
        <f t="shared" si="63"/>
        <v>0.41577818062315991</v>
      </c>
    </row>
    <row r="1024" spans="1:18">
      <c r="A1024" s="18">
        <v>2023</v>
      </c>
      <c r="B1024" s="19" t="s">
        <v>406</v>
      </c>
      <c r="C1024" s="18">
        <v>2024</v>
      </c>
      <c r="D1024" s="18" t="s">
        <v>61</v>
      </c>
      <c r="E1024" s="18" t="s">
        <v>79</v>
      </c>
      <c r="F1024" s="18" t="s">
        <v>80</v>
      </c>
      <c r="G1024" s="18" t="s">
        <v>44</v>
      </c>
      <c r="H1024" s="18" t="s">
        <v>114</v>
      </c>
      <c r="I1024" s="18" t="s">
        <v>40</v>
      </c>
      <c r="J1024" s="18" t="s">
        <v>102</v>
      </c>
      <c r="K1024" s="18">
        <v>3</v>
      </c>
      <c r="L1024" s="20">
        <v>9397.84</v>
      </c>
      <c r="M1024" s="21">
        <v>0.05</v>
      </c>
      <c r="N1024" s="21">
        <v>0.73544959147717304</v>
      </c>
      <c r="O1024" s="20">
        <f t="shared" si="60"/>
        <v>26783.844000000001</v>
      </c>
      <c r="P1024" s="20">
        <f t="shared" si="61"/>
        <v>19698.167127988334</v>
      </c>
      <c r="Q1024" s="20">
        <f t="shared" si="62"/>
        <v>7085.676872011667</v>
      </c>
      <c r="R1024" s="22">
        <f t="shared" si="63"/>
        <v>0.26455040852282691</v>
      </c>
    </row>
    <row r="1025" spans="1:18">
      <c r="A1025" s="18">
        <v>2024</v>
      </c>
      <c r="B1025" s="19" t="s">
        <v>406</v>
      </c>
      <c r="C1025" s="18">
        <v>2024</v>
      </c>
      <c r="D1025" s="18" t="s">
        <v>61</v>
      </c>
      <c r="E1025" s="18" t="s">
        <v>98</v>
      </c>
      <c r="F1025" s="18" t="s">
        <v>117</v>
      </c>
      <c r="G1025" s="18" t="s">
        <v>44</v>
      </c>
      <c r="H1025" s="18" t="s">
        <v>119</v>
      </c>
      <c r="I1025" s="18" t="s">
        <v>60</v>
      </c>
      <c r="J1025" s="18" t="s">
        <v>82</v>
      </c>
      <c r="K1025" s="18">
        <v>1</v>
      </c>
      <c r="L1025" s="20">
        <v>7104.05</v>
      </c>
      <c r="M1025" s="21">
        <v>0.2</v>
      </c>
      <c r="N1025" s="21">
        <v>0.67103190715941596</v>
      </c>
      <c r="O1025" s="20">
        <f t="shared" si="60"/>
        <v>5683.2400000000007</v>
      </c>
      <c r="P1025" s="20">
        <f t="shared" si="61"/>
        <v>3813.6353760446796</v>
      </c>
      <c r="Q1025" s="20">
        <f t="shared" si="62"/>
        <v>1869.6046239553211</v>
      </c>
      <c r="R1025" s="22">
        <f t="shared" si="63"/>
        <v>0.32896809284058404</v>
      </c>
    </row>
    <row r="1026" spans="1:18">
      <c r="A1026" s="18">
        <v>2025</v>
      </c>
      <c r="B1026" s="19" t="s">
        <v>406</v>
      </c>
      <c r="C1026" s="18">
        <v>2024</v>
      </c>
      <c r="D1026" s="18" t="s">
        <v>61</v>
      </c>
      <c r="E1026" s="18" t="s">
        <v>98</v>
      </c>
      <c r="F1026" s="18" t="s">
        <v>109</v>
      </c>
      <c r="G1026" s="18" t="s">
        <v>41</v>
      </c>
      <c r="H1026" s="18" t="s">
        <v>106</v>
      </c>
      <c r="I1026" s="18" t="s">
        <v>46</v>
      </c>
      <c r="J1026" s="18" t="s">
        <v>91</v>
      </c>
      <c r="K1026" s="18">
        <v>10</v>
      </c>
      <c r="L1026" s="20">
        <v>2448.7199999999998</v>
      </c>
      <c r="M1026" s="21">
        <v>0</v>
      </c>
      <c r="N1026" s="21">
        <v>0.67519106092441405</v>
      </c>
      <c r="O1026" s="20">
        <f t="shared" ref="O1026:O1089" si="64">K1026*L1026*(1-M1026)</f>
        <v>24487.199999999997</v>
      </c>
      <c r="P1026" s="20">
        <f t="shared" ref="P1026:P1089" si="65">O1026*N1026</f>
        <v>16533.53854706831</v>
      </c>
      <c r="Q1026" s="20">
        <f t="shared" ref="Q1026:Q1089" si="66">O1026-P1026</f>
        <v>7953.6614529316867</v>
      </c>
      <c r="R1026" s="22">
        <f t="shared" ref="R1026:R1089" si="67">IF(O1026=0,0,Q1026/O1026)</f>
        <v>0.32480893907558595</v>
      </c>
    </row>
    <row r="1027" spans="1:18">
      <c r="A1027" s="18">
        <v>2026</v>
      </c>
      <c r="B1027" s="19" t="s">
        <v>407</v>
      </c>
      <c r="C1027" s="18">
        <v>2024</v>
      </c>
      <c r="D1027" s="18" t="s">
        <v>61</v>
      </c>
      <c r="E1027" s="18" t="s">
        <v>98</v>
      </c>
      <c r="F1027" s="18" t="s">
        <v>117</v>
      </c>
      <c r="G1027" s="18" t="s">
        <v>47</v>
      </c>
      <c r="H1027" s="18" t="s">
        <v>81</v>
      </c>
      <c r="I1027" s="18" t="s">
        <v>52</v>
      </c>
      <c r="J1027" s="18" t="s">
        <v>82</v>
      </c>
      <c r="K1027" s="18">
        <v>9</v>
      </c>
      <c r="L1027" s="20">
        <v>812.59</v>
      </c>
      <c r="M1027" s="21">
        <v>0.15</v>
      </c>
      <c r="N1027" s="21">
        <v>0.57128854650646799</v>
      </c>
      <c r="O1027" s="20">
        <f t="shared" si="64"/>
        <v>6216.3135000000002</v>
      </c>
      <c r="P1027" s="20">
        <f t="shared" si="65"/>
        <v>3551.3087040435348</v>
      </c>
      <c r="Q1027" s="20">
        <f t="shared" si="66"/>
        <v>2665.0047959564654</v>
      </c>
      <c r="R1027" s="22">
        <f t="shared" si="67"/>
        <v>0.42871145349353201</v>
      </c>
    </row>
    <row r="1028" spans="1:18">
      <c r="A1028" s="18">
        <v>2027</v>
      </c>
      <c r="B1028" s="19" t="s">
        <v>407</v>
      </c>
      <c r="C1028" s="18">
        <v>2024</v>
      </c>
      <c r="D1028" s="18" t="s">
        <v>61</v>
      </c>
      <c r="E1028" s="18" t="s">
        <v>85</v>
      </c>
      <c r="F1028" s="18" t="s">
        <v>94</v>
      </c>
      <c r="G1028" s="18" t="s">
        <v>47</v>
      </c>
      <c r="H1028" s="18" t="s">
        <v>103</v>
      </c>
      <c r="I1028" s="18" t="s">
        <v>62</v>
      </c>
      <c r="J1028" s="18" t="s">
        <v>102</v>
      </c>
      <c r="K1028" s="18">
        <v>4</v>
      </c>
      <c r="L1028" s="20">
        <v>3301.39</v>
      </c>
      <c r="M1028" s="21">
        <v>0</v>
      </c>
      <c r="N1028" s="21">
        <v>0.61485260616063098</v>
      </c>
      <c r="O1028" s="20">
        <f t="shared" si="64"/>
        <v>13205.56</v>
      </c>
      <c r="P1028" s="20">
        <f t="shared" si="65"/>
        <v>8119.4729818105816</v>
      </c>
      <c r="Q1028" s="20">
        <f t="shared" si="66"/>
        <v>5086.0870181894179</v>
      </c>
      <c r="R1028" s="22">
        <f t="shared" si="67"/>
        <v>0.38514739383936902</v>
      </c>
    </row>
    <row r="1029" spans="1:18">
      <c r="A1029" s="18">
        <v>2028</v>
      </c>
      <c r="B1029" s="19" t="s">
        <v>408</v>
      </c>
      <c r="C1029" s="18">
        <v>2024</v>
      </c>
      <c r="D1029" s="18" t="s">
        <v>61</v>
      </c>
      <c r="E1029" s="18" t="s">
        <v>85</v>
      </c>
      <c r="F1029" s="18" t="s">
        <v>86</v>
      </c>
      <c r="G1029" s="18" t="s">
        <v>50</v>
      </c>
      <c r="H1029" s="18" t="s">
        <v>83</v>
      </c>
      <c r="I1029" s="18" t="s">
        <v>56</v>
      </c>
      <c r="J1029" s="18" t="s">
        <v>91</v>
      </c>
      <c r="K1029" s="18">
        <v>3</v>
      </c>
      <c r="L1029" s="20">
        <v>3640.76</v>
      </c>
      <c r="M1029" s="21">
        <v>0</v>
      </c>
      <c r="N1029" s="21">
        <v>0.64919223514424795</v>
      </c>
      <c r="O1029" s="20">
        <f t="shared" si="64"/>
        <v>10922.28</v>
      </c>
      <c r="P1029" s="20">
        <f t="shared" si="65"/>
        <v>7090.659366071317</v>
      </c>
      <c r="Q1029" s="20">
        <f t="shared" si="66"/>
        <v>3831.6206339286837</v>
      </c>
      <c r="R1029" s="22">
        <f t="shared" si="67"/>
        <v>0.35080776485575205</v>
      </c>
    </row>
    <row r="1030" spans="1:18">
      <c r="A1030" s="18">
        <v>2029</v>
      </c>
      <c r="B1030" s="19" t="s">
        <v>408</v>
      </c>
      <c r="C1030" s="18">
        <v>2024</v>
      </c>
      <c r="D1030" s="18" t="s">
        <v>61</v>
      </c>
      <c r="E1030" s="18" t="s">
        <v>85</v>
      </c>
      <c r="F1030" s="18" t="s">
        <v>86</v>
      </c>
      <c r="G1030" s="18" t="s">
        <v>44</v>
      </c>
      <c r="H1030" s="18" t="s">
        <v>119</v>
      </c>
      <c r="I1030" s="18" t="s">
        <v>62</v>
      </c>
      <c r="J1030" s="18" t="s">
        <v>91</v>
      </c>
      <c r="K1030" s="18">
        <v>12</v>
      </c>
      <c r="L1030" s="20">
        <v>6776.28</v>
      </c>
      <c r="M1030" s="21">
        <v>0.05</v>
      </c>
      <c r="N1030" s="21">
        <v>0.55420946078026301</v>
      </c>
      <c r="O1030" s="20">
        <f t="shared" si="64"/>
        <v>77249.592000000004</v>
      </c>
      <c r="P1030" s="20">
        <f t="shared" si="65"/>
        <v>42812.454727815319</v>
      </c>
      <c r="Q1030" s="20">
        <f t="shared" si="66"/>
        <v>34437.137272184686</v>
      </c>
      <c r="R1030" s="22">
        <f t="shared" si="67"/>
        <v>0.44579053921973705</v>
      </c>
    </row>
    <row r="1031" spans="1:18">
      <c r="A1031" s="18">
        <v>2030</v>
      </c>
      <c r="B1031" s="19" t="s">
        <v>408</v>
      </c>
      <c r="C1031" s="18">
        <v>2024</v>
      </c>
      <c r="D1031" s="18" t="s">
        <v>61</v>
      </c>
      <c r="E1031" s="18" t="s">
        <v>88</v>
      </c>
      <c r="F1031" s="18" t="s">
        <v>110</v>
      </c>
      <c r="G1031" s="18" t="s">
        <v>50</v>
      </c>
      <c r="H1031" s="18" t="s">
        <v>87</v>
      </c>
      <c r="I1031" s="18" t="s">
        <v>62</v>
      </c>
      <c r="J1031" s="18" t="s">
        <v>82</v>
      </c>
      <c r="K1031" s="18">
        <v>2</v>
      </c>
      <c r="L1031" s="20">
        <v>9161.35</v>
      </c>
      <c r="M1031" s="21">
        <v>0.1</v>
      </c>
      <c r="N1031" s="21">
        <v>0.59905076690766801</v>
      </c>
      <c r="O1031" s="20">
        <f t="shared" si="64"/>
        <v>16490.43</v>
      </c>
      <c r="P1031" s="20">
        <f t="shared" si="65"/>
        <v>9878.6047381372155</v>
      </c>
      <c r="Q1031" s="20">
        <f t="shared" si="66"/>
        <v>6611.8252618627848</v>
      </c>
      <c r="R1031" s="22">
        <f t="shared" si="67"/>
        <v>0.40094923309233205</v>
      </c>
    </row>
    <row r="1032" spans="1:18">
      <c r="A1032" s="18">
        <v>2031</v>
      </c>
      <c r="B1032" s="19" t="s">
        <v>409</v>
      </c>
      <c r="C1032" s="18">
        <v>2024</v>
      </c>
      <c r="D1032" s="18" t="s">
        <v>61</v>
      </c>
      <c r="E1032" s="18" t="s">
        <v>79</v>
      </c>
      <c r="F1032" s="18" t="s">
        <v>80</v>
      </c>
      <c r="G1032" s="18" t="s">
        <v>44</v>
      </c>
      <c r="H1032" s="18" t="s">
        <v>95</v>
      </c>
      <c r="I1032" s="18" t="s">
        <v>40</v>
      </c>
      <c r="J1032" s="18" t="s">
        <v>102</v>
      </c>
      <c r="K1032" s="18">
        <v>2</v>
      </c>
      <c r="L1032" s="20">
        <v>4445.04</v>
      </c>
      <c r="M1032" s="21">
        <v>0</v>
      </c>
      <c r="N1032" s="21">
        <v>0.57200710300588897</v>
      </c>
      <c r="O1032" s="20">
        <f t="shared" si="64"/>
        <v>8890.08</v>
      </c>
      <c r="P1032" s="20">
        <f t="shared" si="65"/>
        <v>5085.188906290593</v>
      </c>
      <c r="Q1032" s="20">
        <f t="shared" si="66"/>
        <v>3804.891093709407</v>
      </c>
      <c r="R1032" s="22">
        <f t="shared" si="67"/>
        <v>0.42799289699411108</v>
      </c>
    </row>
    <row r="1033" spans="1:18">
      <c r="A1033" s="18">
        <v>2032</v>
      </c>
      <c r="B1033" s="19" t="s">
        <v>409</v>
      </c>
      <c r="C1033" s="18">
        <v>2024</v>
      </c>
      <c r="D1033" s="18" t="s">
        <v>61</v>
      </c>
      <c r="E1033" s="18" t="s">
        <v>79</v>
      </c>
      <c r="F1033" s="18" t="s">
        <v>80</v>
      </c>
      <c r="G1033" s="18" t="s">
        <v>41</v>
      </c>
      <c r="H1033" s="18" t="s">
        <v>101</v>
      </c>
      <c r="I1033" s="18" t="s">
        <v>49</v>
      </c>
      <c r="J1033" s="18" t="s">
        <v>82</v>
      </c>
      <c r="K1033" s="18">
        <v>5</v>
      </c>
      <c r="L1033" s="20">
        <v>53034.5</v>
      </c>
      <c r="M1033" s="21">
        <v>0.2</v>
      </c>
      <c r="N1033" s="21">
        <v>0.66992743613346994</v>
      </c>
      <c r="O1033" s="20">
        <f t="shared" si="64"/>
        <v>212138</v>
      </c>
      <c r="P1033" s="20">
        <f t="shared" si="65"/>
        <v>142117.06644648206</v>
      </c>
      <c r="Q1033" s="20">
        <f t="shared" si="66"/>
        <v>70020.933553517942</v>
      </c>
      <c r="R1033" s="22">
        <f t="shared" si="67"/>
        <v>0.33007256386653</v>
      </c>
    </row>
    <row r="1034" spans="1:18">
      <c r="A1034" s="18">
        <v>2033</v>
      </c>
      <c r="B1034" s="19" t="s">
        <v>409</v>
      </c>
      <c r="C1034" s="18">
        <v>2024</v>
      </c>
      <c r="D1034" s="18" t="s">
        <v>61</v>
      </c>
      <c r="E1034" s="18" t="s">
        <v>79</v>
      </c>
      <c r="F1034" s="18" t="s">
        <v>100</v>
      </c>
      <c r="G1034" s="18" t="s">
        <v>47</v>
      </c>
      <c r="H1034" s="18" t="s">
        <v>103</v>
      </c>
      <c r="I1034" s="18" t="s">
        <v>43</v>
      </c>
      <c r="J1034" s="18" t="s">
        <v>82</v>
      </c>
      <c r="K1034" s="18">
        <v>3</v>
      </c>
      <c r="L1034" s="20">
        <v>3193.74</v>
      </c>
      <c r="M1034" s="21">
        <v>0.15</v>
      </c>
      <c r="N1034" s="21">
        <v>0.72847805834461199</v>
      </c>
      <c r="O1034" s="20">
        <f t="shared" si="64"/>
        <v>8144.0369999999994</v>
      </c>
      <c r="P1034" s="20">
        <f t="shared" si="65"/>
        <v>5932.7522608466779</v>
      </c>
      <c r="Q1034" s="20">
        <f t="shared" si="66"/>
        <v>2211.2847391533214</v>
      </c>
      <c r="R1034" s="22">
        <f t="shared" si="67"/>
        <v>0.27152194165538807</v>
      </c>
    </row>
    <row r="1035" spans="1:18">
      <c r="A1035" s="18">
        <v>2034</v>
      </c>
      <c r="B1035" s="19" t="s">
        <v>409</v>
      </c>
      <c r="C1035" s="18">
        <v>2024</v>
      </c>
      <c r="D1035" s="18" t="s">
        <v>61</v>
      </c>
      <c r="E1035" s="18" t="s">
        <v>88</v>
      </c>
      <c r="F1035" s="18" t="s">
        <v>89</v>
      </c>
      <c r="G1035" s="18" t="s">
        <v>47</v>
      </c>
      <c r="H1035" s="18" t="s">
        <v>107</v>
      </c>
      <c r="I1035" s="18" t="s">
        <v>46</v>
      </c>
      <c r="J1035" s="18" t="s">
        <v>82</v>
      </c>
      <c r="K1035" s="18">
        <v>1</v>
      </c>
      <c r="L1035" s="20">
        <v>2209.58</v>
      </c>
      <c r="M1035" s="21">
        <v>0.05</v>
      </c>
      <c r="N1035" s="21">
        <v>0.67549717060269798</v>
      </c>
      <c r="O1035" s="20">
        <f t="shared" si="64"/>
        <v>2099.1009999999997</v>
      </c>
      <c r="P1035" s="20">
        <f t="shared" si="65"/>
        <v>1417.9367863092937</v>
      </c>
      <c r="Q1035" s="20">
        <f t="shared" si="66"/>
        <v>681.16421369070599</v>
      </c>
      <c r="R1035" s="22">
        <f t="shared" si="67"/>
        <v>0.32450282939730202</v>
      </c>
    </row>
    <row r="1036" spans="1:18">
      <c r="A1036" s="18">
        <v>2035</v>
      </c>
      <c r="B1036" s="19" t="s">
        <v>409</v>
      </c>
      <c r="C1036" s="18">
        <v>2024</v>
      </c>
      <c r="D1036" s="18" t="s">
        <v>61</v>
      </c>
      <c r="E1036" s="18" t="s">
        <v>79</v>
      </c>
      <c r="F1036" s="18" t="s">
        <v>100</v>
      </c>
      <c r="G1036" s="18" t="s">
        <v>41</v>
      </c>
      <c r="H1036" s="18" t="s">
        <v>90</v>
      </c>
      <c r="I1036" s="18" t="s">
        <v>60</v>
      </c>
      <c r="J1036" s="18" t="s">
        <v>91</v>
      </c>
      <c r="K1036" s="18">
        <v>2</v>
      </c>
      <c r="L1036" s="20">
        <v>18020.78</v>
      </c>
      <c r="M1036" s="21">
        <v>0.1</v>
      </c>
      <c r="N1036" s="21">
        <v>0.57836700529040497</v>
      </c>
      <c r="O1036" s="20">
        <f t="shared" si="64"/>
        <v>32437.403999999999</v>
      </c>
      <c r="P1036" s="20">
        <f t="shared" si="65"/>
        <v>18760.724210875003</v>
      </c>
      <c r="Q1036" s="20">
        <f t="shared" si="66"/>
        <v>13676.679789124995</v>
      </c>
      <c r="R1036" s="22">
        <f t="shared" si="67"/>
        <v>0.42163299470959503</v>
      </c>
    </row>
    <row r="1037" spans="1:18">
      <c r="A1037" s="18">
        <v>2036</v>
      </c>
      <c r="B1037" s="19" t="s">
        <v>410</v>
      </c>
      <c r="C1037" s="18">
        <v>2024</v>
      </c>
      <c r="D1037" s="18" t="s">
        <v>61</v>
      </c>
      <c r="E1037" s="18" t="s">
        <v>79</v>
      </c>
      <c r="F1037" s="18" t="s">
        <v>100</v>
      </c>
      <c r="G1037" s="18" t="s">
        <v>50</v>
      </c>
      <c r="H1037" s="18" t="s">
        <v>97</v>
      </c>
      <c r="I1037" s="18" t="s">
        <v>46</v>
      </c>
      <c r="J1037" s="18" t="s">
        <v>91</v>
      </c>
      <c r="K1037" s="18">
        <v>11</v>
      </c>
      <c r="L1037" s="20">
        <v>11744.22</v>
      </c>
      <c r="M1037" s="21">
        <v>0.2</v>
      </c>
      <c r="N1037" s="21">
        <v>0.62694876147324796</v>
      </c>
      <c r="O1037" s="20">
        <f t="shared" si="64"/>
        <v>103349.136</v>
      </c>
      <c r="P1037" s="20">
        <f t="shared" si="65"/>
        <v>64794.612814530265</v>
      </c>
      <c r="Q1037" s="20">
        <f t="shared" si="66"/>
        <v>38554.523185469734</v>
      </c>
      <c r="R1037" s="22">
        <f t="shared" si="67"/>
        <v>0.37305123852675204</v>
      </c>
    </row>
    <row r="1038" spans="1:18">
      <c r="A1038" s="18">
        <v>2037</v>
      </c>
      <c r="B1038" s="19" t="s">
        <v>410</v>
      </c>
      <c r="C1038" s="18">
        <v>2024</v>
      </c>
      <c r="D1038" s="18" t="s">
        <v>61</v>
      </c>
      <c r="E1038" s="18" t="s">
        <v>79</v>
      </c>
      <c r="F1038" s="18" t="s">
        <v>105</v>
      </c>
      <c r="G1038" s="18" t="s">
        <v>44</v>
      </c>
      <c r="H1038" s="18" t="s">
        <v>119</v>
      </c>
      <c r="I1038" s="18" t="s">
        <v>49</v>
      </c>
      <c r="J1038" s="18" t="s">
        <v>82</v>
      </c>
      <c r="K1038" s="18">
        <v>5</v>
      </c>
      <c r="L1038" s="20">
        <v>6900.12</v>
      </c>
      <c r="M1038" s="21">
        <v>0.15</v>
      </c>
      <c r="N1038" s="21">
        <v>0.616744958040641</v>
      </c>
      <c r="O1038" s="20">
        <f t="shared" si="64"/>
        <v>29325.51</v>
      </c>
      <c r="P1038" s="20">
        <f t="shared" si="65"/>
        <v>18086.360434470396</v>
      </c>
      <c r="Q1038" s="20">
        <f t="shared" si="66"/>
        <v>11239.149565529602</v>
      </c>
      <c r="R1038" s="22">
        <f t="shared" si="67"/>
        <v>0.383255041959359</v>
      </c>
    </row>
    <row r="1039" spans="1:18">
      <c r="A1039" s="18">
        <v>2038</v>
      </c>
      <c r="B1039" s="19" t="s">
        <v>410</v>
      </c>
      <c r="C1039" s="18">
        <v>2024</v>
      </c>
      <c r="D1039" s="18" t="s">
        <v>61</v>
      </c>
      <c r="E1039" s="18" t="s">
        <v>98</v>
      </c>
      <c r="F1039" s="18" t="s">
        <v>117</v>
      </c>
      <c r="G1039" s="18" t="s">
        <v>41</v>
      </c>
      <c r="H1039" s="18" t="s">
        <v>101</v>
      </c>
      <c r="I1039" s="18" t="s">
        <v>46</v>
      </c>
      <c r="J1039" s="18" t="s">
        <v>91</v>
      </c>
      <c r="K1039" s="18">
        <v>9</v>
      </c>
      <c r="L1039" s="20">
        <v>54091.64</v>
      </c>
      <c r="M1039" s="21">
        <v>0</v>
      </c>
      <c r="N1039" s="21">
        <v>0.685886662342019</v>
      </c>
      <c r="O1039" s="20">
        <f t="shared" si="64"/>
        <v>486824.76</v>
      </c>
      <c r="P1039" s="20">
        <f t="shared" si="65"/>
        <v>333906.60978185444</v>
      </c>
      <c r="Q1039" s="20">
        <f t="shared" si="66"/>
        <v>152918.15021814557</v>
      </c>
      <c r="R1039" s="22">
        <f t="shared" si="67"/>
        <v>0.314113337657981</v>
      </c>
    </row>
    <row r="1040" spans="1:18">
      <c r="A1040" s="18">
        <v>2039</v>
      </c>
      <c r="B1040" s="19" t="s">
        <v>411</v>
      </c>
      <c r="C1040" s="18">
        <v>2024</v>
      </c>
      <c r="D1040" s="18" t="s">
        <v>61</v>
      </c>
      <c r="E1040" s="18" t="s">
        <v>98</v>
      </c>
      <c r="F1040" s="18" t="s">
        <v>99</v>
      </c>
      <c r="G1040" s="18" t="s">
        <v>47</v>
      </c>
      <c r="H1040" s="18" t="s">
        <v>107</v>
      </c>
      <c r="I1040" s="18" t="s">
        <v>43</v>
      </c>
      <c r="J1040" s="18" t="s">
        <v>91</v>
      </c>
      <c r="K1040" s="18">
        <v>8</v>
      </c>
      <c r="L1040" s="20">
        <v>2235.58</v>
      </c>
      <c r="M1040" s="21">
        <v>0.05</v>
      </c>
      <c r="N1040" s="21">
        <v>0.71214388297048903</v>
      </c>
      <c r="O1040" s="20">
        <f t="shared" si="64"/>
        <v>16990.407999999999</v>
      </c>
      <c r="P1040" s="20">
        <f t="shared" si="65"/>
        <v>12099.615126372861</v>
      </c>
      <c r="Q1040" s="20">
        <f t="shared" si="66"/>
        <v>4890.7928736271388</v>
      </c>
      <c r="R1040" s="22">
        <f t="shared" si="67"/>
        <v>0.28785611702951092</v>
      </c>
    </row>
    <row r="1041" spans="1:18">
      <c r="A1041" s="18">
        <v>2040</v>
      </c>
      <c r="B1041" s="19" t="s">
        <v>411</v>
      </c>
      <c r="C1041" s="18">
        <v>2024</v>
      </c>
      <c r="D1041" s="18" t="s">
        <v>61</v>
      </c>
      <c r="E1041" s="18" t="s">
        <v>79</v>
      </c>
      <c r="F1041" s="18" t="s">
        <v>100</v>
      </c>
      <c r="G1041" s="18" t="s">
        <v>44</v>
      </c>
      <c r="H1041" s="18" t="s">
        <v>95</v>
      </c>
      <c r="I1041" s="18" t="s">
        <v>46</v>
      </c>
      <c r="J1041" s="18" t="s">
        <v>91</v>
      </c>
      <c r="K1041" s="18">
        <v>3</v>
      </c>
      <c r="L1041" s="20">
        <v>4450.7700000000004</v>
      </c>
      <c r="M1041" s="21">
        <v>0.2</v>
      </c>
      <c r="N1041" s="21">
        <v>0.70937014786235397</v>
      </c>
      <c r="O1041" s="20">
        <f t="shared" si="64"/>
        <v>10681.848000000002</v>
      </c>
      <c r="P1041" s="20">
        <f t="shared" si="65"/>
        <v>7577.3840952031915</v>
      </c>
      <c r="Q1041" s="20">
        <f t="shared" si="66"/>
        <v>3104.4639047968103</v>
      </c>
      <c r="R1041" s="22">
        <f t="shared" si="67"/>
        <v>0.29062985213764603</v>
      </c>
    </row>
    <row r="1042" spans="1:18">
      <c r="A1042" s="18">
        <v>2041</v>
      </c>
      <c r="B1042" s="19" t="s">
        <v>411</v>
      </c>
      <c r="C1042" s="18">
        <v>2024</v>
      </c>
      <c r="D1042" s="18" t="s">
        <v>61</v>
      </c>
      <c r="E1042" s="18" t="s">
        <v>85</v>
      </c>
      <c r="F1042" s="18" t="s">
        <v>86</v>
      </c>
      <c r="G1042" s="18" t="s">
        <v>41</v>
      </c>
      <c r="H1042" s="18" t="s">
        <v>112</v>
      </c>
      <c r="I1042" s="18" t="s">
        <v>52</v>
      </c>
      <c r="J1042" s="18" t="s">
        <v>82</v>
      </c>
      <c r="K1042" s="18">
        <v>2</v>
      </c>
      <c r="L1042" s="20">
        <v>5893.83</v>
      </c>
      <c r="M1042" s="21">
        <v>0</v>
      </c>
      <c r="N1042" s="21">
        <v>0.58637446726491405</v>
      </c>
      <c r="O1042" s="20">
        <f t="shared" si="64"/>
        <v>11787.66</v>
      </c>
      <c r="P1042" s="20">
        <f t="shared" si="65"/>
        <v>6911.9828527999371</v>
      </c>
      <c r="Q1042" s="20">
        <f t="shared" si="66"/>
        <v>4875.6771472000628</v>
      </c>
      <c r="R1042" s="22">
        <f t="shared" si="67"/>
        <v>0.4136255327350859</v>
      </c>
    </row>
    <row r="1043" spans="1:18">
      <c r="A1043" s="18">
        <v>2042</v>
      </c>
      <c r="B1043" s="19" t="s">
        <v>412</v>
      </c>
      <c r="C1043" s="18">
        <v>2024</v>
      </c>
      <c r="D1043" s="18" t="s">
        <v>61</v>
      </c>
      <c r="E1043" s="18" t="s">
        <v>98</v>
      </c>
      <c r="F1043" s="18" t="s">
        <v>109</v>
      </c>
      <c r="G1043" s="18" t="s">
        <v>50</v>
      </c>
      <c r="H1043" s="18" t="s">
        <v>97</v>
      </c>
      <c r="I1043" s="18" t="s">
        <v>58</v>
      </c>
      <c r="J1043" s="18" t="s">
        <v>102</v>
      </c>
      <c r="K1043" s="18">
        <v>7</v>
      </c>
      <c r="L1043" s="20">
        <v>12122.09</v>
      </c>
      <c r="M1043" s="21">
        <v>0.2</v>
      </c>
      <c r="N1043" s="21">
        <v>0.61669302901360601</v>
      </c>
      <c r="O1043" s="20">
        <f t="shared" si="64"/>
        <v>67883.704000000012</v>
      </c>
      <c r="P1043" s="20">
        <f t="shared" si="65"/>
        <v>41863.407040423052</v>
      </c>
      <c r="Q1043" s="20">
        <f t="shared" si="66"/>
        <v>26020.296959576961</v>
      </c>
      <c r="R1043" s="22">
        <f t="shared" si="67"/>
        <v>0.38330697098639399</v>
      </c>
    </row>
    <row r="1044" spans="1:18">
      <c r="A1044" s="18">
        <v>2043</v>
      </c>
      <c r="B1044" s="19" t="s">
        <v>412</v>
      </c>
      <c r="C1044" s="18">
        <v>2024</v>
      </c>
      <c r="D1044" s="18" t="s">
        <v>61</v>
      </c>
      <c r="E1044" s="18" t="s">
        <v>88</v>
      </c>
      <c r="F1044" s="18" t="s">
        <v>89</v>
      </c>
      <c r="G1044" s="18" t="s">
        <v>50</v>
      </c>
      <c r="H1044" s="18" t="s">
        <v>87</v>
      </c>
      <c r="I1044" s="18" t="s">
        <v>58</v>
      </c>
      <c r="J1044" s="18" t="s">
        <v>102</v>
      </c>
      <c r="K1044" s="18">
        <v>9</v>
      </c>
      <c r="L1044" s="20">
        <v>9492.9699999999993</v>
      </c>
      <c r="M1044" s="21">
        <v>0.15</v>
      </c>
      <c r="N1044" s="21">
        <v>0.71428083960729005</v>
      </c>
      <c r="O1044" s="20">
        <f t="shared" si="64"/>
        <v>72621.220499999996</v>
      </c>
      <c r="P1044" s="20">
        <f t="shared" si="65"/>
        <v>51871.946352046143</v>
      </c>
      <c r="Q1044" s="20">
        <f t="shared" si="66"/>
        <v>20749.274147953853</v>
      </c>
      <c r="R1044" s="22">
        <f t="shared" si="67"/>
        <v>0.28571916039270995</v>
      </c>
    </row>
    <row r="1045" spans="1:18">
      <c r="A1045" s="18">
        <v>2044</v>
      </c>
      <c r="B1045" s="19" t="s">
        <v>412</v>
      </c>
      <c r="C1045" s="18">
        <v>2024</v>
      </c>
      <c r="D1045" s="18" t="s">
        <v>61</v>
      </c>
      <c r="E1045" s="18" t="s">
        <v>85</v>
      </c>
      <c r="F1045" s="18" t="s">
        <v>86</v>
      </c>
      <c r="G1045" s="18" t="s">
        <v>50</v>
      </c>
      <c r="H1045" s="18" t="s">
        <v>87</v>
      </c>
      <c r="I1045" s="18" t="s">
        <v>62</v>
      </c>
      <c r="J1045" s="18" t="s">
        <v>102</v>
      </c>
      <c r="K1045" s="18">
        <v>12</v>
      </c>
      <c r="L1045" s="20">
        <v>9233.3700000000008</v>
      </c>
      <c r="M1045" s="21">
        <v>0</v>
      </c>
      <c r="N1045" s="21">
        <v>0.59703861379878098</v>
      </c>
      <c r="O1045" s="20">
        <f t="shared" si="64"/>
        <v>110800.44</v>
      </c>
      <c r="P1045" s="20">
        <f t="shared" si="65"/>
        <v>66152.141105895003</v>
      </c>
      <c r="Q1045" s="20">
        <f t="shared" si="66"/>
        <v>44648.298894104999</v>
      </c>
      <c r="R1045" s="22">
        <f t="shared" si="67"/>
        <v>0.40296138620121902</v>
      </c>
    </row>
    <row r="1046" spans="1:18">
      <c r="A1046" s="18">
        <v>2045</v>
      </c>
      <c r="B1046" s="19" t="s">
        <v>412</v>
      </c>
      <c r="C1046" s="18">
        <v>2024</v>
      </c>
      <c r="D1046" s="18" t="s">
        <v>61</v>
      </c>
      <c r="E1046" s="18" t="s">
        <v>79</v>
      </c>
      <c r="F1046" s="18" t="s">
        <v>100</v>
      </c>
      <c r="G1046" s="18" t="s">
        <v>41</v>
      </c>
      <c r="H1046" s="18" t="s">
        <v>106</v>
      </c>
      <c r="I1046" s="18" t="s">
        <v>60</v>
      </c>
      <c r="J1046" s="18" t="s">
        <v>91</v>
      </c>
      <c r="K1046" s="18">
        <v>3</v>
      </c>
      <c r="L1046" s="20">
        <v>2605.23</v>
      </c>
      <c r="M1046" s="21">
        <v>0</v>
      </c>
      <c r="N1046" s="21">
        <v>0.73227238558135599</v>
      </c>
      <c r="O1046" s="20">
        <f t="shared" si="64"/>
        <v>7815.6900000000005</v>
      </c>
      <c r="P1046" s="20">
        <f t="shared" si="65"/>
        <v>5723.2139612643487</v>
      </c>
      <c r="Q1046" s="20">
        <f t="shared" si="66"/>
        <v>2092.4760387356519</v>
      </c>
      <c r="R1046" s="22">
        <f t="shared" si="67"/>
        <v>0.26772761441864401</v>
      </c>
    </row>
    <row r="1047" spans="1:18">
      <c r="A1047" s="18">
        <v>2046</v>
      </c>
      <c r="B1047" s="19" t="s">
        <v>412</v>
      </c>
      <c r="C1047" s="18">
        <v>2024</v>
      </c>
      <c r="D1047" s="18" t="s">
        <v>61</v>
      </c>
      <c r="E1047" s="18" t="s">
        <v>98</v>
      </c>
      <c r="F1047" s="18" t="s">
        <v>117</v>
      </c>
      <c r="G1047" s="18" t="s">
        <v>47</v>
      </c>
      <c r="H1047" s="18" t="s">
        <v>107</v>
      </c>
      <c r="I1047" s="18" t="s">
        <v>46</v>
      </c>
      <c r="J1047" s="18" t="s">
        <v>102</v>
      </c>
      <c r="K1047" s="18">
        <v>7</v>
      </c>
      <c r="L1047" s="20">
        <v>2143.35</v>
      </c>
      <c r="M1047" s="21">
        <v>0</v>
      </c>
      <c r="N1047" s="21">
        <v>0.56117313317506801</v>
      </c>
      <c r="O1047" s="20">
        <f t="shared" si="64"/>
        <v>15003.449999999999</v>
      </c>
      <c r="P1047" s="20">
        <f t="shared" si="65"/>
        <v>8419.5330449354733</v>
      </c>
      <c r="Q1047" s="20">
        <f t="shared" si="66"/>
        <v>6583.9169550645256</v>
      </c>
      <c r="R1047" s="22">
        <f t="shared" si="67"/>
        <v>0.43882686682493199</v>
      </c>
    </row>
    <row r="1048" spans="1:18">
      <c r="A1048" s="18">
        <v>2047</v>
      </c>
      <c r="B1048" s="19" t="s">
        <v>413</v>
      </c>
      <c r="C1048" s="18">
        <v>2024</v>
      </c>
      <c r="D1048" s="18" t="s">
        <v>61</v>
      </c>
      <c r="E1048" s="18" t="s">
        <v>79</v>
      </c>
      <c r="F1048" s="18" t="s">
        <v>80</v>
      </c>
      <c r="G1048" s="18" t="s">
        <v>44</v>
      </c>
      <c r="H1048" s="18" t="s">
        <v>114</v>
      </c>
      <c r="I1048" s="18" t="s">
        <v>40</v>
      </c>
      <c r="J1048" s="18" t="s">
        <v>102</v>
      </c>
      <c r="K1048" s="18">
        <v>7</v>
      </c>
      <c r="L1048" s="20">
        <v>8884.52</v>
      </c>
      <c r="M1048" s="21">
        <v>0.2</v>
      </c>
      <c r="N1048" s="21">
        <v>0.57120196620039199</v>
      </c>
      <c r="O1048" s="20">
        <f t="shared" si="64"/>
        <v>49753.312000000005</v>
      </c>
      <c r="P1048" s="20">
        <f t="shared" si="65"/>
        <v>28419.189639381559</v>
      </c>
      <c r="Q1048" s="20">
        <f t="shared" si="66"/>
        <v>21334.122360618447</v>
      </c>
      <c r="R1048" s="22">
        <f t="shared" si="67"/>
        <v>0.42879803379960807</v>
      </c>
    </row>
    <row r="1049" spans="1:18">
      <c r="A1049" s="18">
        <v>2048</v>
      </c>
      <c r="B1049" s="19" t="s">
        <v>413</v>
      </c>
      <c r="C1049" s="18">
        <v>2024</v>
      </c>
      <c r="D1049" s="18" t="s">
        <v>61</v>
      </c>
      <c r="E1049" s="18" t="s">
        <v>79</v>
      </c>
      <c r="F1049" s="18" t="s">
        <v>105</v>
      </c>
      <c r="G1049" s="18" t="s">
        <v>44</v>
      </c>
      <c r="H1049" s="18" t="s">
        <v>119</v>
      </c>
      <c r="I1049" s="18" t="s">
        <v>46</v>
      </c>
      <c r="J1049" s="18" t="s">
        <v>91</v>
      </c>
      <c r="K1049" s="18">
        <v>3</v>
      </c>
      <c r="L1049" s="20">
        <v>6705.3</v>
      </c>
      <c r="M1049" s="21">
        <v>0</v>
      </c>
      <c r="N1049" s="21">
        <v>0.55249554003653401</v>
      </c>
      <c r="O1049" s="20">
        <f t="shared" si="64"/>
        <v>20115.900000000001</v>
      </c>
      <c r="P1049" s="20">
        <f t="shared" si="65"/>
        <v>11113.945033820915</v>
      </c>
      <c r="Q1049" s="20">
        <f t="shared" si="66"/>
        <v>9001.9549661790861</v>
      </c>
      <c r="R1049" s="22">
        <f t="shared" si="67"/>
        <v>0.44750445996346599</v>
      </c>
    </row>
    <row r="1050" spans="1:18">
      <c r="A1050" s="18">
        <v>2049</v>
      </c>
      <c r="B1050" s="19" t="s">
        <v>413</v>
      </c>
      <c r="C1050" s="18">
        <v>2024</v>
      </c>
      <c r="D1050" s="18" t="s">
        <v>61</v>
      </c>
      <c r="E1050" s="18" t="s">
        <v>85</v>
      </c>
      <c r="F1050" s="18" t="s">
        <v>86</v>
      </c>
      <c r="G1050" s="18" t="s">
        <v>44</v>
      </c>
      <c r="H1050" s="18" t="s">
        <v>114</v>
      </c>
      <c r="I1050" s="18" t="s">
        <v>46</v>
      </c>
      <c r="J1050" s="18" t="s">
        <v>102</v>
      </c>
      <c r="K1050" s="18">
        <v>9</v>
      </c>
      <c r="L1050" s="20">
        <v>9178.7099999999991</v>
      </c>
      <c r="M1050" s="21">
        <v>0.05</v>
      </c>
      <c r="N1050" s="21">
        <v>0.64403690012026205</v>
      </c>
      <c r="O1050" s="20">
        <f t="shared" si="64"/>
        <v>78477.970499999981</v>
      </c>
      <c r="P1050" s="20">
        <f t="shared" si="65"/>
        <v>50542.708848549359</v>
      </c>
      <c r="Q1050" s="20">
        <f t="shared" si="66"/>
        <v>27935.261651450623</v>
      </c>
      <c r="R1050" s="22">
        <f t="shared" si="67"/>
        <v>0.35596309987973795</v>
      </c>
    </row>
    <row r="1051" spans="1:18">
      <c r="A1051" s="18">
        <v>2050</v>
      </c>
      <c r="B1051" s="19" t="s">
        <v>414</v>
      </c>
      <c r="C1051" s="18">
        <v>2024</v>
      </c>
      <c r="D1051" s="18" t="s">
        <v>61</v>
      </c>
      <c r="E1051" s="18" t="s">
        <v>85</v>
      </c>
      <c r="F1051" s="18" t="s">
        <v>94</v>
      </c>
      <c r="G1051" s="18" t="s">
        <v>41</v>
      </c>
      <c r="H1051" s="18" t="s">
        <v>106</v>
      </c>
      <c r="I1051" s="18" t="s">
        <v>43</v>
      </c>
      <c r="J1051" s="18" t="s">
        <v>82</v>
      </c>
      <c r="K1051" s="18">
        <v>1</v>
      </c>
      <c r="L1051" s="20">
        <v>2595.29</v>
      </c>
      <c r="M1051" s="21">
        <v>0</v>
      </c>
      <c r="N1051" s="21">
        <v>0.67083471976389397</v>
      </c>
      <c r="O1051" s="20">
        <f t="shared" si="64"/>
        <v>2595.29</v>
      </c>
      <c r="P1051" s="20">
        <f t="shared" si="65"/>
        <v>1741.0106398560363</v>
      </c>
      <c r="Q1051" s="20">
        <f t="shared" si="66"/>
        <v>854.27936014396369</v>
      </c>
      <c r="R1051" s="22">
        <f t="shared" si="67"/>
        <v>0.32916528023610608</v>
      </c>
    </row>
    <row r="1052" spans="1:18">
      <c r="A1052" s="18">
        <v>2051</v>
      </c>
      <c r="B1052" s="19" t="s">
        <v>414</v>
      </c>
      <c r="C1052" s="18">
        <v>2024</v>
      </c>
      <c r="D1052" s="18" t="s">
        <v>61</v>
      </c>
      <c r="E1052" s="18" t="s">
        <v>88</v>
      </c>
      <c r="F1052" s="18" t="s">
        <v>93</v>
      </c>
      <c r="G1052" s="18" t="s">
        <v>44</v>
      </c>
      <c r="H1052" s="18" t="s">
        <v>119</v>
      </c>
      <c r="I1052" s="18" t="s">
        <v>56</v>
      </c>
      <c r="J1052" s="18" t="s">
        <v>91</v>
      </c>
      <c r="K1052" s="18">
        <v>11</v>
      </c>
      <c r="L1052" s="20">
        <v>7313.77</v>
      </c>
      <c r="M1052" s="21">
        <v>0.1</v>
      </c>
      <c r="N1052" s="21">
        <v>0.66083118425519305</v>
      </c>
      <c r="O1052" s="20">
        <f t="shared" si="64"/>
        <v>72406.323000000004</v>
      </c>
      <c r="P1052" s="20">
        <f t="shared" si="65"/>
        <v>47848.356175654022</v>
      </c>
      <c r="Q1052" s="20">
        <f t="shared" si="66"/>
        <v>24557.966824345982</v>
      </c>
      <c r="R1052" s="22">
        <f t="shared" si="67"/>
        <v>0.33916881574480701</v>
      </c>
    </row>
    <row r="1053" spans="1:18">
      <c r="A1053" s="18">
        <v>2052</v>
      </c>
      <c r="B1053" s="19" t="s">
        <v>414</v>
      </c>
      <c r="C1053" s="18">
        <v>2024</v>
      </c>
      <c r="D1053" s="18" t="s">
        <v>61</v>
      </c>
      <c r="E1053" s="18" t="s">
        <v>98</v>
      </c>
      <c r="F1053" s="18" t="s">
        <v>99</v>
      </c>
      <c r="G1053" s="18" t="s">
        <v>47</v>
      </c>
      <c r="H1053" s="18" t="s">
        <v>103</v>
      </c>
      <c r="I1053" s="18" t="s">
        <v>49</v>
      </c>
      <c r="J1053" s="18" t="s">
        <v>91</v>
      </c>
      <c r="K1053" s="18">
        <v>3</v>
      </c>
      <c r="L1053" s="20">
        <v>3126.98</v>
      </c>
      <c r="M1053" s="21">
        <v>0</v>
      </c>
      <c r="N1053" s="21">
        <v>0.65430020895236796</v>
      </c>
      <c r="O1053" s="20">
        <f t="shared" si="64"/>
        <v>9380.94</v>
      </c>
      <c r="P1053" s="20">
        <f t="shared" si="65"/>
        <v>6137.9510021696269</v>
      </c>
      <c r="Q1053" s="20">
        <f t="shared" si="66"/>
        <v>3242.9889978303736</v>
      </c>
      <c r="R1053" s="22">
        <f t="shared" si="67"/>
        <v>0.34569979104763204</v>
      </c>
    </row>
    <row r="1054" spans="1:18">
      <c r="A1054" s="18">
        <v>2053</v>
      </c>
      <c r="B1054" s="19" t="s">
        <v>414</v>
      </c>
      <c r="C1054" s="18">
        <v>2024</v>
      </c>
      <c r="D1054" s="18" t="s">
        <v>61</v>
      </c>
      <c r="E1054" s="18" t="s">
        <v>88</v>
      </c>
      <c r="F1054" s="18" t="s">
        <v>93</v>
      </c>
      <c r="G1054" s="18" t="s">
        <v>44</v>
      </c>
      <c r="H1054" s="18" t="s">
        <v>114</v>
      </c>
      <c r="I1054" s="18" t="s">
        <v>62</v>
      </c>
      <c r="J1054" s="18" t="s">
        <v>82</v>
      </c>
      <c r="K1054" s="18">
        <v>4</v>
      </c>
      <c r="L1054" s="20">
        <v>8903.06</v>
      </c>
      <c r="M1054" s="21">
        <v>0.2</v>
      </c>
      <c r="N1054" s="21">
        <v>0.74519747877015796</v>
      </c>
      <c r="O1054" s="20">
        <f t="shared" si="64"/>
        <v>28489.792000000001</v>
      </c>
      <c r="P1054" s="20">
        <f t="shared" si="65"/>
        <v>21230.521169086216</v>
      </c>
      <c r="Q1054" s="20">
        <f t="shared" si="66"/>
        <v>7259.2708309137852</v>
      </c>
      <c r="R1054" s="22">
        <f t="shared" si="67"/>
        <v>0.25480252122984209</v>
      </c>
    </row>
    <row r="1055" spans="1:18">
      <c r="A1055" s="18">
        <v>2054</v>
      </c>
      <c r="B1055" s="19" t="s">
        <v>415</v>
      </c>
      <c r="C1055" s="18">
        <v>2024</v>
      </c>
      <c r="D1055" s="18" t="s">
        <v>63</v>
      </c>
      <c r="E1055" s="18" t="s">
        <v>85</v>
      </c>
      <c r="F1055" s="18" t="s">
        <v>121</v>
      </c>
      <c r="G1055" s="18" t="s">
        <v>47</v>
      </c>
      <c r="H1055" s="18" t="s">
        <v>103</v>
      </c>
      <c r="I1055" s="18" t="s">
        <v>56</v>
      </c>
      <c r="J1055" s="18" t="s">
        <v>91</v>
      </c>
      <c r="K1055" s="18">
        <v>3</v>
      </c>
      <c r="L1055" s="20">
        <v>3057.49</v>
      </c>
      <c r="M1055" s="21">
        <v>0.05</v>
      </c>
      <c r="N1055" s="21">
        <v>0.67932943913969701</v>
      </c>
      <c r="O1055" s="20">
        <f t="shared" si="64"/>
        <v>8713.8464999999997</v>
      </c>
      <c r="P1055" s="20">
        <f t="shared" si="65"/>
        <v>5919.5724555944116</v>
      </c>
      <c r="Q1055" s="20">
        <f t="shared" si="66"/>
        <v>2794.274044405588</v>
      </c>
      <c r="R1055" s="22">
        <f t="shared" si="67"/>
        <v>0.32067056086030299</v>
      </c>
    </row>
    <row r="1056" spans="1:18">
      <c r="A1056" s="18">
        <v>2055</v>
      </c>
      <c r="B1056" s="19" t="s">
        <v>415</v>
      </c>
      <c r="C1056" s="18">
        <v>2024</v>
      </c>
      <c r="D1056" s="18" t="s">
        <v>63</v>
      </c>
      <c r="E1056" s="18" t="s">
        <v>88</v>
      </c>
      <c r="F1056" s="18" t="s">
        <v>89</v>
      </c>
      <c r="G1056" s="18" t="s">
        <v>41</v>
      </c>
      <c r="H1056" s="18" t="s">
        <v>90</v>
      </c>
      <c r="I1056" s="18" t="s">
        <v>43</v>
      </c>
      <c r="J1056" s="18" t="s">
        <v>91</v>
      </c>
      <c r="K1056" s="18">
        <v>10</v>
      </c>
      <c r="L1056" s="20">
        <v>18501.84</v>
      </c>
      <c r="M1056" s="21">
        <v>0.05</v>
      </c>
      <c r="N1056" s="21">
        <v>0.55560977196623396</v>
      </c>
      <c r="O1056" s="20">
        <f t="shared" si="64"/>
        <v>175767.47999999998</v>
      </c>
      <c r="P1056" s="20">
        <f t="shared" si="65"/>
        <v>97658.129481879572</v>
      </c>
      <c r="Q1056" s="20">
        <f t="shared" si="66"/>
        <v>78109.350518120409</v>
      </c>
      <c r="R1056" s="22">
        <f t="shared" si="67"/>
        <v>0.4443902280337661</v>
      </c>
    </row>
    <row r="1057" spans="1:18">
      <c r="A1057" s="18">
        <v>2056</v>
      </c>
      <c r="B1057" s="19" t="s">
        <v>416</v>
      </c>
      <c r="C1057" s="18">
        <v>2024</v>
      </c>
      <c r="D1057" s="18" t="s">
        <v>63</v>
      </c>
      <c r="E1057" s="18" t="s">
        <v>88</v>
      </c>
      <c r="F1057" s="18" t="s">
        <v>93</v>
      </c>
      <c r="G1057" s="18" t="s">
        <v>41</v>
      </c>
      <c r="H1057" s="18" t="s">
        <v>90</v>
      </c>
      <c r="I1057" s="18" t="s">
        <v>49</v>
      </c>
      <c r="J1057" s="18" t="s">
        <v>102</v>
      </c>
      <c r="K1057" s="18">
        <v>1</v>
      </c>
      <c r="L1057" s="20">
        <v>18461.740000000002</v>
      </c>
      <c r="M1057" s="21">
        <v>0.05</v>
      </c>
      <c r="N1057" s="21">
        <v>0.58754876189185901</v>
      </c>
      <c r="O1057" s="20">
        <f t="shared" si="64"/>
        <v>17538.653000000002</v>
      </c>
      <c r="P1057" s="20">
        <f t="shared" si="65"/>
        <v>10304.81385540094</v>
      </c>
      <c r="Q1057" s="20">
        <f t="shared" si="66"/>
        <v>7233.8391445990619</v>
      </c>
      <c r="R1057" s="22">
        <f t="shared" si="67"/>
        <v>0.41245123810814099</v>
      </c>
    </row>
    <row r="1058" spans="1:18">
      <c r="A1058" s="18">
        <v>2057</v>
      </c>
      <c r="B1058" s="19" t="s">
        <v>416</v>
      </c>
      <c r="C1058" s="18">
        <v>2024</v>
      </c>
      <c r="D1058" s="18" t="s">
        <v>63</v>
      </c>
      <c r="E1058" s="18" t="s">
        <v>88</v>
      </c>
      <c r="F1058" s="18" t="s">
        <v>93</v>
      </c>
      <c r="G1058" s="18" t="s">
        <v>41</v>
      </c>
      <c r="H1058" s="18" t="s">
        <v>101</v>
      </c>
      <c r="I1058" s="18" t="s">
        <v>52</v>
      </c>
      <c r="J1058" s="18" t="s">
        <v>82</v>
      </c>
      <c r="K1058" s="18">
        <v>10</v>
      </c>
      <c r="L1058" s="20">
        <v>55356.38</v>
      </c>
      <c r="M1058" s="21">
        <v>0.15</v>
      </c>
      <c r="N1058" s="21">
        <v>0.74729879467222904</v>
      </c>
      <c r="O1058" s="20">
        <f t="shared" si="64"/>
        <v>470529.22999999992</v>
      </c>
      <c r="P1058" s="20">
        <f t="shared" si="65"/>
        <v>351625.92643705197</v>
      </c>
      <c r="Q1058" s="20">
        <f t="shared" si="66"/>
        <v>118903.30356294796</v>
      </c>
      <c r="R1058" s="22">
        <f t="shared" si="67"/>
        <v>0.25270120532777096</v>
      </c>
    </row>
    <row r="1059" spans="1:18">
      <c r="A1059" s="18">
        <v>2058</v>
      </c>
      <c r="B1059" s="19" t="s">
        <v>416</v>
      </c>
      <c r="C1059" s="18">
        <v>2024</v>
      </c>
      <c r="D1059" s="18" t="s">
        <v>63</v>
      </c>
      <c r="E1059" s="18" t="s">
        <v>85</v>
      </c>
      <c r="F1059" s="18" t="s">
        <v>86</v>
      </c>
      <c r="G1059" s="18" t="s">
        <v>41</v>
      </c>
      <c r="H1059" s="18" t="s">
        <v>106</v>
      </c>
      <c r="I1059" s="18" t="s">
        <v>43</v>
      </c>
      <c r="J1059" s="18" t="s">
        <v>91</v>
      </c>
      <c r="K1059" s="18">
        <v>1</v>
      </c>
      <c r="L1059" s="20">
        <v>2620.14</v>
      </c>
      <c r="M1059" s="21">
        <v>0.05</v>
      </c>
      <c r="N1059" s="21">
        <v>0.74174780457934197</v>
      </c>
      <c r="O1059" s="20">
        <f t="shared" si="64"/>
        <v>2489.1329999999998</v>
      </c>
      <c r="P1059" s="20">
        <f t="shared" si="65"/>
        <v>1846.3089380559911</v>
      </c>
      <c r="Q1059" s="20">
        <f t="shared" si="66"/>
        <v>642.82406194400869</v>
      </c>
      <c r="R1059" s="22">
        <f t="shared" si="67"/>
        <v>0.25825219542065803</v>
      </c>
    </row>
    <row r="1060" spans="1:18">
      <c r="A1060" s="18">
        <v>2059</v>
      </c>
      <c r="B1060" s="19" t="s">
        <v>416</v>
      </c>
      <c r="C1060" s="18">
        <v>2024</v>
      </c>
      <c r="D1060" s="18" t="s">
        <v>63</v>
      </c>
      <c r="E1060" s="18" t="s">
        <v>88</v>
      </c>
      <c r="F1060" s="18" t="s">
        <v>89</v>
      </c>
      <c r="G1060" s="18" t="s">
        <v>50</v>
      </c>
      <c r="H1060" s="18" t="s">
        <v>87</v>
      </c>
      <c r="I1060" s="18" t="s">
        <v>54</v>
      </c>
      <c r="J1060" s="18" t="s">
        <v>82</v>
      </c>
      <c r="K1060" s="18">
        <v>12</v>
      </c>
      <c r="L1060" s="20">
        <v>9665.9500000000007</v>
      </c>
      <c r="M1060" s="21">
        <v>0.05</v>
      </c>
      <c r="N1060" s="21">
        <v>0.63145731225089896</v>
      </c>
      <c r="O1060" s="20">
        <f t="shared" si="64"/>
        <v>110191.83</v>
      </c>
      <c r="P1060" s="20">
        <f t="shared" si="65"/>
        <v>69581.43680380797</v>
      </c>
      <c r="Q1060" s="20">
        <f t="shared" si="66"/>
        <v>40610.393196192032</v>
      </c>
      <c r="R1060" s="22">
        <f t="shared" si="67"/>
        <v>0.36854268774910109</v>
      </c>
    </row>
    <row r="1061" spans="1:18">
      <c r="A1061" s="18">
        <v>2060</v>
      </c>
      <c r="B1061" s="19" t="s">
        <v>417</v>
      </c>
      <c r="C1061" s="18">
        <v>2024</v>
      </c>
      <c r="D1061" s="18" t="s">
        <v>63</v>
      </c>
      <c r="E1061" s="18" t="s">
        <v>88</v>
      </c>
      <c r="F1061" s="18" t="s">
        <v>110</v>
      </c>
      <c r="G1061" s="18" t="s">
        <v>50</v>
      </c>
      <c r="H1061" s="18" t="s">
        <v>97</v>
      </c>
      <c r="I1061" s="18" t="s">
        <v>62</v>
      </c>
      <c r="J1061" s="18" t="s">
        <v>82</v>
      </c>
      <c r="K1061" s="18">
        <v>5</v>
      </c>
      <c r="L1061" s="20">
        <v>11593.47</v>
      </c>
      <c r="M1061" s="21">
        <v>0.2</v>
      </c>
      <c r="N1061" s="21">
        <v>0.64262124460749803</v>
      </c>
      <c r="O1061" s="20">
        <f t="shared" si="64"/>
        <v>46373.880000000005</v>
      </c>
      <c r="P1061" s="20">
        <f t="shared" si="65"/>
        <v>29800.840482878764</v>
      </c>
      <c r="Q1061" s="20">
        <f t="shared" si="66"/>
        <v>16573.03951712124</v>
      </c>
      <c r="R1061" s="22">
        <f t="shared" si="67"/>
        <v>0.35737875539250197</v>
      </c>
    </row>
    <row r="1062" spans="1:18">
      <c r="A1062" s="18">
        <v>2061</v>
      </c>
      <c r="B1062" s="19" t="s">
        <v>417</v>
      </c>
      <c r="C1062" s="18">
        <v>2024</v>
      </c>
      <c r="D1062" s="18" t="s">
        <v>63</v>
      </c>
      <c r="E1062" s="18" t="s">
        <v>79</v>
      </c>
      <c r="F1062" s="18" t="s">
        <v>80</v>
      </c>
      <c r="G1062" s="18" t="s">
        <v>44</v>
      </c>
      <c r="H1062" s="18" t="s">
        <v>119</v>
      </c>
      <c r="I1062" s="18" t="s">
        <v>46</v>
      </c>
      <c r="J1062" s="18" t="s">
        <v>102</v>
      </c>
      <c r="K1062" s="18">
        <v>3</v>
      </c>
      <c r="L1062" s="20">
        <v>7345.39</v>
      </c>
      <c r="M1062" s="21">
        <v>0.15</v>
      </c>
      <c r="N1062" s="21">
        <v>0.65326015948098703</v>
      </c>
      <c r="O1062" s="20">
        <f t="shared" si="64"/>
        <v>18730.744500000001</v>
      </c>
      <c r="P1062" s="20">
        <f t="shared" si="65"/>
        <v>12236.049139267621</v>
      </c>
      <c r="Q1062" s="20">
        <f t="shared" si="66"/>
        <v>6494.6953607323794</v>
      </c>
      <c r="R1062" s="22">
        <f t="shared" si="67"/>
        <v>0.34673984051901297</v>
      </c>
    </row>
    <row r="1063" spans="1:18">
      <c r="A1063" s="18">
        <v>2062</v>
      </c>
      <c r="B1063" s="19" t="s">
        <v>418</v>
      </c>
      <c r="C1063" s="18">
        <v>2024</v>
      </c>
      <c r="D1063" s="18" t="s">
        <v>63</v>
      </c>
      <c r="E1063" s="18" t="s">
        <v>85</v>
      </c>
      <c r="F1063" s="18" t="s">
        <v>86</v>
      </c>
      <c r="G1063" s="18" t="s">
        <v>47</v>
      </c>
      <c r="H1063" s="18" t="s">
        <v>107</v>
      </c>
      <c r="I1063" s="18" t="s">
        <v>54</v>
      </c>
      <c r="J1063" s="18" t="s">
        <v>102</v>
      </c>
      <c r="K1063" s="18">
        <v>7</v>
      </c>
      <c r="L1063" s="20">
        <v>2098.8000000000002</v>
      </c>
      <c r="M1063" s="21">
        <v>0.2</v>
      </c>
      <c r="N1063" s="21">
        <v>0.70483500016163803</v>
      </c>
      <c r="O1063" s="20">
        <f t="shared" si="64"/>
        <v>11753.280000000002</v>
      </c>
      <c r="P1063" s="20">
        <f t="shared" si="65"/>
        <v>8284.1231106997784</v>
      </c>
      <c r="Q1063" s="20">
        <f t="shared" si="66"/>
        <v>3469.1568893002241</v>
      </c>
      <c r="R1063" s="22">
        <f t="shared" si="67"/>
        <v>0.29516499983836197</v>
      </c>
    </row>
    <row r="1064" spans="1:18">
      <c r="A1064" s="18">
        <v>2063</v>
      </c>
      <c r="B1064" s="19" t="s">
        <v>418</v>
      </c>
      <c r="C1064" s="18">
        <v>2024</v>
      </c>
      <c r="D1064" s="18" t="s">
        <v>63</v>
      </c>
      <c r="E1064" s="18" t="s">
        <v>85</v>
      </c>
      <c r="F1064" s="18" t="s">
        <v>86</v>
      </c>
      <c r="G1064" s="18" t="s">
        <v>44</v>
      </c>
      <c r="H1064" s="18" t="s">
        <v>95</v>
      </c>
      <c r="I1064" s="18" t="s">
        <v>62</v>
      </c>
      <c r="J1064" s="18" t="s">
        <v>82</v>
      </c>
      <c r="K1064" s="18">
        <v>3</v>
      </c>
      <c r="L1064" s="20">
        <v>4530.1099999999997</v>
      </c>
      <c r="M1064" s="21">
        <v>0.1</v>
      </c>
      <c r="N1064" s="21">
        <v>0.56948120862949902</v>
      </c>
      <c r="O1064" s="20">
        <f t="shared" si="64"/>
        <v>12231.296999999999</v>
      </c>
      <c r="P1064" s="20">
        <f t="shared" si="65"/>
        <v>6965.4937986663645</v>
      </c>
      <c r="Q1064" s="20">
        <f t="shared" si="66"/>
        <v>5265.8032013336342</v>
      </c>
      <c r="R1064" s="22">
        <f t="shared" si="67"/>
        <v>0.43051879137050098</v>
      </c>
    </row>
    <row r="1065" spans="1:18">
      <c r="A1065" s="18">
        <v>2064</v>
      </c>
      <c r="B1065" s="19" t="s">
        <v>418</v>
      </c>
      <c r="C1065" s="18">
        <v>2024</v>
      </c>
      <c r="D1065" s="18" t="s">
        <v>63</v>
      </c>
      <c r="E1065" s="18" t="s">
        <v>79</v>
      </c>
      <c r="F1065" s="18" t="s">
        <v>100</v>
      </c>
      <c r="G1065" s="18" t="s">
        <v>47</v>
      </c>
      <c r="H1065" s="18" t="s">
        <v>103</v>
      </c>
      <c r="I1065" s="18" t="s">
        <v>43</v>
      </c>
      <c r="J1065" s="18" t="s">
        <v>91</v>
      </c>
      <c r="K1065" s="18">
        <v>2</v>
      </c>
      <c r="L1065" s="20">
        <v>3185.54</v>
      </c>
      <c r="M1065" s="21">
        <v>0</v>
      </c>
      <c r="N1065" s="21">
        <v>0.73681119426430497</v>
      </c>
      <c r="O1065" s="20">
        <f t="shared" si="64"/>
        <v>6371.08</v>
      </c>
      <c r="P1065" s="20">
        <f t="shared" si="65"/>
        <v>4694.2830635534283</v>
      </c>
      <c r="Q1065" s="20">
        <f t="shared" si="66"/>
        <v>1676.7969364465716</v>
      </c>
      <c r="R1065" s="22">
        <f t="shared" si="67"/>
        <v>0.26318880573569498</v>
      </c>
    </row>
    <row r="1066" spans="1:18">
      <c r="A1066" s="18">
        <v>2065</v>
      </c>
      <c r="B1066" s="19" t="s">
        <v>418</v>
      </c>
      <c r="C1066" s="18">
        <v>2024</v>
      </c>
      <c r="D1066" s="18" t="s">
        <v>63</v>
      </c>
      <c r="E1066" s="18" t="s">
        <v>88</v>
      </c>
      <c r="F1066" s="18" t="s">
        <v>110</v>
      </c>
      <c r="G1066" s="18" t="s">
        <v>47</v>
      </c>
      <c r="H1066" s="18" t="s">
        <v>103</v>
      </c>
      <c r="I1066" s="18" t="s">
        <v>54</v>
      </c>
      <c r="J1066" s="18" t="s">
        <v>91</v>
      </c>
      <c r="K1066" s="18">
        <v>2</v>
      </c>
      <c r="L1066" s="20">
        <v>3062.76</v>
      </c>
      <c r="M1066" s="21">
        <v>0.2</v>
      </c>
      <c r="N1066" s="21">
        <v>0.70438810208550295</v>
      </c>
      <c r="O1066" s="20">
        <f t="shared" si="64"/>
        <v>4900.4160000000002</v>
      </c>
      <c r="P1066" s="20">
        <f t="shared" si="65"/>
        <v>3451.794725669432</v>
      </c>
      <c r="Q1066" s="20">
        <f t="shared" si="66"/>
        <v>1448.6212743305682</v>
      </c>
      <c r="R1066" s="22">
        <f t="shared" si="67"/>
        <v>0.2956118979144971</v>
      </c>
    </row>
    <row r="1067" spans="1:18">
      <c r="A1067" s="18">
        <v>2066</v>
      </c>
      <c r="B1067" s="19" t="s">
        <v>419</v>
      </c>
      <c r="C1067" s="18">
        <v>2024</v>
      </c>
      <c r="D1067" s="18" t="s">
        <v>63</v>
      </c>
      <c r="E1067" s="18" t="s">
        <v>85</v>
      </c>
      <c r="F1067" s="18" t="s">
        <v>121</v>
      </c>
      <c r="G1067" s="18" t="s">
        <v>50</v>
      </c>
      <c r="H1067" s="18" t="s">
        <v>87</v>
      </c>
      <c r="I1067" s="18" t="s">
        <v>46</v>
      </c>
      <c r="J1067" s="18" t="s">
        <v>82</v>
      </c>
      <c r="K1067" s="18">
        <v>10</v>
      </c>
      <c r="L1067" s="20">
        <v>9488.85</v>
      </c>
      <c r="M1067" s="21">
        <v>0.05</v>
      </c>
      <c r="N1067" s="21">
        <v>0.72180065108332803</v>
      </c>
      <c r="O1067" s="20">
        <f t="shared" si="64"/>
        <v>90144.074999999997</v>
      </c>
      <c r="P1067" s="20">
        <f t="shared" si="65"/>
        <v>65066.052026304351</v>
      </c>
      <c r="Q1067" s="20">
        <f t="shared" si="66"/>
        <v>25078.022973695646</v>
      </c>
      <c r="R1067" s="22">
        <f t="shared" si="67"/>
        <v>0.27819934891667197</v>
      </c>
    </row>
    <row r="1068" spans="1:18">
      <c r="A1068" s="18">
        <v>2067</v>
      </c>
      <c r="B1068" s="19" t="s">
        <v>419</v>
      </c>
      <c r="C1068" s="18">
        <v>2024</v>
      </c>
      <c r="D1068" s="18" t="s">
        <v>63</v>
      </c>
      <c r="E1068" s="18" t="s">
        <v>85</v>
      </c>
      <c r="F1068" s="18" t="s">
        <v>121</v>
      </c>
      <c r="G1068" s="18" t="s">
        <v>44</v>
      </c>
      <c r="H1068" s="18" t="s">
        <v>114</v>
      </c>
      <c r="I1068" s="18" t="s">
        <v>54</v>
      </c>
      <c r="J1068" s="18" t="s">
        <v>102</v>
      </c>
      <c r="K1068" s="18">
        <v>10</v>
      </c>
      <c r="L1068" s="20">
        <v>9406.84</v>
      </c>
      <c r="M1068" s="21">
        <v>0.05</v>
      </c>
      <c r="N1068" s="21">
        <v>0.56669810963004996</v>
      </c>
      <c r="O1068" s="20">
        <f t="shared" si="64"/>
        <v>89364.98</v>
      </c>
      <c r="P1068" s="20">
        <f t="shared" si="65"/>
        <v>50642.965233127223</v>
      </c>
      <c r="Q1068" s="20">
        <f t="shared" si="66"/>
        <v>38722.014766872773</v>
      </c>
      <c r="R1068" s="22">
        <f t="shared" si="67"/>
        <v>0.43330189036994998</v>
      </c>
    </row>
    <row r="1069" spans="1:18">
      <c r="A1069" s="18">
        <v>2068</v>
      </c>
      <c r="B1069" s="19" t="s">
        <v>419</v>
      </c>
      <c r="C1069" s="18">
        <v>2024</v>
      </c>
      <c r="D1069" s="18" t="s">
        <v>63</v>
      </c>
      <c r="E1069" s="18" t="s">
        <v>85</v>
      </c>
      <c r="F1069" s="18" t="s">
        <v>94</v>
      </c>
      <c r="G1069" s="18" t="s">
        <v>50</v>
      </c>
      <c r="H1069" s="18" t="s">
        <v>97</v>
      </c>
      <c r="I1069" s="18" t="s">
        <v>40</v>
      </c>
      <c r="J1069" s="18" t="s">
        <v>102</v>
      </c>
      <c r="K1069" s="18">
        <v>11</v>
      </c>
      <c r="L1069" s="20">
        <v>11468.47</v>
      </c>
      <c r="M1069" s="21">
        <v>0</v>
      </c>
      <c r="N1069" s="21">
        <v>0.68994905922000904</v>
      </c>
      <c r="O1069" s="20">
        <f t="shared" si="64"/>
        <v>126153.17</v>
      </c>
      <c r="P1069" s="20">
        <f t="shared" si="65"/>
        <v>87039.260959121864</v>
      </c>
      <c r="Q1069" s="20">
        <f t="shared" si="66"/>
        <v>39113.909040878134</v>
      </c>
      <c r="R1069" s="22">
        <f t="shared" si="67"/>
        <v>0.31005094077999096</v>
      </c>
    </row>
    <row r="1070" spans="1:18">
      <c r="A1070" s="18">
        <v>2069</v>
      </c>
      <c r="B1070" s="19" t="s">
        <v>419</v>
      </c>
      <c r="C1070" s="18">
        <v>2024</v>
      </c>
      <c r="D1070" s="18" t="s">
        <v>63</v>
      </c>
      <c r="E1070" s="18" t="s">
        <v>79</v>
      </c>
      <c r="F1070" s="18" t="s">
        <v>100</v>
      </c>
      <c r="G1070" s="18" t="s">
        <v>41</v>
      </c>
      <c r="H1070" s="18" t="s">
        <v>106</v>
      </c>
      <c r="I1070" s="18" t="s">
        <v>56</v>
      </c>
      <c r="J1070" s="18" t="s">
        <v>82</v>
      </c>
      <c r="K1070" s="18">
        <v>10</v>
      </c>
      <c r="L1070" s="20">
        <v>2474.8200000000002</v>
      </c>
      <c r="M1070" s="21">
        <v>0</v>
      </c>
      <c r="N1070" s="21">
        <v>0.59461025802526302</v>
      </c>
      <c r="O1070" s="20">
        <f t="shared" si="64"/>
        <v>24748.2</v>
      </c>
      <c r="P1070" s="20">
        <f t="shared" si="65"/>
        <v>14715.533587660815</v>
      </c>
      <c r="Q1070" s="20">
        <f t="shared" si="66"/>
        <v>10032.666412339186</v>
      </c>
      <c r="R1070" s="22">
        <f t="shared" si="67"/>
        <v>0.40538974197473698</v>
      </c>
    </row>
    <row r="1071" spans="1:18">
      <c r="A1071" s="18">
        <v>2070</v>
      </c>
      <c r="B1071" s="19" t="s">
        <v>420</v>
      </c>
      <c r="C1071" s="18">
        <v>2024</v>
      </c>
      <c r="D1071" s="18" t="s">
        <v>63</v>
      </c>
      <c r="E1071" s="18" t="s">
        <v>79</v>
      </c>
      <c r="F1071" s="18" t="s">
        <v>105</v>
      </c>
      <c r="G1071" s="18" t="s">
        <v>50</v>
      </c>
      <c r="H1071" s="18" t="s">
        <v>97</v>
      </c>
      <c r="I1071" s="18" t="s">
        <v>60</v>
      </c>
      <c r="J1071" s="18" t="s">
        <v>91</v>
      </c>
      <c r="K1071" s="18">
        <v>2</v>
      </c>
      <c r="L1071" s="20">
        <v>11502.99</v>
      </c>
      <c r="M1071" s="21">
        <v>0.2</v>
      </c>
      <c r="N1071" s="21">
        <v>0.57166966634610406</v>
      </c>
      <c r="O1071" s="20">
        <f t="shared" si="64"/>
        <v>18404.784</v>
      </c>
      <c r="P1071" s="20">
        <f t="shared" si="65"/>
        <v>10521.456728452114</v>
      </c>
      <c r="Q1071" s="20">
        <f t="shared" si="66"/>
        <v>7883.3272715478852</v>
      </c>
      <c r="R1071" s="22">
        <f t="shared" si="67"/>
        <v>0.42833033365389594</v>
      </c>
    </row>
    <row r="1072" spans="1:18">
      <c r="A1072" s="18">
        <v>2071</v>
      </c>
      <c r="B1072" s="19" t="s">
        <v>420</v>
      </c>
      <c r="C1072" s="18">
        <v>2024</v>
      </c>
      <c r="D1072" s="18" t="s">
        <v>63</v>
      </c>
      <c r="E1072" s="18" t="s">
        <v>85</v>
      </c>
      <c r="F1072" s="18" t="s">
        <v>121</v>
      </c>
      <c r="G1072" s="18" t="s">
        <v>44</v>
      </c>
      <c r="H1072" s="18" t="s">
        <v>114</v>
      </c>
      <c r="I1072" s="18" t="s">
        <v>54</v>
      </c>
      <c r="J1072" s="18" t="s">
        <v>82</v>
      </c>
      <c r="K1072" s="18">
        <v>6</v>
      </c>
      <c r="L1072" s="20">
        <v>8858.18</v>
      </c>
      <c r="M1072" s="21">
        <v>0.15</v>
      </c>
      <c r="N1072" s="21">
        <v>0.64725900324081698</v>
      </c>
      <c r="O1072" s="20">
        <f t="shared" si="64"/>
        <v>45176.718000000001</v>
      </c>
      <c r="P1072" s="20">
        <f t="shared" si="65"/>
        <v>29241.037462371474</v>
      </c>
      <c r="Q1072" s="20">
        <f t="shared" si="66"/>
        <v>15935.680537628527</v>
      </c>
      <c r="R1072" s="22">
        <f t="shared" si="67"/>
        <v>0.35274099675918302</v>
      </c>
    </row>
    <row r="1073" spans="1:18">
      <c r="A1073" s="18">
        <v>2072</v>
      </c>
      <c r="B1073" s="19" t="s">
        <v>420</v>
      </c>
      <c r="C1073" s="18">
        <v>2024</v>
      </c>
      <c r="D1073" s="18" t="s">
        <v>63</v>
      </c>
      <c r="E1073" s="18" t="s">
        <v>85</v>
      </c>
      <c r="F1073" s="18" t="s">
        <v>86</v>
      </c>
      <c r="G1073" s="18" t="s">
        <v>47</v>
      </c>
      <c r="H1073" s="18" t="s">
        <v>107</v>
      </c>
      <c r="I1073" s="18" t="s">
        <v>40</v>
      </c>
      <c r="J1073" s="18" t="s">
        <v>102</v>
      </c>
      <c r="K1073" s="18">
        <v>3</v>
      </c>
      <c r="L1073" s="20">
        <v>2298.6799999999998</v>
      </c>
      <c r="M1073" s="21">
        <v>0</v>
      </c>
      <c r="N1073" s="21">
        <v>0.67804327638964401</v>
      </c>
      <c r="O1073" s="20">
        <f t="shared" si="64"/>
        <v>6896.0399999999991</v>
      </c>
      <c r="P1073" s="20">
        <f t="shared" si="65"/>
        <v>4675.8135557140404</v>
      </c>
      <c r="Q1073" s="20">
        <f t="shared" si="66"/>
        <v>2220.2264442859587</v>
      </c>
      <c r="R1073" s="22">
        <f t="shared" si="67"/>
        <v>0.32195672361035593</v>
      </c>
    </row>
    <row r="1074" spans="1:18">
      <c r="A1074" s="18">
        <v>2073</v>
      </c>
      <c r="B1074" s="19" t="s">
        <v>420</v>
      </c>
      <c r="C1074" s="18">
        <v>2024</v>
      </c>
      <c r="D1074" s="18" t="s">
        <v>63</v>
      </c>
      <c r="E1074" s="18" t="s">
        <v>98</v>
      </c>
      <c r="F1074" s="18" t="s">
        <v>99</v>
      </c>
      <c r="G1074" s="18" t="s">
        <v>41</v>
      </c>
      <c r="H1074" s="18" t="s">
        <v>112</v>
      </c>
      <c r="I1074" s="18" t="s">
        <v>40</v>
      </c>
      <c r="J1074" s="18" t="s">
        <v>91</v>
      </c>
      <c r="K1074" s="18">
        <v>7</v>
      </c>
      <c r="L1074" s="20">
        <v>6287.14</v>
      </c>
      <c r="M1074" s="21">
        <v>0</v>
      </c>
      <c r="N1074" s="21">
        <v>0.56081550301833905</v>
      </c>
      <c r="O1074" s="20">
        <f t="shared" si="64"/>
        <v>44009.98</v>
      </c>
      <c r="P1074" s="20">
        <f t="shared" si="65"/>
        <v>24681.479071527043</v>
      </c>
      <c r="Q1074" s="20">
        <f t="shared" si="66"/>
        <v>19328.50092847296</v>
      </c>
      <c r="R1074" s="22">
        <f t="shared" si="67"/>
        <v>0.43918449698166095</v>
      </c>
    </row>
    <row r="1075" spans="1:18">
      <c r="A1075" s="18">
        <v>2074</v>
      </c>
      <c r="B1075" s="19" t="s">
        <v>420</v>
      </c>
      <c r="C1075" s="18">
        <v>2024</v>
      </c>
      <c r="D1075" s="18" t="s">
        <v>63</v>
      </c>
      <c r="E1075" s="18" t="s">
        <v>79</v>
      </c>
      <c r="F1075" s="18" t="s">
        <v>80</v>
      </c>
      <c r="G1075" s="18" t="s">
        <v>50</v>
      </c>
      <c r="H1075" s="18" t="s">
        <v>97</v>
      </c>
      <c r="I1075" s="18" t="s">
        <v>52</v>
      </c>
      <c r="J1075" s="18" t="s">
        <v>102</v>
      </c>
      <c r="K1075" s="18">
        <v>3</v>
      </c>
      <c r="L1075" s="20">
        <v>11500.31</v>
      </c>
      <c r="M1075" s="21">
        <v>0</v>
      </c>
      <c r="N1075" s="21">
        <v>0.60478106350461902</v>
      </c>
      <c r="O1075" s="20">
        <f t="shared" si="64"/>
        <v>34500.93</v>
      </c>
      <c r="P1075" s="20">
        <f t="shared" si="65"/>
        <v>20865.509137298417</v>
      </c>
      <c r="Q1075" s="20">
        <f t="shared" si="66"/>
        <v>13635.420862701583</v>
      </c>
      <c r="R1075" s="22">
        <f t="shared" si="67"/>
        <v>0.39521893649538092</v>
      </c>
    </row>
    <row r="1076" spans="1:18">
      <c r="A1076" s="18">
        <v>2075</v>
      </c>
      <c r="B1076" s="19" t="s">
        <v>421</v>
      </c>
      <c r="C1076" s="18">
        <v>2024</v>
      </c>
      <c r="D1076" s="18" t="s">
        <v>63</v>
      </c>
      <c r="E1076" s="18" t="s">
        <v>98</v>
      </c>
      <c r="F1076" s="18" t="s">
        <v>99</v>
      </c>
      <c r="G1076" s="18" t="s">
        <v>50</v>
      </c>
      <c r="H1076" s="18" t="s">
        <v>97</v>
      </c>
      <c r="I1076" s="18" t="s">
        <v>60</v>
      </c>
      <c r="J1076" s="18" t="s">
        <v>82</v>
      </c>
      <c r="K1076" s="18">
        <v>11</v>
      </c>
      <c r="L1076" s="20">
        <v>12471.69</v>
      </c>
      <c r="M1076" s="21">
        <v>0</v>
      </c>
      <c r="N1076" s="21">
        <v>0.71610981830022102</v>
      </c>
      <c r="O1076" s="20">
        <f t="shared" si="64"/>
        <v>137188.59</v>
      </c>
      <c r="P1076" s="20">
        <f t="shared" si="65"/>
        <v>98242.096257763522</v>
      </c>
      <c r="Q1076" s="20">
        <f t="shared" si="66"/>
        <v>38946.493742236475</v>
      </c>
      <c r="R1076" s="22">
        <f t="shared" si="67"/>
        <v>0.28389018169977892</v>
      </c>
    </row>
    <row r="1077" spans="1:18">
      <c r="A1077" s="18">
        <v>2076</v>
      </c>
      <c r="B1077" s="19" t="s">
        <v>421</v>
      </c>
      <c r="C1077" s="18">
        <v>2024</v>
      </c>
      <c r="D1077" s="18" t="s">
        <v>63</v>
      </c>
      <c r="E1077" s="18" t="s">
        <v>79</v>
      </c>
      <c r="F1077" s="18" t="s">
        <v>105</v>
      </c>
      <c r="G1077" s="18" t="s">
        <v>47</v>
      </c>
      <c r="H1077" s="18" t="s">
        <v>107</v>
      </c>
      <c r="I1077" s="18" t="s">
        <v>46</v>
      </c>
      <c r="J1077" s="18" t="s">
        <v>82</v>
      </c>
      <c r="K1077" s="18">
        <v>6</v>
      </c>
      <c r="L1077" s="20">
        <v>2297.23</v>
      </c>
      <c r="M1077" s="21">
        <v>0.1</v>
      </c>
      <c r="N1077" s="21">
        <v>0.64509988357947201</v>
      </c>
      <c r="O1077" s="20">
        <f t="shared" si="64"/>
        <v>12405.042000000001</v>
      </c>
      <c r="P1077" s="20">
        <f t="shared" si="65"/>
        <v>8002.4911499984619</v>
      </c>
      <c r="Q1077" s="20">
        <f t="shared" si="66"/>
        <v>4402.5508500015394</v>
      </c>
      <c r="R1077" s="22">
        <f t="shared" si="67"/>
        <v>0.35490011642052793</v>
      </c>
    </row>
    <row r="1078" spans="1:18">
      <c r="A1078" s="18">
        <v>2077</v>
      </c>
      <c r="B1078" s="19" t="s">
        <v>422</v>
      </c>
      <c r="C1078" s="18">
        <v>2024</v>
      </c>
      <c r="D1078" s="18" t="s">
        <v>63</v>
      </c>
      <c r="E1078" s="18" t="s">
        <v>85</v>
      </c>
      <c r="F1078" s="18" t="s">
        <v>121</v>
      </c>
      <c r="G1078" s="18" t="s">
        <v>50</v>
      </c>
      <c r="H1078" s="18" t="s">
        <v>83</v>
      </c>
      <c r="I1078" s="18" t="s">
        <v>60</v>
      </c>
      <c r="J1078" s="18" t="s">
        <v>102</v>
      </c>
      <c r="K1078" s="18">
        <v>4</v>
      </c>
      <c r="L1078" s="20">
        <v>3352.23</v>
      </c>
      <c r="M1078" s="21">
        <v>0.2</v>
      </c>
      <c r="N1078" s="21">
        <v>0.66569787206726105</v>
      </c>
      <c r="O1078" s="20">
        <f t="shared" si="64"/>
        <v>10727.136</v>
      </c>
      <c r="P1078" s="20">
        <f t="shared" si="65"/>
        <v>7141.0316085761106</v>
      </c>
      <c r="Q1078" s="20">
        <f t="shared" si="66"/>
        <v>3586.1043914238899</v>
      </c>
      <c r="R1078" s="22">
        <f t="shared" si="67"/>
        <v>0.33430212793273895</v>
      </c>
    </row>
    <row r="1079" spans="1:18">
      <c r="A1079" s="18">
        <v>2078</v>
      </c>
      <c r="B1079" s="19" t="s">
        <v>422</v>
      </c>
      <c r="C1079" s="18">
        <v>2024</v>
      </c>
      <c r="D1079" s="18" t="s">
        <v>63</v>
      </c>
      <c r="E1079" s="18" t="s">
        <v>88</v>
      </c>
      <c r="F1079" s="18" t="s">
        <v>89</v>
      </c>
      <c r="G1079" s="18" t="s">
        <v>47</v>
      </c>
      <c r="H1079" s="18" t="s">
        <v>81</v>
      </c>
      <c r="I1079" s="18" t="s">
        <v>46</v>
      </c>
      <c r="J1079" s="18" t="s">
        <v>91</v>
      </c>
      <c r="K1079" s="18">
        <v>3</v>
      </c>
      <c r="L1079" s="20">
        <v>799.96</v>
      </c>
      <c r="M1079" s="21">
        <v>0.05</v>
      </c>
      <c r="N1079" s="21">
        <v>0.57272137521507904</v>
      </c>
      <c r="O1079" s="20">
        <f t="shared" si="64"/>
        <v>2279.886</v>
      </c>
      <c r="P1079" s="20">
        <f t="shared" si="65"/>
        <v>1305.7394452536057</v>
      </c>
      <c r="Q1079" s="20">
        <f t="shared" si="66"/>
        <v>974.14655474639426</v>
      </c>
      <c r="R1079" s="22">
        <f t="shared" si="67"/>
        <v>0.42727862478492096</v>
      </c>
    </row>
    <row r="1080" spans="1:18">
      <c r="A1080" s="18">
        <v>2079</v>
      </c>
      <c r="B1080" s="19" t="s">
        <v>422</v>
      </c>
      <c r="C1080" s="18">
        <v>2024</v>
      </c>
      <c r="D1080" s="18" t="s">
        <v>63</v>
      </c>
      <c r="E1080" s="18" t="s">
        <v>85</v>
      </c>
      <c r="F1080" s="18" t="s">
        <v>121</v>
      </c>
      <c r="G1080" s="18" t="s">
        <v>41</v>
      </c>
      <c r="H1080" s="18" t="s">
        <v>112</v>
      </c>
      <c r="I1080" s="18" t="s">
        <v>46</v>
      </c>
      <c r="J1080" s="18" t="s">
        <v>102</v>
      </c>
      <c r="K1080" s="18">
        <v>8</v>
      </c>
      <c r="L1080" s="20">
        <v>6083.35</v>
      </c>
      <c r="M1080" s="21">
        <v>0.15</v>
      </c>
      <c r="N1080" s="21">
        <v>0.56948921089840798</v>
      </c>
      <c r="O1080" s="20">
        <f t="shared" si="64"/>
        <v>41366.78</v>
      </c>
      <c r="P1080" s="20">
        <f t="shared" si="65"/>
        <v>23557.934899608044</v>
      </c>
      <c r="Q1080" s="20">
        <f t="shared" si="66"/>
        <v>17808.845100391954</v>
      </c>
      <c r="R1080" s="22">
        <f t="shared" si="67"/>
        <v>0.43051078910159202</v>
      </c>
    </row>
    <row r="1081" spans="1:18">
      <c r="A1081" s="18">
        <v>2080</v>
      </c>
      <c r="B1081" s="19" t="s">
        <v>423</v>
      </c>
      <c r="C1081" s="18">
        <v>2024</v>
      </c>
      <c r="D1081" s="18" t="s">
        <v>63</v>
      </c>
      <c r="E1081" s="18" t="s">
        <v>88</v>
      </c>
      <c r="F1081" s="18" t="s">
        <v>89</v>
      </c>
      <c r="G1081" s="18" t="s">
        <v>44</v>
      </c>
      <c r="H1081" s="18" t="s">
        <v>95</v>
      </c>
      <c r="I1081" s="18" t="s">
        <v>56</v>
      </c>
      <c r="J1081" s="18" t="s">
        <v>82</v>
      </c>
      <c r="K1081" s="18">
        <v>6</v>
      </c>
      <c r="L1081" s="20">
        <v>4369.3900000000003</v>
      </c>
      <c r="M1081" s="21">
        <v>0</v>
      </c>
      <c r="N1081" s="21">
        <v>0.74434890103284801</v>
      </c>
      <c r="O1081" s="20">
        <f t="shared" si="64"/>
        <v>26216.340000000004</v>
      </c>
      <c r="P1081" s="20">
        <f t="shared" si="65"/>
        <v>19514.103868103499</v>
      </c>
      <c r="Q1081" s="20">
        <f t="shared" si="66"/>
        <v>6702.236131896505</v>
      </c>
      <c r="R1081" s="22">
        <f t="shared" si="67"/>
        <v>0.25565109896715194</v>
      </c>
    </row>
    <row r="1082" spans="1:18">
      <c r="A1082" s="18">
        <v>2081</v>
      </c>
      <c r="B1082" s="19" t="s">
        <v>423</v>
      </c>
      <c r="C1082" s="18">
        <v>2024</v>
      </c>
      <c r="D1082" s="18" t="s">
        <v>63</v>
      </c>
      <c r="E1082" s="18" t="s">
        <v>79</v>
      </c>
      <c r="F1082" s="18" t="s">
        <v>105</v>
      </c>
      <c r="G1082" s="18" t="s">
        <v>47</v>
      </c>
      <c r="H1082" s="18" t="s">
        <v>81</v>
      </c>
      <c r="I1082" s="18" t="s">
        <v>52</v>
      </c>
      <c r="J1082" s="18" t="s">
        <v>91</v>
      </c>
      <c r="K1082" s="18">
        <v>9</v>
      </c>
      <c r="L1082" s="20">
        <v>825.52</v>
      </c>
      <c r="M1082" s="21">
        <v>0</v>
      </c>
      <c r="N1082" s="21">
        <v>0.68986342921723498</v>
      </c>
      <c r="O1082" s="20">
        <f t="shared" si="64"/>
        <v>7429.68</v>
      </c>
      <c r="P1082" s="20">
        <f t="shared" si="65"/>
        <v>5125.4645227867068</v>
      </c>
      <c r="Q1082" s="20">
        <f t="shared" si="66"/>
        <v>2304.2154772132935</v>
      </c>
      <c r="R1082" s="22">
        <f t="shared" si="67"/>
        <v>0.31013657078276502</v>
      </c>
    </row>
    <row r="1083" spans="1:18">
      <c r="A1083" s="18">
        <v>2082</v>
      </c>
      <c r="B1083" s="19" t="s">
        <v>423</v>
      </c>
      <c r="C1083" s="18">
        <v>2024</v>
      </c>
      <c r="D1083" s="18" t="s">
        <v>63</v>
      </c>
      <c r="E1083" s="18" t="s">
        <v>85</v>
      </c>
      <c r="F1083" s="18" t="s">
        <v>121</v>
      </c>
      <c r="G1083" s="18" t="s">
        <v>50</v>
      </c>
      <c r="H1083" s="18" t="s">
        <v>97</v>
      </c>
      <c r="I1083" s="18" t="s">
        <v>54</v>
      </c>
      <c r="J1083" s="18" t="s">
        <v>102</v>
      </c>
      <c r="K1083" s="18">
        <v>7</v>
      </c>
      <c r="L1083" s="20">
        <v>12027.8</v>
      </c>
      <c r="M1083" s="21">
        <v>0.05</v>
      </c>
      <c r="N1083" s="21">
        <v>0.57267599988929796</v>
      </c>
      <c r="O1083" s="20">
        <f t="shared" si="64"/>
        <v>79984.869999999981</v>
      </c>
      <c r="P1083" s="20">
        <f t="shared" si="65"/>
        <v>45805.415403265499</v>
      </c>
      <c r="Q1083" s="20">
        <f t="shared" si="66"/>
        <v>34179.454596734482</v>
      </c>
      <c r="R1083" s="22">
        <f t="shared" si="67"/>
        <v>0.42732400011070204</v>
      </c>
    </row>
    <row r="1084" spans="1:18">
      <c r="A1084" s="18">
        <v>2083</v>
      </c>
      <c r="B1084" s="19" t="s">
        <v>424</v>
      </c>
      <c r="C1084" s="18">
        <v>2024</v>
      </c>
      <c r="D1084" s="18" t="s">
        <v>63</v>
      </c>
      <c r="E1084" s="18" t="s">
        <v>85</v>
      </c>
      <c r="F1084" s="18" t="s">
        <v>121</v>
      </c>
      <c r="G1084" s="18" t="s">
        <v>47</v>
      </c>
      <c r="H1084" s="18" t="s">
        <v>81</v>
      </c>
      <c r="I1084" s="18" t="s">
        <v>60</v>
      </c>
      <c r="J1084" s="18" t="s">
        <v>102</v>
      </c>
      <c r="K1084" s="18">
        <v>3</v>
      </c>
      <c r="L1084" s="20">
        <v>803.42</v>
      </c>
      <c r="M1084" s="21">
        <v>0.1</v>
      </c>
      <c r="N1084" s="21">
        <v>0.60700558698936102</v>
      </c>
      <c r="O1084" s="20">
        <f t="shared" si="64"/>
        <v>2169.2339999999999</v>
      </c>
      <c r="P1084" s="20">
        <f t="shared" si="65"/>
        <v>1316.7371574872795</v>
      </c>
      <c r="Q1084" s="20">
        <f t="shared" si="66"/>
        <v>852.49684251272038</v>
      </c>
      <c r="R1084" s="22">
        <f t="shared" si="67"/>
        <v>0.39299441301063898</v>
      </c>
    </row>
    <row r="1085" spans="1:18">
      <c r="A1085" s="18">
        <v>2084</v>
      </c>
      <c r="B1085" s="19" t="s">
        <v>424</v>
      </c>
      <c r="C1085" s="18">
        <v>2024</v>
      </c>
      <c r="D1085" s="18" t="s">
        <v>63</v>
      </c>
      <c r="E1085" s="18" t="s">
        <v>85</v>
      </c>
      <c r="F1085" s="18" t="s">
        <v>94</v>
      </c>
      <c r="G1085" s="18" t="s">
        <v>47</v>
      </c>
      <c r="H1085" s="18" t="s">
        <v>103</v>
      </c>
      <c r="I1085" s="18" t="s">
        <v>62</v>
      </c>
      <c r="J1085" s="18" t="s">
        <v>82</v>
      </c>
      <c r="K1085" s="18">
        <v>2</v>
      </c>
      <c r="L1085" s="20">
        <v>3297.9</v>
      </c>
      <c r="M1085" s="21">
        <v>0</v>
      </c>
      <c r="N1085" s="21">
        <v>0.56792758800033405</v>
      </c>
      <c r="O1085" s="20">
        <f t="shared" si="64"/>
        <v>6595.8</v>
      </c>
      <c r="P1085" s="20">
        <f t="shared" si="65"/>
        <v>3745.9367849326036</v>
      </c>
      <c r="Q1085" s="20">
        <f t="shared" si="66"/>
        <v>2849.8632150673966</v>
      </c>
      <c r="R1085" s="22">
        <f t="shared" si="67"/>
        <v>0.43207241199966595</v>
      </c>
    </row>
    <row r="1086" spans="1:18">
      <c r="A1086" s="18">
        <v>2085</v>
      </c>
      <c r="B1086" s="19" t="s">
        <v>424</v>
      </c>
      <c r="C1086" s="18">
        <v>2024</v>
      </c>
      <c r="D1086" s="18" t="s">
        <v>63</v>
      </c>
      <c r="E1086" s="18" t="s">
        <v>79</v>
      </c>
      <c r="F1086" s="18" t="s">
        <v>80</v>
      </c>
      <c r="G1086" s="18" t="s">
        <v>50</v>
      </c>
      <c r="H1086" s="18" t="s">
        <v>83</v>
      </c>
      <c r="I1086" s="18" t="s">
        <v>58</v>
      </c>
      <c r="J1086" s="18" t="s">
        <v>102</v>
      </c>
      <c r="K1086" s="18">
        <v>10</v>
      </c>
      <c r="L1086" s="20">
        <v>3649.53</v>
      </c>
      <c r="M1086" s="21">
        <v>0</v>
      </c>
      <c r="N1086" s="21">
        <v>0.67670503026858497</v>
      </c>
      <c r="O1086" s="20">
        <f t="shared" si="64"/>
        <v>36495.300000000003</v>
      </c>
      <c r="P1086" s="20">
        <f t="shared" si="65"/>
        <v>24696.553091161091</v>
      </c>
      <c r="Q1086" s="20">
        <f t="shared" si="66"/>
        <v>11798.746908838912</v>
      </c>
      <c r="R1086" s="22">
        <f t="shared" si="67"/>
        <v>0.32329496973141503</v>
      </c>
    </row>
    <row r="1087" spans="1:18">
      <c r="A1087" s="18">
        <v>2086</v>
      </c>
      <c r="B1087" s="19" t="s">
        <v>425</v>
      </c>
      <c r="C1087" s="18">
        <v>2024</v>
      </c>
      <c r="D1087" s="18" t="s">
        <v>63</v>
      </c>
      <c r="E1087" s="18" t="s">
        <v>98</v>
      </c>
      <c r="F1087" s="18" t="s">
        <v>109</v>
      </c>
      <c r="G1087" s="18" t="s">
        <v>44</v>
      </c>
      <c r="H1087" s="18" t="s">
        <v>119</v>
      </c>
      <c r="I1087" s="18" t="s">
        <v>58</v>
      </c>
      <c r="J1087" s="18" t="s">
        <v>102</v>
      </c>
      <c r="K1087" s="18">
        <v>7</v>
      </c>
      <c r="L1087" s="20">
        <v>6730.15</v>
      </c>
      <c r="M1087" s="21">
        <v>0.1</v>
      </c>
      <c r="N1087" s="21">
        <v>0.74011029917663396</v>
      </c>
      <c r="O1087" s="20">
        <f t="shared" si="64"/>
        <v>42399.945</v>
      </c>
      <c r="P1087" s="20">
        <f t="shared" si="65"/>
        <v>31380.635979022823</v>
      </c>
      <c r="Q1087" s="20">
        <f t="shared" si="66"/>
        <v>11019.309020977176</v>
      </c>
      <c r="R1087" s="22">
        <f t="shared" si="67"/>
        <v>0.2598897008233661</v>
      </c>
    </row>
    <row r="1088" spans="1:18">
      <c r="A1088" s="18">
        <v>2087</v>
      </c>
      <c r="B1088" s="19" t="s">
        <v>425</v>
      </c>
      <c r="C1088" s="18">
        <v>2024</v>
      </c>
      <c r="D1088" s="18" t="s">
        <v>63</v>
      </c>
      <c r="E1088" s="18" t="s">
        <v>98</v>
      </c>
      <c r="F1088" s="18" t="s">
        <v>109</v>
      </c>
      <c r="G1088" s="18" t="s">
        <v>50</v>
      </c>
      <c r="H1088" s="18" t="s">
        <v>87</v>
      </c>
      <c r="I1088" s="18" t="s">
        <v>56</v>
      </c>
      <c r="J1088" s="18" t="s">
        <v>82</v>
      </c>
      <c r="K1088" s="18">
        <v>6</v>
      </c>
      <c r="L1088" s="20">
        <v>9768.09</v>
      </c>
      <c r="M1088" s="21">
        <v>0.15</v>
      </c>
      <c r="N1088" s="21">
        <v>0.60672088454307505</v>
      </c>
      <c r="O1088" s="20">
        <f t="shared" si="64"/>
        <v>49817.258999999998</v>
      </c>
      <c r="P1088" s="20">
        <f t="shared" si="65"/>
        <v>30225.171445991466</v>
      </c>
      <c r="Q1088" s="20">
        <f t="shared" si="66"/>
        <v>19592.087554008533</v>
      </c>
      <c r="R1088" s="22">
        <f t="shared" si="67"/>
        <v>0.39327911545692495</v>
      </c>
    </row>
    <row r="1089" spans="1:18">
      <c r="A1089" s="18">
        <v>2088</v>
      </c>
      <c r="B1089" s="19" t="s">
        <v>426</v>
      </c>
      <c r="C1089" s="18">
        <v>2024</v>
      </c>
      <c r="D1089" s="18" t="s">
        <v>63</v>
      </c>
      <c r="E1089" s="18" t="s">
        <v>98</v>
      </c>
      <c r="F1089" s="18" t="s">
        <v>109</v>
      </c>
      <c r="G1089" s="18" t="s">
        <v>44</v>
      </c>
      <c r="H1089" s="18" t="s">
        <v>119</v>
      </c>
      <c r="I1089" s="18" t="s">
        <v>56</v>
      </c>
      <c r="J1089" s="18" t="s">
        <v>82</v>
      </c>
      <c r="K1089" s="18">
        <v>1</v>
      </c>
      <c r="L1089" s="20">
        <v>6668.37</v>
      </c>
      <c r="M1089" s="21">
        <v>0.05</v>
      </c>
      <c r="N1089" s="21">
        <v>0.71815392496691199</v>
      </c>
      <c r="O1089" s="20">
        <f t="shared" si="64"/>
        <v>6334.9514999999992</v>
      </c>
      <c r="P1089" s="20">
        <f t="shared" si="65"/>
        <v>4549.4702842000261</v>
      </c>
      <c r="Q1089" s="20">
        <f t="shared" si="66"/>
        <v>1785.4812157999731</v>
      </c>
      <c r="R1089" s="22">
        <f t="shared" si="67"/>
        <v>0.28184607503308801</v>
      </c>
    </row>
    <row r="1090" spans="1:18">
      <c r="A1090" s="18">
        <v>2089</v>
      </c>
      <c r="B1090" s="19" t="s">
        <v>426</v>
      </c>
      <c r="C1090" s="18">
        <v>2024</v>
      </c>
      <c r="D1090" s="18" t="s">
        <v>63</v>
      </c>
      <c r="E1090" s="18" t="s">
        <v>98</v>
      </c>
      <c r="F1090" s="18" t="s">
        <v>109</v>
      </c>
      <c r="G1090" s="18" t="s">
        <v>44</v>
      </c>
      <c r="H1090" s="18" t="s">
        <v>95</v>
      </c>
      <c r="I1090" s="18" t="s">
        <v>56</v>
      </c>
      <c r="J1090" s="18" t="s">
        <v>82</v>
      </c>
      <c r="K1090" s="18">
        <v>9</v>
      </c>
      <c r="L1090" s="20">
        <v>4713.07</v>
      </c>
      <c r="M1090" s="21">
        <v>0</v>
      </c>
      <c r="N1090" s="21">
        <v>0.67325358337824703</v>
      </c>
      <c r="O1090" s="20">
        <f t="shared" ref="O1090:O1153" si="68">K1090*L1090*(1-M1090)</f>
        <v>42417.63</v>
      </c>
      <c r="P1090" s="20">
        <f t="shared" ref="P1090:P1153" si="69">O1090*N1090</f>
        <v>28557.82139591263</v>
      </c>
      <c r="Q1090" s="20">
        <f t="shared" ref="Q1090:Q1153" si="70">O1090-P1090</f>
        <v>13859.808604087368</v>
      </c>
      <c r="R1090" s="22">
        <f t="shared" ref="R1090:R1153" si="71">IF(O1090=0,0,Q1090/O1090)</f>
        <v>0.32674641662175302</v>
      </c>
    </row>
    <row r="1091" spans="1:18">
      <c r="A1091" s="18">
        <v>2090</v>
      </c>
      <c r="B1091" s="19" t="s">
        <v>426</v>
      </c>
      <c r="C1091" s="18">
        <v>2024</v>
      </c>
      <c r="D1091" s="18" t="s">
        <v>63</v>
      </c>
      <c r="E1091" s="18" t="s">
        <v>85</v>
      </c>
      <c r="F1091" s="18" t="s">
        <v>86</v>
      </c>
      <c r="G1091" s="18" t="s">
        <v>50</v>
      </c>
      <c r="H1091" s="18" t="s">
        <v>83</v>
      </c>
      <c r="I1091" s="18" t="s">
        <v>56</v>
      </c>
      <c r="J1091" s="18" t="s">
        <v>102</v>
      </c>
      <c r="K1091" s="18">
        <v>3</v>
      </c>
      <c r="L1091" s="20">
        <v>3466.09</v>
      </c>
      <c r="M1091" s="21">
        <v>0.05</v>
      </c>
      <c r="N1091" s="21">
        <v>0.65345541560417997</v>
      </c>
      <c r="O1091" s="20">
        <f t="shared" si="68"/>
        <v>9878.3564999999999</v>
      </c>
      <c r="P1091" s="20">
        <f t="shared" si="69"/>
        <v>6455.0655521937524</v>
      </c>
      <c r="Q1091" s="20">
        <f t="shared" si="70"/>
        <v>3423.2909478062475</v>
      </c>
      <c r="R1091" s="22">
        <f t="shared" si="71"/>
        <v>0.34654458439582003</v>
      </c>
    </row>
    <row r="1092" spans="1:18">
      <c r="A1092" s="18">
        <v>2091</v>
      </c>
      <c r="B1092" s="19" t="s">
        <v>426</v>
      </c>
      <c r="C1092" s="18">
        <v>2024</v>
      </c>
      <c r="D1092" s="18" t="s">
        <v>63</v>
      </c>
      <c r="E1092" s="18" t="s">
        <v>85</v>
      </c>
      <c r="F1092" s="18" t="s">
        <v>86</v>
      </c>
      <c r="G1092" s="18" t="s">
        <v>41</v>
      </c>
      <c r="H1092" s="18" t="s">
        <v>101</v>
      </c>
      <c r="I1092" s="18" t="s">
        <v>60</v>
      </c>
      <c r="J1092" s="18" t="s">
        <v>82</v>
      </c>
      <c r="K1092" s="18">
        <v>11</v>
      </c>
      <c r="L1092" s="20">
        <v>55423.14</v>
      </c>
      <c r="M1092" s="21">
        <v>0.1</v>
      </c>
      <c r="N1092" s="21">
        <v>0.718606145325559</v>
      </c>
      <c r="O1092" s="20">
        <f t="shared" si="68"/>
        <v>548689.08600000001</v>
      </c>
      <c r="P1092" s="20">
        <f t="shared" si="69"/>
        <v>394291.34907266416</v>
      </c>
      <c r="Q1092" s="20">
        <f t="shared" si="70"/>
        <v>154397.73692733585</v>
      </c>
      <c r="R1092" s="22">
        <f t="shared" si="71"/>
        <v>0.281393854674441</v>
      </c>
    </row>
    <row r="1093" spans="1:18">
      <c r="A1093" s="18">
        <v>2092</v>
      </c>
      <c r="B1093" s="19" t="s">
        <v>427</v>
      </c>
      <c r="C1093" s="18">
        <v>2024</v>
      </c>
      <c r="D1093" s="18" t="s">
        <v>63</v>
      </c>
      <c r="E1093" s="18" t="s">
        <v>88</v>
      </c>
      <c r="F1093" s="18" t="s">
        <v>89</v>
      </c>
      <c r="G1093" s="18" t="s">
        <v>44</v>
      </c>
      <c r="H1093" s="18" t="s">
        <v>119</v>
      </c>
      <c r="I1093" s="18" t="s">
        <v>43</v>
      </c>
      <c r="J1093" s="18" t="s">
        <v>82</v>
      </c>
      <c r="K1093" s="18">
        <v>7</v>
      </c>
      <c r="L1093" s="20">
        <v>6658.08</v>
      </c>
      <c r="M1093" s="21">
        <v>0.15</v>
      </c>
      <c r="N1093" s="21">
        <v>0.58060972247692699</v>
      </c>
      <c r="O1093" s="20">
        <f t="shared" si="68"/>
        <v>39615.575999999994</v>
      </c>
      <c r="P1093" s="20">
        <f t="shared" si="69"/>
        <v>23001.188587123605</v>
      </c>
      <c r="Q1093" s="20">
        <f t="shared" si="70"/>
        <v>16614.387412876389</v>
      </c>
      <c r="R1093" s="22">
        <f t="shared" si="71"/>
        <v>0.41939027752307306</v>
      </c>
    </row>
    <row r="1094" spans="1:18">
      <c r="A1094" s="18">
        <v>2093</v>
      </c>
      <c r="B1094" s="19" t="s">
        <v>427</v>
      </c>
      <c r="C1094" s="18">
        <v>2024</v>
      </c>
      <c r="D1094" s="18" t="s">
        <v>63</v>
      </c>
      <c r="E1094" s="18" t="s">
        <v>79</v>
      </c>
      <c r="F1094" s="18" t="s">
        <v>80</v>
      </c>
      <c r="G1094" s="18" t="s">
        <v>50</v>
      </c>
      <c r="H1094" s="18" t="s">
        <v>83</v>
      </c>
      <c r="I1094" s="18" t="s">
        <v>46</v>
      </c>
      <c r="J1094" s="18" t="s">
        <v>91</v>
      </c>
      <c r="K1094" s="18">
        <v>11</v>
      </c>
      <c r="L1094" s="20">
        <v>3546.03</v>
      </c>
      <c r="M1094" s="21">
        <v>0.05</v>
      </c>
      <c r="N1094" s="21">
        <v>0.58731103426176601</v>
      </c>
      <c r="O1094" s="20">
        <f t="shared" si="68"/>
        <v>37056.013500000001</v>
      </c>
      <c r="P1094" s="20">
        <f t="shared" si="69"/>
        <v>21763.405614302963</v>
      </c>
      <c r="Q1094" s="20">
        <f t="shared" si="70"/>
        <v>15292.607885697038</v>
      </c>
      <c r="R1094" s="22">
        <f t="shared" si="71"/>
        <v>0.41268896573823405</v>
      </c>
    </row>
    <row r="1095" spans="1:18">
      <c r="A1095" s="18">
        <v>2094</v>
      </c>
      <c r="B1095" s="19" t="s">
        <v>427</v>
      </c>
      <c r="C1095" s="18">
        <v>2024</v>
      </c>
      <c r="D1095" s="18" t="s">
        <v>63</v>
      </c>
      <c r="E1095" s="18" t="s">
        <v>88</v>
      </c>
      <c r="F1095" s="18" t="s">
        <v>89</v>
      </c>
      <c r="G1095" s="18" t="s">
        <v>44</v>
      </c>
      <c r="H1095" s="18" t="s">
        <v>95</v>
      </c>
      <c r="I1095" s="18" t="s">
        <v>49</v>
      </c>
      <c r="J1095" s="18" t="s">
        <v>102</v>
      </c>
      <c r="K1095" s="18">
        <v>7</v>
      </c>
      <c r="L1095" s="20">
        <v>4621.68</v>
      </c>
      <c r="M1095" s="21">
        <v>0.2</v>
      </c>
      <c r="N1095" s="21">
        <v>0.56034977328027002</v>
      </c>
      <c r="O1095" s="20">
        <f t="shared" si="68"/>
        <v>25881.408000000003</v>
      </c>
      <c r="P1095" s="20">
        <f t="shared" si="69"/>
        <v>14502.641104974169</v>
      </c>
      <c r="Q1095" s="20">
        <f t="shared" si="70"/>
        <v>11378.766895025834</v>
      </c>
      <c r="R1095" s="22">
        <f t="shared" si="71"/>
        <v>0.43965022671972998</v>
      </c>
    </row>
    <row r="1096" spans="1:18">
      <c r="A1096" s="18">
        <v>2095</v>
      </c>
      <c r="B1096" s="19" t="s">
        <v>427</v>
      </c>
      <c r="C1096" s="18">
        <v>2024</v>
      </c>
      <c r="D1096" s="18" t="s">
        <v>63</v>
      </c>
      <c r="E1096" s="18" t="s">
        <v>79</v>
      </c>
      <c r="F1096" s="18" t="s">
        <v>100</v>
      </c>
      <c r="G1096" s="18" t="s">
        <v>41</v>
      </c>
      <c r="H1096" s="18" t="s">
        <v>90</v>
      </c>
      <c r="I1096" s="18" t="s">
        <v>43</v>
      </c>
      <c r="J1096" s="18" t="s">
        <v>91</v>
      </c>
      <c r="K1096" s="18">
        <v>10</v>
      </c>
      <c r="L1096" s="20">
        <v>17320.830000000002</v>
      </c>
      <c r="M1096" s="21">
        <v>0</v>
      </c>
      <c r="N1096" s="21">
        <v>0.60649260768591595</v>
      </c>
      <c r="O1096" s="20">
        <f t="shared" si="68"/>
        <v>173208.30000000002</v>
      </c>
      <c r="P1096" s="20">
        <f t="shared" si="69"/>
        <v>105049.55353984445</v>
      </c>
      <c r="Q1096" s="20">
        <f t="shared" si="70"/>
        <v>68158.746460155569</v>
      </c>
      <c r="R1096" s="22">
        <f t="shared" si="71"/>
        <v>0.39350739231408405</v>
      </c>
    </row>
    <row r="1097" spans="1:18">
      <c r="A1097" s="18">
        <v>2096</v>
      </c>
      <c r="B1097" s="19" t="s">
        <v>428</v>
      </c>
      <c r="C1097" s="18">
        <v>2024</v>
      </c>
      <c r="D1097" s="18" t="s">
        <v>63</v>
      </c>
      <c r="E1097" s="18" t="s">
        <v>79</v>
      </c>
      <c r="F1097" s="18" t="s">
        <v>100</v>
      </c>
      <c r="G1097" s="18" t="s">
        <v>50</v>
      </c>
      <c r="H1097" s="18" t="s">
        <v>97</v>
      </c>
      <c r="I1097" s="18" t="s">
        <v>49</v>
      </c>
      <c r="J1097" s="18" t="s">
        <v>91</v>
      </c>
      <c r="K1097" s="18">
        <v>2</v>
      </c>
      <c r="L1097" s="20">
        <v>11989.24</v>
      </c>
      <c r="M1097" s="21">
        <v>0</v>
      </c>
      <c r="N1097" s="21">
        <v>0.63274902563329904</v>
      </c>
      <c r="O1097" s="20">
        <f t="shared" si="68"/>
        <v>23978.48</v>
      </c>
      <c r="P1097" s="20">
        <f t="shared" si="69"/>
        <v>15172.359856167548</v>
      </c>
      <c r="Q1097" s="20">
        <f t="shared" si="70"/>
        <v>8806.1201438324515</v>
      </c>
      <c r="R1097" s="22">
        <f t="shared" si="71"/>
        <v>0.36725097436670096</v>
      </c>
    </row>
    <row r="1098" spans="1:18">
      <c r="A1098" s="18">
        <v>2097</v>
      </c>
      <c r="B1098" s="19" t="s">
        <v>428</v>
      </c>
      <c r="C1098" s="18">
        <v>2024</v>
      </c>
      <c r="D1098" s="18" t="s">
        <v>63</v>
      </c>
      <c r="E1098" s="18" t="s">
        <v>85</v>
      </c>
      <c r="F1098" s="18" t="s">
        <v>94</v>
      </c>
      <c r="G1098" s="18" t="s">
        <v>41</v>
      </c>
      <c r="H1098" s="18" t="s">
        <v>101</v>
      </c>
      <c r="I1098" s="18" t="s">
        <v>56</v>
      </c>
      <c r="J1098" s="18" t="s">
        <v>91</v>
      </c>
      <c r="K1098" s="18">
        <v>6</v>
      </c>
      <c r="L1098" s="20">
        <v>55734.53</v>
      </c>
      <c r="M1098" s="21">
        <v>0.1</v>
      </c>
      <c r="N1098" s="21">
        <v>0.71170981103346298</v>
      </c>
      <c r="O1098" s="20">
        <f t="shared" si="68"/>
        <v>300966.462</v>
      </c>
      <c r="P1098" s="20">
        <f t="shared" si="69"/>
        <v>214200.7837974299</v>
      </c>
      <c r="Q1098" s="20">
        <f t="shared" si="70"/>
        <v>86765.678202570096</v>
      </c>
      <c r="R1098" s="22">
        <f t="shared" si="71"/>
        <v>0.28829018896653708</v>
      </c>
    </row>
    <row r="1099" spans="1:18">
      <c r="A1099" s="18">
        <v>2098</v>
      </c>
      <c r="B1099" s="19" t="s">
        <v>428</v>
      </c>
      <c r="C1099" s="18">
        <v>2024</v>
      </c>
      <c r="D1099" s="18" t="s">
        <v>63</v>
      </c>
      <c r="E1099" s="18" t="s">
        <v>88</v>
      </c>
      <c r="F1099" s="18" t="s">
        <v>89</v>
      </c>
      <c r="G1099" s="18" t="s">
        <v>41</v>
      </c>
      <c r="H1099" s="18" t="s">
        <v>101</v>
      </c>
      <c r="I1099" s="18" t="s">
        <v>62</v>
      </c>
      <c r="J1099" s="18" t="s">
        <v>102</v>
      </c>
      <c r="K1099" s="18">
        <v>10</v>
      </c>
      <c r="L1099" s="20">
        <v>56951.45</v>
      </c>
      <c r="M1099" s="21">
        <v>0</v>
      </c>
      <c r="N1099" s="21">
        <v>0.74518317482294205</v>
      </c>
      <c r="O1099" s="20">
        <f t="shared" si="68"/>
        <v>569514.5</v>
      </c>
      <c r="P1099" s="20">
        <f t="shared" si="69"/>
        <v>424392.62321770046</v>
      </c>
      <c r="Q1099" s="20">
        <f t="shared" si="70"/>
        <v>145121.87678229954</v>
      </c>
      <c r="R1099" s="22">
        <f t="shared" si="71"/>
        <v>0.25481682517705789</v>
      </c>
    </row>
    <row r="1100" spans="1:18">
      <c r="A1100" s="18">
        <v>2099</v>
      </c>
      <c r="B1100" s="19" t="s">
        <v>429</v>
      </c>
      <c r="C1100" s="18">
        <v>2024</v>
      </c>
      <c r="D1100" s="18" t="s">
        <v>63</v>
      </c>
      <c r="E1100" s="18" t="s">
        <v>85</v>
      </c>
      <c r="F1100" s="18" t="s">
        <v>94</v>
      </c>
      <c r="G1100" s="18" t="s">
        <v>41</v>
      </c>
      <c r="H1100" s="18" t="s">
        <v>101</v>
      </c>
      <c r="I1100" s="18" t="s">
        <v>60</v>
      </c>
      <c r="J1100" s="18" t="s">
        <v>102</v>
      </c>
      <c r="K1100" s="18">
        <v>5</v>
      </c>
      <c r="L1100" s="20">
        <v>57346.21</v>
      </c>
      <c r="M1100" s="21">
        <v>0</v>
      </c>
      <c r="N1100" s="21">
        <v>0.67122215484016401</v>
      </c>
      <c r="O1100" s="20">
        <f t="shared" si="68"/>
        <v>286731.05</v>
      </c>
      <c r="P1100" s="20">
        <f t="shared" si="69"/>
        <v>192460.23324058281</v>
      </c>
      <c r="Q1100" s="20">
        <f t="shared" si="70"/>
        <v>94270.816759417183</v>
      </c>
      <c r="R1100" s="22">
        <f t="shared" si="71"/>
        <v>0.32877784515983599</v>
      </c>
    </row>
    <row r="1101" spans="1:18">
      <c r="A1101" s="18">
        <v>2100</v>
      </c>
      <c r="B1101" s="19" t="s">
        <v>429</v>
      </c>
      <c r="C1101" s="18">
        <v>2024</v>
      </c>
      <c r="D1101" s="18" t="s">
        <v>63</v>
      </c>
      <c r="E1101" s="18" t="s">
        <v>79</v>
      </c>
      <c r="F1101" s="18" t="s">
        <v>80</v>
      </c>
      <c r="G1101" s="18" t="s">
        <v>44</v>
      </c>
      <c r="H1101" s="18" t="s">
        <v>119</v>
      </c>
      <c r="I1101" s="18" t="s">
        <v>54</v>
      </c>
      <c r="J1101" s="18" t="s">
        <v>82</v>
      </c>
      <c r="K1101" s="18">
        <v>4</v>
      </c>
      <c r="L1101" s="20">
        <v>6670.65</v>
      </c>
      <c r="M1101" s="21">
        <v>0</v>
      </c>
      <c r="N1101" s="21">
        <v>0.59395222229278499</v>
      </c>
      <c r="O1101" s="20">
        <f t="shared" si="68"/>
        <v>26682.6</v>
      </c>
      <c r="P1101" s="20">
        <f t="shared" si="69"/>
        <v>15848.189566549465</v>
      </c>
      <c r="Q1101" s="20">
        <f t="shared" si="70"/>
        <v>10834.410433450534</v>
      </c>
      <c r="R1101" s="22">
        <f t="shared" si="71"/>
        <v>0.40604777770721495</v>
      </c>
    </row>
    <row r="1102" spans="1:18">
      <c r="A1102" s="18">
        <v>2101</v>
      </c>
      <c r="B1102" s="19" t="s">
        <v>429</v>
      </c>
      <c r="C1102" s="18">
        <v>2024</v>
      </c>
      <c r="D1102" s="18" t="s">
        <v>63</v>
      </c>
      <c r="E1102" s="18" t="s">
        <v>88</v>
      </c>
      <c r="F1102" s="18" t="s">
        <v>89</v>
      </c>
      <c r="G1102" s="18" t="s">
        <v>47</v>
      </c>
      <c r="H1102" s="18" t="s">
        <v>107</v>
      </c>
      <c r="I1102" s="18" t="s">
        <v>49</v>
      </c>
      <c r="J1102" s="18" t="s">
        <v>82</v>
      </c>
      <c r="K1102" s="18">
        <v>6</v>
      </c>
      <c r="L1102" s="20">
        <v>2245.7800000000002</v>
      </c>
      <c r="M1102" s="21">
        <v>0.2</v>
      </c>
      <c r="N1102" s="21">
        <v>0.60886417547917904</v>
      </c>
      <c r="O1102" s="20">
        <f t="shared" si="68"/>
        <v>10779.744000000001</v>
      </c>
      <c r="P1102" s="20">
        <f t="shared" si="69"/>
        <v>6563.3999424366275</v>
      </c>
      <c r="Q1102" s="20">
        <f t="shared" si="70"/>
        <v>4216.3440575633731</v>
      </c>
      <c r="R1102" s="22">
        <f t="shared" si="71"/>
        <v>0.39113582452082096</v>
      </c>
    </row>
    <row r="1103" spans="1:18">
      <c r="A1103" s="18">
        <v>2102</v>
      </c>
      <c r="B1103" s="19" t="s">
        <v>429</v>
      </c>
      <c r="C1103" s="18">
        <v>2024</v>
      </c>
      <c r="D1103" s="18" t="s">
        <v>63</v>
      </c>
      <c r="E1103" s="18" t="s">
        <v>85</v>
      </c>
      <c r="F1103" s="18" t="s">
        <v>121</v>
      </c>
      <c r="G1103" s="18" t="s">
        <v>50</v>
      </c>
      <c r="H1103" s="18" t="s">
        <v>83</v>
      </c>
      <c r="I1103" s="18" t="s">
        <v>52</v>
      </c>
      <c r="J1103" s="18" t="s">
        <v>82</v>
      </c>
      <c r="K1103" s="18">
        <v>4</v>
      </c>
      <c r="L1103" s="20">
        <v>3565.47</v>
      </c>
      <c r="M1103" s="21">
        <v>0.2</v>
      </c>
      <c r="N1103" s="21">
        <v>0.606216552796768</v>
      </c>
      <c r="O1103" s="20">
        <f t="shared" si="68"/>
        <v>11409.504000000001</v>
      </c>
      <c r="P1103" s="20">
        <f t="shared" si="69"/>
        <v>6916.6301840009364</v>
      </c>
      <c r="Q1103" s="20">
        <f t="shared" si="70"/>
        <v>4492.8738159990644</v>
      </c>
      <c r="R1103" s="22">
        <f t="shared" si="71"/>
        <v>0.393783447203232</v>
      </c>
    </row>
    <row r="1104" spans="1:18">
      <c r="A1104" s="18">
        <v>2103</v>
      </c>
      <c r="B1104" s="19" t="s">
        <v>430</v>
      </c>
      <c r="C1104" s="18">
        <v>2024</v>
      </c>
      <c r="D1104" s="18" t="s">
        <v>63</v>
      </c>
      <c r="E1104" s="18" t="s">
        <v>79</v>
      </c>
      <c r="F1104" s="18" t="s">
        <v>80</v>
      </c>
      <c r="G1104" s="18" t="s">
        <v>47</v>
      </c>
      <c r="H1104" s="18" t="s">
        <v>81</v>
      </c>
      <c r="I1104" s="18" t="s">
        <v>49</v>
      </c>
      <c r="J1104" s="18" t="s">
        <v>102</v>
      </c>
      <c r="K1104" s="18">
        <v>8</v>
      </c>
      <c r="L1104" s="20">
        <v>794.68</v>
      </c>
      <c r="M1104" s="21">
        <v>0.1</v>
      </c>
      <c r="N1104" s="21">
        <v>0.63474746435333795</v>
      </c>
      <c r="O1104" s="20">
        <f t="shared" si="68"/>
        <v>5721.6959999999999</v>
      </c>
      <c r="P1104" s="20">
        <f t="shared" si="69"/>
        <v>3631.8320278006363</v>
      </c>
      <c r="Q1104" s="20">
        <f t="shared" si="70"/>
        <v>2089.8639721993636</v>
      </c>
      <c r="R1104" s="22">
        <f t="shared" si="71"/>
        <v>0.36525253564666205</v>
      </c>
    </row>
    <row r="1105" spans="1:18">
      <c r="A1105" s="18">
        <v>2104</v>
      </c>
      <c r="B1105" s="19" t="s">
        <v>430</v>
      </c>
      <c r="C1105" s="18">
        <v>2024</v>
      </c>
      <c r="D1105" s="18" t="s">
        <v>63</v>
      </c>
      <c r="E1105" s="18" t="s">
        <v>98</v>
      </c>
      <c r="F1105" s="18" t="s">
        <v>109</v>
      </c>
      <c r="G1105" s="18" t="s">
        <v>41</v>
      </c>
      <c r="H1105" s="18" t="s">
        <v>112</v>
      </c>
      <c r="I1105" s="18" t="s">
        <v>56</v>
      </c>
      <c r="J1105" s="18" t="s">
        <v>82</v>
      </c>
      <c r="K1105" s="18">
        <v>10</v>
      </c>
      <c r="L1105" s="20">
        <v>5911.75</v>
      </c>
      <c r="M1105" s="21">
        <v>0.2</v>
      </c>
      <c r="N1105" s="21">
        <v>0.71386833796540805</v>
      </c>
      <c r="O1105" s="20">
        <f t="shared" si="68"/>
        <v>47294</v>
      </c>
      <c r="P1105" s="20">
        <f t="shared" si="69"/>
        <v>33761.689175736006</v>
      </c>
      <c r="Q1105" s="20">
        <f t="shared" si="70"/>
        <v>13532.310824263994</v>
      </c>
      <c r="R1105" s="22">
        <f t="shared" si="71"/>
        <v>0.286131662034592</v>
      </c>
    </row>
    <row r="1106" spans="1:18">
      <c r="A1106" s="18">
        <v>2105</v>
      </c>
      <c r="B1106" s="19" t="s">
        <v>430</v>
      </c>
      <c r="C1106" s="18">
        <v>2024</v>
      </c>
      <c r="D1106" s="18" t="s">
        <v>63</v>
      </c>
      <c r="E1106" s="18" t="s">
        <v>85</v>
      </c>
      <c r="F1106" s="18" t="s">
        <v>86</v>
      </c>
      <c r="G1106" s="18" t="s">
        <v>41</v>
      </c>
      <c r="H1106" s="18" t="s">
        <v>106</v>
      </c>
      <c r="I1106" s="18" t="s">
        <v>62</v>
      </c>
      <c r="J1106" s="18" t="s">
        <v>91</v>
      </c>
      <c r="K1106" s="18">
        <v>5</v>
      </c>
      <c r="L1106" s="20">
        <v>2525.9699999999998</v>
      </c>
      <c r="M1106" s="21">
        <v>0.2</v>
      </c>
      <c r="N1106" s="21">
        <v>0.74007561648658704</v>
      </c>
      <c r="O1106" s="20">
        <f t="shared" si="68"/>
        <v>10103.879999999999</v>
      </c>
      <c r="P1106" s="20">
        <f t="shared" si="69"/>
        <v>7477.6352199064968</v>
      </c>
      <c r="Q1106" s="20">
        <f t="shared" si="70"/>
        <v>2626.2447800935024</v>
      </c>
      <c r="R1106" s="22">
        <f t="shared" si="71"/>
        <v>0.2599243835134129</v>
      </c>
    </row>
    <row r="1107" spans="1:18">
      <c r="A1107" s="18">
        <v>2106</v>
      </c>
      <c r="B1107" s="19" t="s">
        <v>430</v>
      </c>
      <c r="C1107" s="18">
        <v>2024</v>
      </c>
      <c r="D1107" s="18" t="s">
        <v>63</v>
      </c>
      <c r="E1107" s="18" t="s">
        <v>98</v>
      </c>
      <c r="F1107" s="18" t="s">
        <v>109</v>
      </c>
      <c r="G1107" s="18" t="s">
        <v>41</v>
      </c>
      <c r="H1107" s="18" t="s">
        <v>90</v>
      </c>
      <c r="I1107" s="18" t="s">
        <v>46</v>
      </c>
      <c r="J1107" s="18" t="s">
        <v>91</v>
      </c>
      <c r="K1107" s="18">
        <v>7</v>
      </c>
      <c r="L1107" s="20">
        <v>18523.61</v>
      </c>
      <c r="M1107" s="21">
        <v>0.05</v>
      </c>
      <c r="N1107" s="21">
        <v>0.59906362902021504</v>
      </c>
      <c r="O1107" s="20">
        <f t="shared" si="68"/>
        <v>123182.0065</v>
      </c>
      <c r="P1107" s="20">
        <f t="shared" si="69"/>
        <v>73793.859843881713</v>
      </c>
      <c r="Q1107" s="20">
        <f t="shared" si="70"/>
        <v>49388.14665611829</v>
      </c>
      <c r="R1107" s="22">
        <f t="shared" si="71"/>
        <v>0.40093637097978502</v>
      </c>
    </row>
    <row r="1108" spans="1:18">
      <c r="A1108" s="18">
        <v>2107</v>
      </c>
      <c r="B1108" s="19" t="s">
        <v>430</v>
      </c>
      <c r="C1108" s="18">
        <v>2024</v>
      </c>
      <c r="D1108" s="18" t="s">
        <v>63</v>
      </c>
      <c r="E1108" s="18" t="s">
        <v>88</v>
      </c>
      <c r="F1108" s="18" t="s">
        <v>93</v>
      </c>
      <c r="G1108" s="18" t="s">
        <v>47</v>
      </c>
      <c r="H1108" s="18" t="s">
        <v>107</v>
      </c>
      <c r="I1108" s="18" t="s">
        <v>46</v>
      </c>
      <c r="J1108" s="18" t="s">
        <v>91</v>
      </c>
      <c r="K1108" s="18">
        <v>2</v>
      </c>
      <c r="L1108" s="20">
        <v>2092.12</v>
      </c>
      <c r="M1108" s="21">
        <v>0.2</v>
      </c>
      <c r="N1108" s="21">
        <v>0.55218020486355202</v>
      </c>
      <c r="O1108" s="20">
        <f t="shared" si="68"/>
        <v>3347.3919999999998</v>
      </c>
      <c r="P1108" s="20">
        <f t="shared" si="69"/>
        <v>1848.363600318615</v>
      </c>
      <c r="Q1108" s="20">
        <f t="shared" si="70"/>
        <v>1499.0283996813848</v>
      </c>
      <c r="R1108" s="22">
        <f t="shared" si="71"/>
        <v>0.44781979513644798</v>
      </c>
    </row>
    <row r="1109" spans="1:18">
      <c r="A1109" s="18">
        <v>2108</v>
      </c>
      <c r="B1109" s="19" t="s">
        <v>431</v>
      </c>
      <c r="C1109" s="18">
        <v>2024</v>
      </c>
      <c r="D1109" s="18" t="s">
        <v>63</v>
      </c>
      <c r="E1109" s="18" t="s">
        <v>88</v>
      </c>
      <c r="F1109" s="18" t="s">
        <v>89</v>
      </c>
      <c r="G1109" s="18" t="s">
        <v>47</v>
      </c>
      <c r="H1109" s="18" t="s">
        <v>81</v>
      </c>
      <c r="I1109" s="18" t="s">
        <v>60</v>
      </c>
      <c r="J1109" s="18" t="s">
        <v>82</v>
      </c>
      <c r="K1109" s="18">
        <v>7</v>
      </c>
      <c r="L1109" s="20">
        <v>782.69</v>
      </c>
      <c r="M1109" s="21">
        <v>0</v>
      </c>
      <c r="N1109" s="21">
        <v>0.65545247229555803</v>
      </c>
      <c r="O1109" s="20">
        <f t="shared" si="68"/>
        <v>5478.83</v>
      </c>
      <c r="P1109" s="20">
        <f t="shared" si="69"/>
        <v>3591.1126687870724</v>
      </c>
      <c r="Q1109" s="20">
        <f t="shared" si="70"/>
        <v>1887.7173312129275</v>
      </c>
      <c r="R1109" s="22">
        <f t="shared" si="71"/>
        <v>0.34454752770444191</v>
      </c>
    </row>
    <row r="1110" spans="1:18">
      <c r="A1110" s="18">
        <v>2109</v>
      </c>
      <c r="B1110" s="19" t="s">
        <v>431</v>
      </c>
      <c r="C1110" s="18">
        <v>2024</v>
      </c>
      <c r="D1110" s="18" t="s">
        <v>63</v>
      </c>
      <c r="E1110" s="18" t="s">
        <v>79</v>
      </c>
      <c r="F1110" s="18" t="s">
        <v>80</v>
      </c>
      <c r="G1110" s="18" t="s">
        <v>47</v>
      </c>
      <c r="H1110" s="18" t="s">
        <v>103</v>
      </c>
      <c r="I1110" s="18" t="s">
        <v>62</v>
      </c>
      <c r="J1110" s="18" t="s">
        <v>102</v>
      </c>
      <c r="K1110" s="18">
        <v>2</v>
      </c>
      <c r="L1110" s="20">
        <v>3223.66</v>
      </c>
      <c r="M1110" s="21">
        <v>0.2</v>
      </c>
      <c r="N1110" s="21">
        <v>0.63435002816041097</v>
      </c>
      <c r="O1110" s="20">
        <f t="shared" si="68"/>
        <v>5157.8559999999998</v>
      </c>
      <c r="P1110" s="20">
        <f t="shared" si="69"/>
        <v>3271.8860988473443</v>
      </c>
      <c r="Q1110" s="20">
        <f t="shared" si="70"/>
        <v>1885.9699011526554</v>
      </c>
      <c r="R1110" s="22">
        <f t="shared" si="71"/>
        <v>0.36564997183958908</v>
      </c>
    </row>
    <row r="1111" spans="1:18">
      <c r="A1111" s="18">
        <v>2110</v>
      </c>
      <c r="B1111" s="19" t="s">
        <v>431</v>
      </c>
      <c r="C1111" s="18">
        <v>2024</v>
      </c>
      <c r="D1111" s="18" t="s">
        <v>63</v>
      </c>
      <c r="E1111" s="18" t="s">
        <v>85</v>
      </c>
      <c r="F1111" s="18" t="s">
        <v>121</v>
      </c>
      <c r="G1111" s="18" t="s">
        <v>47</v>
      </c>
      <c r="H1111" s="18" t="s">
        <v>81</v>
      </c>
      <c r="I1111" s="18" t="s">
        <v>49</v>
      </c>
      <c r="J1111" s="18" t="s">
        <v>82</v>
      </c>
      <c r="K1111" s="18">
        <v>8</v>
      </c>
      <c r="L1111" s="20">
        <v>799.89</v>
      </c>
      <c r="M1111" s="21">
        <v>0.05</v>
      </c>
      <c r="N1111" s="21">
        <v>0.63424744921812304</v>
      </c>
      <c r="O1111" s="20">
        <f t="shared" si="68"/>
        <v>6079.1639999999998</v>
      </c>
      <c r="P1111" s="20">
        <f t="shared" si="69"/>
        <v>3855.6942603786415</v>
      </c>
      <c r="Q1111" s="20">
        <f t="shared" si="70"/>
        <v>2223.4697396213583</v>
      </c>
      <c r="R1111" s="22">
        <f t="shared" si="71"/>
        <v>0.36575255078187696</v>
      </c>
    </row>
    <row r="1112" spans="1:18">
      <c r="A1112" s="18">
        <v>2111</v>
      </c>
      <c r="B1112" s="19" t="s">
        <v>431</v>
      </c>
      <c r="C1112" s="18">
        <v>2024</v>
      </c>
      <c r="D1112" s="18" t="s">
        <v>63</v>
      </c>
      <c r="E1112" s="18" t="s">
        <v>79</v>
      </c>
      <c r="F1112" s="18" t="s">
        <v>105</v>
      </c>
      <c r="G1112" s="18" t="s">
        <v>44</v>
      </c>
      <c r="H1112" s="18" t="s">
        <v>95</v>
      </c>
      <c r="I1112" s="18" t="s">
        <v>54</v>
      </c>
      <c r="J1112" s="18" t="s">
        <v>102</v>
      </c>
      <c r="K1112" s="18">
        <v>7</v>
      </c>
      <c r="L1112" s="20">
        <v>4381.3900000000003</v>
      </c>
      <c r="M1112" s="21">
        <v>0</v>
      </c>
      <c r="N1112" s="21">
        <v>0.60700738283669398</v>
      </c>
      <c r="O1112" s="20">
        <f t="shared" si="68"/>
        <v>30669.730000000003</v>
      </c>
      <c r="P1112" s="20">
        <f t="shared" si="69"/>
        <v>18616.752539608042</v>
      </c>
      <c r="Q1112" s="20">
        <f t="shared" si="70"/>
        <v>12052.977460391961</v>
      </c>
      <c r="R1112" s="22">
        <f t="shared" si="71"/>
        <v>0.39299261716330597</v>
      </c>
    </row>
    <row r="1113" spans="1:18">
      <c r="A1113" s="18">
        <v>2112</v>
      </c>
      <c r="B1113" s="19" t="s">
        <v>432</v>
      </c>
      <c r="C1113" s="18">
        <v>2024</v>
      </c>
      <c r="D1113" s="18" t="s">
        <v>63</v>
      </c>
      <c r="E1113" s="18" t="s">
        <v>85</v>
      </c>
      <c r="F1113" s="18" t="s">
        <v>121</v>
      </c>
      <c r="G1113" s="18" t="s">
        <v>44</v>
      </c>
      <c r="H1113" s="18" t="s">
        <v>114</v>
      </c>
      <c r="I1113" s="18" t="s">
        <v>40</v>
      </c>
      <c r="J1113" s="18" t="s">
        <v>102</v>
      </c>
      <c r="K1113" s="18">
        <v>9</v>
      </c>
      <c r="L1113" s="20">
        <v>8585.2099999999991</v>
      </c>
      <c r="M1113" s="21">
        <v>0.2</v>
      </c>
      <c r="N1113" s="21">
        <v>0.55325445841171506</v>
      </c>
      <c r="O1113" s="20">
        <f t="shared" si="68"/>
        <v>61813.511999999988</v>
      </c>
      <c r="P1113" s="20">
        <f t="shared" si="69"/>
        <v>34198.601104086039</v>
      </c>
      <c r="Q1113" s="20">
        <f t="shared" si="70"/>
        <v>27614.910895913948</v>
      </c>
      <c r="R1113" s="22">
        <f t="shared" si="71"/>
        <v>0.446745541588285</v>
      </c>
    </row>
    <row r="1114" spans="1:18">
      <c r="A1114" s="18">
        <v>2113</v>
      </c>
      <c r="B1114" s="19" t="s">
        <v>432</v>
      </c>
      <c r="C1114" s="18">
        <v>2024</v>
      </c>
      <c r="D1114" s="18" t="s">
        <v>63</v>
      </c>
      <c r="E1114" s="18" t="s">
        <v>85</v>
      </c>
      <c r="F1114" s="18" t="s">
        <v>86</v>
      </c>
      <c r="G1114" s="18" t="s">
        <v>50</v>
      </c>
      <c r="H1114" s="18" t="s">
        <v>87</v>
      </c>
      <c r="I1114" s="18" t="s">
        <v>52</v>
      </c>
      <c r="J1114" s="18" t="s">
        <v>91</v>
      </c>
      <c r="K1114" s="18">
        <v>6</v>
      </c>
      <c r="L1114" s="20">
        <v>9741.01</v>
      </c>
      <c r="M1114" s="21">
        <v>0.1</v>
      </c>
      <c r="N1114" s="21">
        <v>0.56595344179339702</v>
      </c>
      <c r="O1114" s="20">
        <f t="shared" si="68"/>
        <v>52601.453999999998</v>
      </c>
      <c r="P1114" s="20">
        <f t="shared" si="69"/>
        <v>29769.973934637048</v>
      </c>
      <c r="Q1114" s="20">
        <f t="shared" si="70"/>
        <v>22831.48006536295</v>
      </c>
      <c r="R1114" s="22">
        <f t="shared" si="71"/>
        <v>0.43404655820660304</v>
      </c>
    </row>
    <row r="1115" spans="1:18">
      <c r="A1115" s="18">
        <v>2114</v>
      </c>
      <c r="B1115" s="19" t="s">
        <v>433</v>
      </c>
      <c r="C1115" s="18">
        <v>2024</v>
      </c>
      <c r="D1115" s="18" t="s">
        <v>63</v>
      </c>
      <c r="E1115" s="18" t="s">
        <v>85</v>
      </c>
      <c r="F1115" s="18" t="s">
        <v>94</v>
      </c>
      <c r="G1115" s="18" t="s">
        <v>41</v>
      </c>
      <c r="H1115" s="18" t="s">
        <v>112</v>
      </c>
      <c r="I1115" s="18" t="s">
        <v>52</v>
      </c>
      <c r="J1115" s="18" t="s">
        <v>102</v>
      </c>
      <c r="K1115" s="18">
        <v>8</v>
      </c>
      <c r="L1115" s="20">
        <v>5996</v>
      </c>
      <c r="M1115" s="21">
        <v>0.2</v>
      </c>
      <c r="N1115" s="21">
        <v>0.74343050555955104</v>
      </c>
      <c r="O1115" s="20">
        <f t="shared" si="68"/>
        <v>38374.400000000001</v>
      </c>
      <c r="P1115" s="20">
        <f t="shared" si="69"/>
        <v>28528.699592544435</v>
      </c>
      <c r="Q1115" s="20">
        <f t="shared" si="70"/>
        <v>9845.7004074555662</v>
      </c>
      <c r="R1115" s="22">
        <f t="shared" si="71"/>
        <v>0.25656949444044896</v>
      </c>
    </row>
    <row r="1116" spans="1:18">
      <c r="A1116" s="18">
        <v>2115</v>
      </c>
      <c r="B1116" s="19" t="s">
        <v>433</v>
      </c>
      <c r="C1116" s="18">
        <v>2024</v>
      </c>
      <c r="D1116" s="18" t="s">
        <v>63</v>
      </c>
      <c r="E1116" s="18" t="s">
        <v>79</v>
      </c>
      <c r="F1116" s="18" t="s">
        <v>105</v>
      </c>
      <c r="G1116" s="18" t="s">
        <v>41</v>
      </c>
      <c r="H1116" s="18" t="s">
        <v>90</v>
      </c>
      <c r="I1116" s="18" t="s">
        <v>49</v>
      </c>
      <c r="J1116" s="18" t="s">
        <v>82</v>
      </c>
      <c r="K1116" s="18">
        <v>1</v>
      </c>
      <c r="L1116" s="20">
        <v>17349.72</v>
      </c>
      <c r="M1116" s="21">
        <v>0.05</v>
      </c>
      <c r="N1116" s="21">
        <v>0.72227775407969796</v>
      </c>
      <c r="O1116" s="20">
        <f t="shared" si="68"/>
        <v>16482.234</v>
      </c>
      <c r="P1116" s="20">
        <f t="shared" si="69"/>
        <v>11904.750955736037</v>
      </c>
      <c r="Q1116" s="20">
        <f t="shared" si="70"/>
        <v>4577.4830442639632</v>
      </c>
      <c r="R1116" s="22">
        <f t="shared" si="71"/>
        <v>0.27772224592030204</v>
      </c>
    </row>
    <row r="1117" spans="1:18">
      <c r="A1117" s="18">
        <v>2116</v>
      </c>
      <c r="B1117" s="19" t="s">
        <v>433</v>
      </c>
      <c r="C1117" s="18">
        <v>2024</v>
      </c>
      <c r="D1117" s="18" t="s">
        <v>63</v>
      </c>
      <c r="E1117" s="18" t="s">
        <v>85</v>
      </c>
      <c r="F1117" s="18" t="s">
        <v>86</v>
      </c>
      <c r="G1117" s="18" t="s">
        <v>44</v>
      </c>
      <c r="H1117" s="18" t="s">
        <v>119</v>
      </c>
      <c r="I1117" s="18" t="s">
        <v>49</v>
      </c>
      <c r="J1117" s="18" t="s">
        <v>102</v>
      </c>
      <c r="K1117" s="18">
        <v>6</v>
      </c>
      <c r="L1117" s="20">
        <v>7221.3</v>
      </c>
      <c r="M1117" s="21">
        <v>0.15</v>
      </c>
      <c r="N1117" s="21">
        <v>0.74791300595542998</v>
      </c>
      <c r="O1117" s="20">
        <f t="shared" si="68"/>
        <v>36828.630000000005</v>
      </c>
      <c r="P1117" s="20">
        <f t="shared" si="69"/>
        <v>27544.611368520331</v>
      </c>
      <c r="Q1117" s="20">
        <f t="shared" si="70"/>
        <v>9284.0186314796738</v>
      </c>
      <c r="R1117" s="22">
        <f t="shared" si="71"/>
        <v>0.25208699404457002</v>
      </c>
    </row>
    <row r="1118" spans="1:18">
      <c r="A1118" s="18">
        <v>2117</v>
      </c>
      <c r="B1118" s="19" t="s">
        <v>433</v>
      </c>
      <c r="C1118" s="18">
        <v>2024</v>
      </c>
      <c r="D1118" s="18" t="s">
        <v>63</v>
      </c>
      <c r="E1118" s="18" t="s">
        <v>79</v>
      </c>
      <c r="F1118" s="18" t="s">
        <v>105</v>
      </c>
      <c r="G1118" s="18" t="s">
        <v>41</v>
      </c>
      <c r="H1118" s="18" t="s">
        <v>90</v>
      </c>
      <c r="I1118" s="18" t="s">
        <v>40</v>
      </c>
      <c r="J1118" s="18" t="s">
        <v>91</v>
      </c>
      <c r="K1118" s="18">
        <v>2</v>
      </c>
      <c r="L1118" s="20">
        <v>17574.71</v>
      </c>
      <c r="M1118" s="21">
        <v>0.2</v>
      </c>
      <c r="N1118" s="21">
        <v>0.67255012659971103</v>
      </c>
      <c r="O1118" s="20">
        <f t="shared" si="68"/>
        <v>28119.536</v>
      </c>
      <c r="P1118" s="20">
        <f t="shared" si="69"/>
        <v>18911.797496725132</v>
      </c>
      <c r="Q1118" s="20">
        <f t="shared" si="70"/>
        <v>9207.738503274868</v>
      </c>
      <c r="R1118" s="22">
        <f t="shared" si="71"/>
        <v>0.32744987340028897</v>
      </c>
    </row>
    <row r="1119" spans="1:18">
      <c r="A1119" s="18">
        <v>2118</v>
      </c>
      <c r="B1119" s="19" t="s">
        <v>434</v>
      </c>
      <c r="C1119" s="18">
        <v>2024</v>
      </c>
      <c r="D1119" s="18" t="s">
        <v>63</v>
      </c>
      <c r="E1119" s="18" t="s">
        <v>98</v>
      </c>
      <c r="F1119" s="18" t="s">
        <v>99</v>
      </c>
      <c r="G1119" s="18" t="s">
        <v>44</v>
      </c>
      <c r="H1119" s="18" t="s">
        <v>119</v>
      </c>
      <c r="I1119" s="18" t="s">
        <v>62</v>
      </c>
      <c r="J1119" s="18" t="s">
        <v>91</v>
      </c>
      <c r="K1119" s="18">
        <v>2</v>
      </c>
      <c r="L1119" s="20">
        <v>6738.4</v>
      </c>
      <c r="M1119" s="21">
        <v>0</v>
      </c>
      <c r="N1119" s="21">
        <v>0.70060696539898304</v>
      </c>
      <c r="O1119" s="20">
        <f t="shared" si="68"/>
        <v>13476.8</v>
      </c>
      <c r="P1119" s="20">
        <f t="shared" si="69"/>
        <v>9441.9399512890141</v>
      </c>
      <c r="Q1119" s="20">
        <f t="shared" si="70"/>
        <v>4034.8600487109852</v>
      </c>
      <c r="R1119" s="22">
        <f t="shared" si="71"/>
        <v>0.29939303460101696</v>
      </c>
    </row>
    <row r="1120" spans="1:18">
      <c r="A1120" s="18">
        <v>2119</v>
      </c>
      <c r="B1120" s="19" t="s">
        <v>434</v>
      </c>
      <c r="C1120" s="18">
        <v>2024</v>
      </c>
      <c r="D1120" s="18" t="s">
        <v>63</v>
      </c>
      <c r="E1120" s="18" t="s">
        <v>85</v>
      </c>
      <c r="F1120" s="18" t="s">
        <v>94</v>
      </c>
      <c r="G1120" s="18" t="s">
        <v>50</v>
      </c>
      <c r="H1120" s="18" t="s">
        <v>87</v>
      </c>
      <c r="I1120" s="18" t="s">
        <v>43</v>
      </c>
      <c r="J1120" s="18" t="s">
        <v>102</v>
      </c>
      <c r="K1120" s="18">
        <v>9</v>
      </c>
      <c r="L1120" s="20">
        <v>9253.5</v>
      </c>
      <c r="M1120" s="21">
        <v>0.1</v>
      </c>
      <c r="N1120" s="21">
        <v>0.68225379510239303</v>
      </c>
      <c r="O1120" s="20">
        <f t="shared" si="68"/>
        <v>74953.350000000006</v>
      </c>
      <c r="P1120" s="20">
        <f t="shared" si="69"/>
        <v>51137.207493137954</v>
      </c>
      <c r="Q1120" s="20">
        <f t="shared" si="70"/>
        <v>23816.142506862052</v>
      </c>
      <c r="R1120" s="22">
        <f t="shared" si="71"/>
        <v>0.31774620489760697</v>
      </c>
    </row>
    <row r="1121" spans="1:18">
      <c r="A1121" s="18">
        <v>2120</v>
      </c>
      <c r="B1121" s="19" t="s">
        <v>434</v>
      </c>
      <c r="C1121" s="18">
        <v>2024</v>
      </c>
      <c r="D1121" s="18" t="s">
        <v>63</v>
      </c>
      <c r="E1121" s="18" t="s">
        <v>98</v>
      </c>
      <c r="F1121" s="18" t="s">
        <v>109</v>
      </c>
      <c r="G1121" s="18" t="s">
        <v>50</v>
      </c>
      <c r="H1121" s="18" t="s">
        <v>83</v>
      </c>
      <c r="I1121" s="18" t="s">
        <v>43</v>
      </c>
      <c r="J1121" s="18" t="s">
        <v>91</v>
      </c>
      <c r="K1121" s="18">
        <v>5</v>
      </c>
      <c r="L1121" s="20">
        <v>3573.98</v>
      </c>
      <c r="M1121" s="21">
        <v>0.05</v>
      </c>
      <c r="N1121" s="21">
        <v>0.66170304691127302</v>
      </c>
      <c r="O1121" s="20">
        <f t="shared" si="68"/>
        <v>16976.404999999999</v>
      </c>
      <c r="P1121" s="20">
        <f t="shared" si="69"/>
        <v>11233.33891409977</v>
      </c>
      <c r="Q1121" s="20">
        <f t="shared" si="70"/>
        <v>5743.0660859002292</v>
      </c>
      <c r="R1121" s="22">
        <f t="shared" si="71"/>
        <v>0.33829695308872693</v>
      </c>
    </row>
    <row r="1122" spans="1:18">
      <c r="A1122" s="18">
        <v>2121</v>
      </c>
      <c r="B1122" s="19" t="s">
        <v>434</v>
      </c>
      <c r="C1122" s="18">
        <v>2024</v>
      </c>
      <c r="D1122" s="18" t="s">
        <v>63</v>
      </c>
      <c r="E1122" s="18" t="s">
        <v>88</v>
      </c>
      <c r="F1122" s="18" t="s">
        <v>93</v>
      </c>
      <c r="G1122" s="18" t="s">
        <v>44</v>
      </c>
      <c r="H1122" s="18" t="s">
        <v>95</v>
      </c>
      <c r="I1122" s="18" t="s">
        <v>43</v>
      </c>
      <c r="J1122" s="18" t="s">
        <v>82</v>
      </c>
      <c r="K1122" s="18">
        <v>8</v>
      </c>
      <c r="L1122" s="20">
        <v>4302.12</v>
      </c>
      <c r="M1122" s="21">
        <v>0</v>
      </c>
      <c r="N1122" s="21">
        <v>0.68409979077597804</v>
      </c>
      <c r="O1122" s="20">
        <f t="shared" si="68"/>
        <v>34416.959999999999</v>
      </c>
      <c r="P1122" s="20">
        <f t="shared" si="69"/>
        <v>23544.635135145203</v>
      </c>
      <c r="Q1122" s="20">
        <f t="shared" si="70"/>
        <v>10872.324864854796</v>
      </c>
      <c r="R1122" s="22">
        <f t="shared" si="71"/>
        <v>0.31590020922402201</v>
      </c>
    </row>
    <row r="1123" spans="1:18">
      <c r="A1123" s="18">
        <v>2122</v>
      </c>
      <c r="B1123" s="19" t="s">
        <v>434</v>
      </c>
      <c r="C1123" s="18">
        <v>2024</v>
      </c>
      <c r="D1123" s="18" t="s">
        <v>63</v>
      </c>
      <c r="E1123" s="18" t="s">
        <v>85</v>
      </c>
      <c r="F1123" s="18" t="s">
        <v>121</v>
      </c>
      <c r="G1123" s="18" t="s">
        <v>44</v>
      </c>
      <c r="H1123" s="18" t="s">
        <v>114</v>
      </c>
      <c r="I1123" s="18" t="s">
        <v>43</v>
      </c>
      <c r="J1123" s="18" t="s">
        <v>91</v>
      </c>
      <c r="K1123" s="18">
        <v>4</v>
      </c>
      <c r="L1123" s="20">
        <v>9282.6</v>
      </c>
      <c r="M1123" s="21">
        <v>0.15</v>
      </c>
      <c r="N1123" s="21">
        <v>0.65278546342024002</v>
      </c>
      <c r="O1123" s="20">
        <f t="shared" si="68"/>
        <v>31560.84</v>
      </c>
      <c r="P1123" s="20">
        <f t="shared" si="69"/>
        <v>20602.45756533205</v>
      </c>
      <c r="Q1123" s="20">
        <f t="shared" si="70"/>
        <v>10958.38243466795</v>
      </c>
      <c r="R1123" s="22">
        <f t="shared" si="71"/>
        <v>0.34721453657975992</v>
      </c>
    </row>
    <row r="1124" spans="1:18">
      <c r="A1124" s="18">
        <v>2123</v>
      </c>
      <c r="B1124" s="19" t="s">
        <v>435</v>
      </c>
      <c r="C1124" s="18">
        <v>2024</v>
      </c>
      <c r="D1124" s="18" t="s">
        <v>63</v>
      </c>
      <c r="E1124" s="18" t="s">
        <v>98</v>
      </c>
      <c r="F1124" s="18" t="s">
        <v>99</v>
      </c>
      <c r="G1124" s="18" t="s">
        <v>50</v>
      </c>
      <c r="H1124" s="18" t="s">
        <v>87</v>
      </c>
      <c r="I1124" s="18" t="s">
        <v>46</v>
      </c>
      <c r="J1124" s="18" t="s">
        <v>102</v>
      </c>
      <c r="K1124" s="18">
        <v>2</v>
      </c>
      <c r="L1124" s="20">
        <v>9893.42</v>
      </c>
      <c r="M1124" s="21">
        <v>0</v>
      </c>
      <c r="N1124" s="21">
        <v>0.73333944881505297</v>
      </c>
      <c r="O1124" s="20">
        <f t="shared" si="68"/>
        <v>19786.84</v>
      </c>
      <c r="P1124" s="20">
        <f t="shared" si="69"/>
        <v>14510.470339391642</v>
      </c>
      <c r="Q1124" s="20">
        <f t="shared" si="70"/>
        <v>5276.3696606083577</v>
      </c>
      <c r="R1124" s="22">
        <f t="shared" si="71"/>
        <v>0.26666055118494703</v>
      </c>
    </row>
    <row r="1125" spans="1:18">
      <c r="A1125" s="18">
        <v>2124</v>
      </c>
      <c r="B1125" s="19" t="s">
        <v>435</v>
      </c>
      <c r="C1125" s="18">
        <v>2024</v>
      </c>
      <c r="D1125" s="18" t="s">
        <v>63</v>
      </c>
      <c r="E1125" s="18" t="s">
        <v>85</v>
      </c>
      <c r="F1125" s="18" t="s">
        <v>121</v>
      </c>
      <c r="G1125" s="18" t="s">
        <v>44</v>
      </c>
      <c r="H1125" s="18" t="s">
        <v>114</v>
      </c>
      <c r="I1125" s="18" t="s">
        <v>49</v>
      </c>
      <c r="J1125" s="18" t="s">
        <v>82</v>
      </c>
      <c r="K1125" s="18">
        <v>5</v>
      </c>
      <c r="L1125" s="20">
        <v>8930.7800000000007</v>
      </c>
      <c r="M1125" s="21">
        <v>0.2</v>
      </c>
      <c r="N1125" s="21">
        <v>0.611429355966292</v>
      </c>
      <c r="O1125" s="20">
        <f t="shared" si="68"/>
        <v>35723.120000000003</v>
      </c>
      <c r="P1125" s="20">
        <f t="shared" si="69"/>
        <v>21842.164254706568</v>
      </c>
      <c r="Q1125" s="20">
        <f t="shared" si="70"/>
        <v>13880.955745293435</v>
      </c>
      <c r="R1125" s="22">
        <f t="shared" si="71"/>
        <v>0.388570644033708</v>
      </c>
    </row>
    <row r="1126" spans="1:18">
      <c r="A1126" s="18">
        <v>2125</v>
      </c>
      <c r="B1126" s="19" t="s">
        <v>435</v>
      </c>
      <c r="C1126" s="18">
        <v>2024</v>
      </c>
      <c r="D1126" s="18" t="s">
        <v>63</v>
      </c>
      <c r="E1126" s="18" t="s">
        <v>79</v>
      </c>
      <c r="F1126" s="18" t="s">
        <v>100</v>
      </c>
      <c r="G1126" s="18" t="s">
        <v>50</v>
      </c>
      <c r="H1126" s="18" t="s">
        <v>83</v>
      </c>
      <c r="I1126" s="18" t="s">
        <v>43</v>
      </c>
      <c r="J1126" s="18" t="s">
        <v>82</v>
      </c>
      <c r="K1126" s="18">
        <v>1</v>
      </c>
      <c r="L1126" s="20">
        <v>3637.93</v>
      </c>
      <c r="M1126" s="21">
        <v>0</v>
      </c>
      <c r="N1126" s="21">
        <v>0.60335133377996997</v>
      </c>
      <c r="O1126" s="20">
        <f t="shared" si="68"/>
        <v>3637.93</v>
      </c>
      <c r="P1126" s="20">
        <f t="shared" si="69"/>
        <v>2194.9499176981662</v>
      </c>
      <c r="Q1126" s="20">
        <f t="shared" si="70"/>
        <v>1442.9800823018336</v>
      </c>
      <c r="R1126" s="22">
        <f t="shared" si="71"/>
        <v>0.39664866622002998</v>
      </c>
    </row>
    <row r="1127" spans="1:18">
      <c r="A1127" s="18">
        <v>2126</v>
      </c>
      <c r="B1127" s="19" t="s">
        <v>435</v>
      </c>
      <c r="C1127" s="18">
        <v>2024</v>
      </c>
      <c r="D1127" s="18" t="s">
        <v>63</v>
      </c>
      <c r="E1127" s="18" t="s">
        <v>85</v>
      </c>
      <c r="F1127" s="18" t="s">
        <v>94</v>
      </c>
      <c r="G1127" s="18" t="s">
        <v>50</v>
      </c>
      <c r="H1127" s="18" t="s">
        <v>97</v>
      </c>
      <c r="I1127" s="18" t="s">
        <v>52</v>
      </c>
      <c r="J1127" s="18" t="s">
        <v>82</v>
      </c>
      <c r="K1127" s="18">
        <v>9</v>
      </c>
      <c r="L1127" s="20">
        <v>11500.88</v>
      </c>
      <c r="M1127" s="21">
        <v>0.1</v>
      </c>
      <c r="N1127" s="21">
        <v>0.59241320513281204</v>
      </c>
      <c r="O1127" s="20">
        <f t="shared" si="68"/>
        <v>93157.127999999997</v>
      </c>
      <c r="P1127" s="20">
        <f t="shared" si="69"/>
        <v>55187.512779447628</v>
      </c>
      <c r="Q1127" s="20">
        <f t="shared" si="70"/>
        <v>37969.615220552369</v>
      </c>
      <c r="R1127" s="22">
        <f t="shared" si="71"/>
        <v>0.40758679486718796</v>
      </c>
    </row>
    <row r="1128" spans="1:18">
      <c r="A1128" s="18">
        <v>2127</v>
      </c>
      <c r="B1128" s="19" t="s">
        <v>436</v>
      </c>
      <c r="C1128" s="18">
        <v>2024</v>
      </c>
      <c r="D1128" s="18" t="s">
        <v>63</v>
      </c>
      <c r="E1128" s="18" t="s">
        <v>85</v>
      </c>
      <c r="F1128" s="18" t="s">
        <v>94</v>
      </c>
      <c r="G1128" s="18" t="s">
        <v>47</v>
      </c>
      <c r="H1128" s="18" t="s">
        <v>81</v>
      </c>
      <c r="I1128" s="18" t="s">
        <v>58</v>
      </c>
      <c r="J1128" s="18" t="s">
        <v>91</v>
      </c>
      <c r="K1128" s="18">
        <v>6</v>
      </c>
      <c r="L1128" s="20">
        <v>767.83</v>
      </c>
      <c r="M1128" s="21">
        <v>0.2</v>
      </c>
      <c r="N1128" s="21">
        <v>0.62650450577140104</v>
      </c>
      <c r="O1128" s="20">
        <f t="shared" si="68"/>
        <v>3685.5840000000007</v>
      </c>
      <c r="P1128" s="20">
        <f t="shared" si="69"/>
        <v>2309.0349823989836</v>
      </c>
      <c r="Q1128" s="20">
        <f t="shared" si="70"/>
        <v>1376.5490176010171</v>
      </c>
      <c r="R1128" s="22">
        <f t="shared" si="71"/>
        <v>0.37349549422859901</v>
      </c>
    </row>
    <row r="1129" spans="1:18">
      <c r="A1129" s="18">
        <v>2128</v>
      </c>
      <c r="B1129" s="19" t="s">
        <v>436</v>
      </c>
      <c r="C1129" s="18">
        <v>2024</v>
      </c>
      <c r="D1129" s="18" t="s">
        <v>63</v>
      </c>
      <c r="E1129" s="18" t="s">
        <v>85</v>
      </c>
      <c r="F1129" s="18" t="s">
        <v>86</v>
      </c>
      <c r="G1129" s="18" t="s">
        <v>47</v>
      </c>
      <c r="H1129" s="18" t="s">
        <v>81</v>
      </c>
      <c r="I1129" s="18" t="s">
        <v>56</v>
      </c>
      <c r="J1129" s="18" t="s">
        <v>82</v>
      </c>
      <c r="K1129" s="18">
        <v>10</v>
      </c>
      <c r="L1129" s="20">
        <v>782.07</v>
      </c>
      <c r="M1129" s="21">
        <v>0.15</v>
      </c>
      <c r="N1129" s="21">
        <v>0.64872324543985505</v>
      </c>
      <c r="O1129" s="20">
        <f t="shared" si="68"/>
        <v>6647.5950000000003</v>
      </c>
      <c r="P1129" s="20">
        <f t="shared" si="69"/>
        <v>4312.4494027697538</v>
      </c>
      <c r="Q1129" s="20">
        <f t="shared" si="70"/>
        <v>2335.1455972302465</v>
      </c>
      <c r="R1129" s="22">
        <f t="shared" si="71"/>
        <v>0.3512767545601449</v>
      </c>
    </row>
    <row r="1130" spans="1:18">
      <c r="A1130" s="18">
        <v>2129</v>
      </c>
      <c r="B1130" s="19" t="s">
        <v>436</v>
      </c>
      <c r="C1130" s="18">
        <v>2024</v>
      </c>
      <c r="D1130" s="18" t="s">
        <v>63</v>
      </c>
      <c r="E1130" s="18" t="s">
        <v>85</v>
      </c>
      <c r="F1130" s="18" t="s">
        <v>86</v>
      </c>
      <c r="G1130" s="18" t="s">
        <v>41</v>
      </c>
      <c r="H1130" s="18" t="s">
        <v>101</v>
      </c>
      <c r="I1130" s="18" t="s">
        <v>43</v>
      </c>
      <c r="J1130" s="18" t="s">
        <v>82</v>
      </c>
      <c r="K1130" s="18">
        <v>2</v>
      </c>
      <c r="L1130" s="20">
        <v>52542.26</v>
      </c>
      <c r="M1130" s="21">
        <v>0</v>
      </c>
      <c r="N1130" s="21">
        <v>0.66504610071506798</v>
      </c>
      <c r="O1130" s="20">
        <f t="shared" si="68"/>
        <v>105084.52</v>
      </c>
      <c r="P1130" s="20">
        <f t="shared" si="69"/>
        <v>69886.050271514585</v>
      </c>
      <c r="Q1130" s="20">
        <f t="shared" si="70"/>
        <v>35198.469728485419</v>
      </c>
      <c r="R1130" s="22">
        <f t="shared" si="71"/>
        <v>0.33495389928493197</v>
      </c>
    </row>
    <row r="1131" spans="1:18">
      <c r="A1131" s="18">
        <v>2130</v>
      </c>
      <c r="B1131" s="19" t="s">
        <v>436</v>
      </c>
      <c r="C1131" s="18">
        <v>2024</v>
      </c>
      <c r="D1131" s="18" t="s">
        <v>63</v>
      </c>
      <c r="E1131" s="18" t="s">
        <v>88</v>
      </c>
      <c r="F1131" s="18" t="s">
        <v>110</v>
      </c>
      <c r="G1131" s="18" t="s">
        <v>41</v>
      </c>
      <c r="H1131" s="18" t="s">
        <v>106</v>
      </c>
      <c r="I1131" s="18" t="s">
        <v>49</v>
      </c>
      <c r="J1131" s="18" t="s">
        <v>102</v>
      </c>
      <c r="K1131" s="18">
        <v>12</v>
      </c>
      <c r="L1131" s="20">
        <v>2553.96</v>
      </c>
      <c r="M1131" s="21">
        <v>0.1</v>
      </c>
      <c r="N1131" s="21">
        <v>0.62857708499029896</v>
      </c>
      <c r="O1131" s="20">
        <f t="shared" si="68"/>
        <v>27582.768</v>
      </c>
      <c r="P1131" s="20">
        <f t="shared" si="69"/>
        <v>17337.895905403697</v>
      </c>
      <c r="Q1131" s="20">
        <f t="shared" si="70"/>
        <v>10244.872094596303</v>
      </c>
      <c r="R1131" s="22">
        <f t="shared" si="71"/>
        <v>0.37142291500970109</v>
      </c>
    </row>
    <row r="1132" spans="1:18">
      <c r="A1132" s="18">
        <v>2131</v>
      </c>
      <c r="B1132" s="19" t="s">
        <v>436</v>
      </c>
      <c r="C1132" s="18">
        <v>2024</v>
      </c>
      <c r="D1132" s="18" t="s">
        <v>63</v>
      </c>
      <c r="E1132" s="18" t="s">
        <v>88</v>
      </c>
      <c r="F1132" s="18" t="s">
        <v>93</v>
      </c>
      <c r="G1132" s="18" t="s">
        <v>47</v>
      </c>
      <c r="H1132" s="18" t="s">
        <v>107</v>
      </c>
      <c r="I1132" s="18" t="s">
        <v>49</v>
      </c>
      <c r="J1132" s="18" t="s">
        <v>82</v>
      </c>
      <c r="K1132" s="18">
        <v>4</v>
      </c>
      <c r="L1132" s="20">
        <v>2166.48</v>
      </c>
      <c r="M1132" s="21">
        <v>0.05</v>
      </c>
      <c r="N1132" s="21">
        <v>0.69117066949056605</v>
      </c>
      <c r="O1132" s="20">
        <f t="shared" si="68"/>
        <v>8232.6239999999998</v>
      </c>
      <c r="P1132" s="20">
        <f t="shared" si="69"/>
        <v>5690.1482417441021</v>
      </c>
      <c r="Q1132" s="20">
        <f t="shared" si="70"/>
        <v>2542.4757582558977</v>
      </c>
      <c r="R1132" s="22">
        <f t="shared" si="71"/>
        <v>0.3088293305094339</v>
      </c>
    </row>
    <row r="1133" spans="1:18">
      <c r="A1133" s="18">
        <v>2132</v>
      </c>
      <c r="B1133" s="19" t="s">
        <v>437</v>
      </c>
      <c r="C1133" s="18">
        <v>2024</v>
      </c>
      <c r="D1133" s="18" t="s">
        <v>63</v>
      </c>
      <c r="E1133" s="18" t="s">
        <v>79</v>
      </c>
      <c r="F1133" s="18" t="s">
        <v>100</v>
      </c>
      <c r="G1133" s="18" t="s">
        <v>44</v>
      </c>
      <c r="H1133" s="18" t="s">
        <v>95</v>
      </c>
      <c r="I1133" s="18" t="s">
        <v>62</v>
      </c>
      <c r="J1133" s="18" t="s">
        <v>91</v>
      </c>
      <c r="K1133" s="18">
        <v>12</v>
      </c>
      <c r="L1133" s="20">
        <v>4412.3999999999996</v>
      </c>
      <c r="M1133" s="21">
        <v>0.2</v>
      </c>
      <c r="N1133" s="21">
        <v>0.59772389705513795</v>
      </c>
      <c r="O1133" s="20">
        <f t="shared" si="68"/>
        <v>42359.040000000001</v>
      </c>
      <c r="P1133" s="20">
        <f t="shared" si="69"/>
        <v>25319.01046431447</v>
      </c>
      <c r="Q1133" s="20">
        <f t="shared" si="70"/>
        <v>17040.029535685531</v>
      </c>
      <c r="R1133" s="22">
        <f t="shared" si="71"/>
        <v>0.4022761029448621</v>
      </c>
    </row>
    <row r="1134" spans="1:18">
      <c r="A1134" s="18">
        <v>2133</v>
      </c>
      <c r="B1134" s="19" t="s">
        <v>437</v>
      </c>
      <c r="C1134" s="18">
        <v>2024</v>
      </c>
      <c r="D1134" s="18" t="s">
        <v>63</v>
      </c>
      <c r="E1134" s="18" t="s">
        <v>98</v>
      </c>
      <c r="F1134" s="18" t="s">
        <v>99</v>
      </c>
      <c r="G1134" s="18" t="s">
        <v>41</v>
      </c>
      <c r="H1134" s="18" t="s">
        <v>101</v>
      </c>
      <c r="I1134" s="18" t="s">
        <v>46</v>
      </c>
      <c r="J1134" s="18" t="s">
        <v>91</v>
      </c>
      <c r="K1134" s="18">
        <v>8</v>
      </c>
      <c r="L1134" s="20">
        <v>53030.09</v>
      </c>
      <c r="M1134" s="21">
        <v>0</v>
      </c>
      <c r="N1134" s="21">
        <v>0.683206275812687</v>
      </c>
      <c r="O1134" s="20">
        <f t="shared" si="68"/>
        <v>424240.72</v>
      </c>
      <c r="P1134" s="20">
        <f t="shared" si="69"/>
        <v>289843.92235929292</v>
      </c>
      <c r="Q1134" s="20">
        <f t="shared" si="70"/>
        <v>134396.79764070705</v>
      </c>
      <c r="R1134" s="22">
        <f t="shared" si="71"/>
        <v>0.31679372418731294</v>
      </c>
    </row>
    <row r="1135" spans="1:18">
      <c r="A1135" s="18">
        <v>2134</v>
      </c>
      <c r="B1135" s="19" t="s">
        <v>437</v>
      </c>
      <c r="C1135" s="18">
        <v>2024</v>
      </c>
      <c r="D1135" s="18" t="s">
        <v>63</v>
      </c>
      <c r="E1135" s="18" t="s">
        <v>85</v>
      </c>
      <c r="F1135" s="18" t="s">
        <v>121</v>
      </c>
      <c r="G1135" s="18" t="s">
        <v>41</v>
      </c>
      <c r="H1135" s="18" t="s">
        <v>101</v>
      </c>
      <c r="I1135" s="18" t="s">
        <v>52</v>
      </c>
      <c r="J1135" s="18" t="s">
        <v>82</v>
      </c>
      <c r="K1135" s="18">
        <v>3</v>
      </c>
      <c r="L1135" s="20">
        <v>55985.62</v>
      </c>
      <c r="M1135" s="21">
        <v>0</v>
      </c>
      <c r="N1135" s="21">
        <v>0.66880103104135902</v>
      </c>
      <c r="O1135" s="20">
        <f t="shared" si="68"/>
        <v>167956.86000000002</v>
      </c>
      <c r="P1135" s="20">
        <f t="shared" si="69"/>
        <v>112329.72113846921</v>
      </c>
      <c r="Q1135" s="20">
        <f t="shared" si="70"/>
        <v>55627.13886153081</v>
      </c>
      <c r="R1135" s="22">
        <f t="shared" si="71"/>
        <v>0.33119896895864098</v>
      </c>
    </row>
    <row r="1136" spans="1:18">
      <c r="A1136" s="18">
        <v>2135</v>
      </c>
      <c r="B1136" s="19" t="s">
        <v>437</v>
      </c>
      <c r="C1136" s="18">
        <v>2024</v>
      </c>
      <c r="D1136" s="18" t="s">
        <v>63</v>
      </c>
      <c r="E1136" s="18" t="s">
        <v>85</v>
      </c>
      <c r="F1136" s="18" t="s">
        <v>94</v>
      </c>
      <c r="G1136" s="18" t="s">
        <v>41</v>
      </c>
      <c r="H1136" s="18" t="s">
        <v>112</v>
      </c>
      <c r="I1136" s="18" t="s">
        <v>49</v>
      </c>
      <c r="J1136" s="18" t="s">
        <v>91</v>
      </c>
      <c r="K1136" s="18">
        <v>2</v>
      </c>
      <c r="L1136" s="20">
        <v>5727.11</v>
      </c>
      <c r="M1136" s="21">
        <v>0</v>
      </c>
      <c r="N1136" s="21">
        <v>0.663453346014092</v>
      </c>
      <c r="O1136" s="20">
        <f t="shared" si="68"/>
        <v>11454.22</v>
      </c>
      <c r="P1136" s="20">
        <f t="shared" si="69"/>
        <v>7599.3405849815326</v>
      </c>
      <c r="Q1136" s="20">
        <f t="shared" si="70"/>
        <v>3854.8794150184667</v>
      </c>
      <c r="R1136" s="22">
        <f t="shared" si="71"/>
        <v>0.336546653985908</v>
      </c>
    </row>
    <row r="1137" spans="1:18">
      <c r="A1137" s="18">
        <v>2136</v>
      </c>
      <c r="B1137" s="19" t="s">
        <v>438</v>
      </c>
      <c r="C1137" s="18">
        <v>2024</v>
      </c>
      <c r="D1137" s="18" t="s">
        <v>63</v>
      </c>
      <c r="E1137" s="18" t="s">
        <v>88</v>
      </c>
      <c r="F1137" s="18" t="s">
        <v>93</v>
      </c>
      <c r="G1137" s="18" t="s">
        <v>44</v>
      </c>
      <c r="H1137" s="18" t="s">
        <v>119</v>
      </c>
      <c r="I1137" s="18" t="s">
        <v>43</v>
      </c>
      <c r="J1137" s="18" t="s">
        <v>82</v>
      </c>
      <c r="K1137" s="18">
        <v>5</v>
      </c>
      <c r="L1137" s="20">
        <v>7212.72</v>
      </c>
      <c r="M1137" s="21">
        <v>0.05</v>
      </c>
      <c r="N1137" s="21">
        <v>0.64052327050367297</v>
      </c>
      <c r="O1137" s="20">
        <f t="shared" si="68"/>
        <v>34260.42</v>
      </c>
      <c r="P1137" s="20">
        <f t="shared" si="69"/>
        <v>21944.596267229448</v>
      </c>
      <c r="Q1137" s="20">
        <f t="shared" si="70"/>
        <v>12315.82373277055</v>
      </c>
      <c r="R1137" s="22">
        <f t="shared" si="71"/>
        <v>0.35947672949632697</v>
      </c>
    </row>
    <row r="1138" spans="1:18">
      <c r="A1138" s="18">
        <v>2137</v>
      </c>
      <c r="B1138" s="19" t="s">
        <v>438</v>
      </c>
      <c r="C1138" s="18">
        <v>2024</v>
      </c>
      <c r="D1138" s="18" t="s">
        <v>63</v>
      </c>
      <c r="E1138" s="18" t="s">
        <v>98</v>
      </c>
      <c r="F1138" s="18" t="s">
        <v>99</v>
      </c>
      <c r="G1138" s="18" t="s">
        <v>47</v>
      </c>
      <c r="H1138" s="18" t="s">
        <v>103</v>
      </c>
      <c r="I1138" s="18" t="s">
        <v>58</v>
      </c>
      <c r="J1138" s="18" t="s">
        <v>91</v>
      </c>
      <c r="K1138" s="18">
        <v>6</v>
      </c>
      <c r="L1138" s="20">
        <v>3186.8</v>
      </c>
      <c r="M1138" s="21">
        <v>0.05</v>
      </c>
      <c r="N1138" s="21">
        <v>0.61022680656635298</v>
      </c>
      <c r="O1138" s="20">
        <f t="shared" si="68"/>
        <v>18164.760000000002</v>
      </c>
      <c r="P1138" s="20">
        <f t="shared" si="69"/>
        <v>11084.623486844228</v>
      </c>
      <c r="Q1138" s="20">
        <f t="shared" si="70"/>
        <v>7080.1365131557741</v>
      </c>
      <c r="R1138" s="22">
        <f t="shared" si="71"/>
        <v>0.38977319343364697</v>
      </c>
    </row>
    <row r="1139" spans="1:18">
      <c r="A1139" s="18">
        <v>2138</v>
      </c>
      <c r="B1139" s="19" t="s">
        <v>438</v>
      </c>
      <c r="C1139" s="18">
        <v>2024</v>
      </c>
      <c r="D1139" s="18" t="s">
        <v>63</v>
      </c>
      <c r="E1139" s="18" t="s">
        <v>98</v>
      </c>
      <c r="F1139" s="18" t="s">
        <v>99</v>
      </c>
      <c r="G1139" s="18" t="s">
        <v>50</v>
      </c>
      <c r="H1139" s="18" t="s">
        <v>83</v>
      </c>
      <c r="I1139" s="18" t="s">
        <v>52</v>
      </c>
      <c r="J1139" s="18" t="s">
        <v>102</v>
      </c>
      <c r="K1139" s="18">
        <v>9</v>
      </c>
      <c r="L1139" s="20">
        <v>3579.88</v>
      </c>
      <c r="M1139" s="21">
        <v>0</v>
      </c>
      <c r="N1139" s="21">
        <v>0.57958007749712104</v>
      </c>
      <c r="O1139" s="20">
        <f t="shared" si="68"/>
        <v>32218.920000000002</v>
      </c>
      <c r="P1139" s="20">
        <f t="shared" si="69"/>
        <v>18673.444150473544</v>
      </c>
      <c r="Q1139" s="20">
        <f t="shared" si="70"/>
        <v>13545.475849526458</v>
      </c>
      <c r="R1139" s="22">
        <f t="shared" si="71"/>
        <v>0.42041992250287896</v>
      </c>
    </row>
    <row r="1140" spans="1:18">
      <c r="A1140" s="18">
        <v>2139</v>
      </c>
      <c r="B1140" s="19" t="s">
        <v>438</v>
      </c>
      <c r="C1140" s="18">
        <v>2024</v>
      </c>
      <c r="D1140" s="18" t="s">
        <v>63</v>
      </c>
      <c r="E1140" s="18" t="s">
        <v>85</v>
      </c>
      <c r="F1140" s="18" t="s">
        <v>86</v>
      </c>
      <c r="G1140" s="18" t="s">
        <v>44</v>
      </c>
      <c r="H1140" s="18" t="s">
        <v>114</v>
      </c>
      <c r="I1140" s="18" t="s">
        <v>58</v>
      </c>
      <c r="J1140" s="18" t="s">
        <v>82</v>
      </c>
      <c r="K1140" s="18">
        <v>4</v>
      </c>
      <c r="L1140" s="20">
        <v>9069.83</v>
      </c>
      <c r="M1140" s="21">
        <v>0.2</v>
      </c>
      <c r="N1140" s="21">
        <v>0.74465811763811196</v>
      </c>
      <c r="O1140" s="20">
        <f t="shared" si="68"/>
        <v>29023.456000000002</v>
      </c>
      <c r="P1140" s="20">
        <f t="shared" si="69"/>
        <v>21612.552112312569</v>
      </c>
      <c r="Q1140" s="20">
        <f t="shared" si="70"/>
        <v>7410.9038876874329</v>
      </c>
      <c r="R1140" s="22">
        <f t="shared" si="71"/>
        <v>0.25534188236188798</v>
      </c>
    </row>
    <row r="1141" spans="1:18">
      <c r="A1141" s="18">
        <v>2140</v>
      </c>
      <c r="B1141" s="19" t="s">
        <v>439</v>
      </c>
      <c r="C1141" s="18">
        <v>2024</v>
      </c>
      <c r="D1141" s="18" t="s">
        <v>63</v>
      </c>
      <c r="E1141" s="18" t="s">
        <v>88</v>
      </c>
      <c r="F1141" s="18" t="s">
        <v>93</v>
      </c>
      <c r="G1141" s="18" t="s">
        <v>41</v>
      </c>
      <c r="H1141" s="18" t="s">
        <v>101</v>
      </c>
      <c r="I1141" s="18" t="s">
        <v>56</v>
      </c>
      <c r="J1141" s="18" t="s">
        <v>102</v>
      </c>
      <c r="K1141" s="18">
        <v>2</v>
      </c>
      <c r="L1141" s="20">
        <v>57559.99</v>
      </c>
      <c r="M1141" s="21">
        <v>0.2</v>
      </c>
      <c r="N1141" s="21">
        <v>0.68576030514376796</v>
      </c>
      <c r="O1141" s="20">
        <f t="shared" si="68"/>
        <v>92095.983999999997</v>
      </c>
      <c r="P1141" s="20">
        <f t="shared" si="69"/>
        <v>63155.770090355567</v>
      </c>
      <c r="Q1141" s="20">
        <f t="shared" si="70"/>
        <v>28940.21390964443</v>
      </c>
      <c r="R1141" s="22">
        <f t="shared" si="71"/>
        <v>0.31423969485623204</v>
      </c>
    </row>
    <row r="1142" spans="1:18">
      <c r="A1142" s="18">
        <v>2141</v>
      </c>
      <c r="B1142" s="19" t="s">
        <v>439</v>
      </c>
      <c r="C1142" s="18">
        <v>2024</v>
      </c>
      <c r="D1142" s="18" t="s">
        <v>63</v>
      </c>
      <c r="E1142" s="18" t="s">
        <v>85</v>
      </c>
      <c r="F1142" s="18" t="s">
        <v>94</v>
      </c>
      <c r="G1142" s="18" t="s">
        <v>44</v>
      </c>
      <c r="H1142" s="18" t="s">
        <v>114</v>
      </c>
      <c r="I1142" s="18" t="s">
        <v>54</v>
      </c>
      <c r="J1142" s="18" t="s">
        <v>91</v>
      </c>
      <c r="K1142" s="18">
        <v>7</v>
      </c>
      <c r="L1142" s="20">
        <v>9080.23</v>
      </c>
      <c r="M1142" s="21">
        <v>0.05</v>
      </c>
      <c r="N1142" s="21">
        <v>0.61186465947415303</v>
      </c>
      <c r="O1142" s="20">
        <f t="shared" si="68"/>
        <v>60383.529499999997</v>
      </c>
      <c r="P1142" s="20">
        <f t="shared" si="69"/>
        <v>36946.54771536497</v>
      </c>
      <c r="Q1142" s="20">
        <f t="shared" si="70"/>
        <v>23436.981784635027</v>
      </c>
      <c r="R1142" s="22">
        <f t="shared" si="71"/>
        <v>0.38813534052584703</v>
      </c>
    </row>
    <row r="1143" spans="1:18">
      <c r="A1143" s="18">
        <v>2142</v>
      </c>
      <c r="B1143" s="19" t="s">
        <v>439</v>
      </c>
      <c r="C1143" s="18">
        <v>2024</v>
      </c>
      <c r="D1143" s="18" t="s">
        <v>63</v>
      </c>
      <c r="E1143" s="18" t="s">
        <v>79</v>
      </c>
      <c r="F1143" s="18" t="s">
        <v>80</v>
      </c>
      <c r="G1143" s="18" t="s">
        <v>47</v>
      </c>
      <c r="H1143" s="18" t="s">
        <v>103</v>
      </c>
      <c r="I1143" s="18" t="s">
        <v>43</v>
      </c>
      <c r="J1143" s="18" t="s">
        <v>91</v>
      </c>
      <c r="K1143" s="18">
        <v>8</v>
      </c>
      <c r="L1143" s="20">
        <v>3221.33</v>
      </c>
      <c r="M1143" s="21">
        <v>0.05</v>
      </c>
      <c r="N1143" s="21">
        <v>0.607681706711934</v>
      </c>
      <c r="O1143" s="20">
        <f t="shared" si="68"/>
        <v>24482.107999999997</v>
      </c>
      <c r="P1143" s="20">
        <f t="shared" si="69"/>
        <v>14877.329173345892</v>
      </c>
      <c r="Q1143" s="20">
        <f t="shared" si="70"/>
        <v>9604.7788266541047</v>
      </c>
      <c r="R1143" s="22">
        <f t="shared" si="71"/>
        <v>0.39231829328806594</v>
      </c>
    </row>
    <row r="1144" spans="1:18">
      <c r="A1144" s="18">
        <v>2143</v>
      </c>
      <c r="B1144" s="19" t="s">
        <v>439</v>
      </c>
      <c r="C1144" s="18">
        <v>2024</v>
      </c>
      <c r="D1144" s="18" t="s">
        <v>63</v>
      </c>
      <c r="E1144" s="18" t="s">
        <v>79</v>
      </c>
      <c r="F1144" s="18" t="s">
        <v>105</v>
      </c>
      <c r="G1144" s="18" t="s">
        <v>44</v>
      </c>
      <c r="H1144" s="18" t="s">
        <v>114</v>
      </c>
      <c r="I1144" s="18" t="s">
        <v>46</v>
      </c>
      <c r="J1144" s="18" t="s">
        <v>102</v>
      </c>
      <c r="K1144" s="18">
        <v>5</v>
      </c>
      <c r="L1144" s="20">
        <v>9111.42</v>
      </c>
      <c r="M1144" s="21">
        <v>0.2</v>
      </c>
      <c r="N1144" s="21">
        <v>0.58252136454529402</v>
      </c>
      <c r="O1144" s="20">
        <f t="shared" si="68"/>
        <v>36445.68</v>
      </c>
      <c r="P1144" s="20">
        <f t="shared" si="69"/>
        <v>21230.387245381131</v>
      </c>
      <c r="Q1144" s="20">
        <f t="shared" si="70"/>
        <v>15215.292754618869</v>
      </c>
      <c r="R1144" s="22">
        <f t="shared" si="71"/>
        <v>0.41747863545470598</v>
      </c>
    </row>
    <row r="1145" spans="1:18">
      <c r="A1145" s="18">
        <v>2144</v>
      </c>
      <c r="B1145" s="19" t="s">
        <v>440</v>
      </c>
      <c r="C1145" s="18">
        <v>2024</v>
      </c>
      <c r="D1145" s="18" t="s">
        <v>63</v>
      </c>
      <c r="E1145" s="18" t="s">
        <v>98</v>
      </c>
      <c r="F1145" s="18" t="s">
        <v>117</v>
      </c>
      <c r="G1145" s="18" t="s">
        <v>47</v>
      </c>
      <c r="H1145" s="18" t="s">
        <v>81</v>
      </c>
      <c r="I1145" s="18" t="s">
        <v>58</v>
      </c>
      <c r="J1145" s="18" t="s">
        <v>82</v>
      </c>
      <c r="K1145" s="18">
        <v>4</v>
      </c>
      <c r="L1145" s="20">
        <v>782.64</v>
      </c>
      <c r="M1145" s="21">
        <v>0.15</v>
      </c>
      <c r="N1145" s="21">
        <v>0.574687153180232</v>
      </c>
      <c r="O1145" s="20">
        <f t="shared" si="68"/>
        <v>2660.9759999999997</v>
      </c>
      <c r="P1145" s="20">
        <f t="shared" si="69"/>
        <v>1529.2287221209208</v>
      </c>
      <c r="Q1145" s="20">
        <f t="shared" si="70"/>
        <v>1131.7472778790789</v>
      </c>
      <c r="R1145" s="22">
        <f t="shared" si="71"/>
        <v>0.425312846819768</v>
      </c>
    </row>
    <row r="1146" spans="1:18">
      <c r="A1146" s="18">
        <v>2145</v>
      </c>
      <c r="B1146" s="19" t="s">
        <v>440</v>
      </c>
      <c r="C1146" s="18">
        <v>2024</v>
      </c>
      <c r="D1146" s="18" t="s">
        <v>63</v>
      </c>
      <c r="E1146" s="18" t="s">
        <v>85</v>
      </c>
      <c r="F1146" s="18" t="s">
        <v>121</v>
      </c>
      <c r="G1146" s="18" t="s">
        <v>41</v>
      </c>
      <c r="H1146" s="18" t="s">
        <v>112</v>
      </c>
      <c r="I1146" s="18" t="s">
        <v>54</v>
      </c>
      <c r="J1146" s="18" t="s">
        <v>102</v>
      </c>
      <c r="K1146" s="18">
        <v>1</v>
      </c>
      <c r="L1146" s="20">
        <v>5729.94</v>
      </c>
      <c r="M1146" s="21">
        <v>0</v>
      </c>
      <c r="N1146" s="21">
        <v>0.62004364710855797</v>
      </c>
      <c r="O1146" s="20">
        <f t="shared" si="68"/>
        <v>5729.94</v>
      </c>
      <c r="P1146" s="20">
        <f t="shared" si="69"/>
        <v>3552.8128953132104</v>
      </c>
      <c r="Q1146" s="20">
        <f t="shared" si="70"/>
        <v>2177.1271046867892</v>
      </c>
      <c r="R1146" s="22">
        <f t="shared" si="71"/>
        <v>0.37995635289144203</v>
      </c>
    </row>
    <row r="1147" spans="1:18">
      <c r="A1147" s="18">
        <v>2146</v>
      </c>
      <c r="B1147" s="19" t="s">
        <v>440</v>
      </c>
      <c r="C1147" s="18">
        <v>2024</v>
      </c>
      <c r="D1147" s="18" t="s">
        <v>63</v>
      </c>
      <c r="E1147" s="18" t="s">
        <v>98</v>
      </c>
      <c r="F1147" s="18" t="s">
        <v>99</v>
      </c>
      <c r="G1147" s="18" t="s">
        <v>44</v>
      </c>
      <c r="H1147" s="18" t="s">
        <v>119</v>
      </c>
      <c r="I1147" s="18" t="s">
        <v>52</v>
      </c>
      <c r="J1147" s="18" t="s">
        <v>82</v>
      </c>
      <c r="K1147" s="18">
        <v>12</v>
      </c>
      <c r="L1147" s="20">
        <v>6787.71</v>
      </c>
      <c r="M1147" s="21">
        <v>0.15</v>
      </c>
      <c r="N1147" s="21">
        <v>0.73365196746694705</v>
      </c>
      <c r="O1147" s="20">
        <f t="shared" si="68"/>
        <v>69234.642000000007</v>
      </c>
      <c r="P1147" s="20">
        <f t="shared" si="69"/>
        <v>50794.131320169734</v>
      </c>
      <c r="Q1147" s="20">
        <f t="shared" si="70"/>
        <v>18440.510679830273</v>
      </c>
      <c r="R1147" s="22">
        <f t="shared" si="71"/>
        <v>0.26634803253305289</v>
      </c>
    </row>
    <row r="1148" spans="1:18">
      <c r="A1148" s="18">
        <v>2147</v>
      </c>
      <c r="B1148" s="19" t="s">
        <v>440</v>
      </c>
      <c r="C1148" s="18">
        <v>2024</v>
      </c>
      <c r="D1148" s="18" t="s">
        <v>63</v>
      </c>
      <c r="E1148" s="18" t="s">
        <v>98</v>
      </c>
      <c r="F1148" s="18" t="s">
        <v>117</v>
      </c>
      <c r="G1148" s="18" t="s">
        <v>41</v>
      </c>
      <c r="H1148" s="18" t="s">
        <v>112</v>
      </c>
      <c r="I1148" s="18" t="s">
        <v>54</v>
      </c>
      <c r="J1148" s="18" t="s">
        <v>82</v>
      </c>
      <c r="K1148" s="18">
        <v>11</v>
      </c>
      <c r="L1148" s="20">
        <v>6082.23</v>
      </c>
      <c r="M1148" s="21">
        <v>0.1</v>
      </c>
      <c r="N1148" s="21">
        <v>0.62982272053794097</v>
      </c>
      <c r="O1148" s="20">
        <f t="shared" si="68"/>
        <v>60214.076999999997</v>
      </c>
      <c r="P1148" s="20">
        <f t="shared" si="69"/>
        <v>37924.19379082106</v>
      </c>
      <c r="Q1148" s="20">
        <f t="shared" si="70"/>
        <v>22289.883209178937</v>
      </c>
      <c r="R1148" s="22">
        <f t="shared" si="71"/>
        <v>0.37017727946205897</v>
      </c>
    </row>
    <row r="1149" spans="1:18">
      <c r="A1149" s="18">
        <v>2148</v>
      </c>
      <c r="B1149" s="19" t="s">
        <v>440</v>
      </c>
      <c r="C1149" s="18">
        <v>2024</v>
      </c>
      <c r="D1149" s="18" t="s">
        <v>63</v>
      </c>
      <c r="E1149" s="18" t="s">
        <v>79</v>
      </c>
      <c r="F1149" s="18" t="s">
        <v>105</v>
      </c>
      <c r="G1149" s="18" t="s">
        <v>47</v>
      </c>
      <c r="H1149" s="18" t="s">
        <v>103</v>
      </c>
      <c r="I1149" s="18" t="s">
        <v>52</v>
      </c>
      <c r="J1149" s="18" t="s">
        <v>82</v>
      </c>
      <c r="K1149" s="18">
        <v>10</v>
      </c>
      <c r="L1149" s="20">
        <v>3179.46</v>
      </c>
      <c r="M1149" s="21">
        <v>0.05</v>
      </c>
      <c r="N1149" s="21">
        <v>0.710876049962889</v>
      </c>
      <c r="O1149" s="20">
        <f t="shared" si="68"/>
        <v>30204.87</v>
      </c>
      <c r="P1149" s="20">
        <f t="shared" si="69"/>
        <v>21471.918675242567</v>
      </c>
      <c r="Q1149" s="20">
        <f t="shared" si="70"/>
        <v>8732.9513247574323</v>
      </c>
      <c r="R1149" s="22">
        <f t="shared" si="71"/>
        <v>0.289123950037111</v>
      </c>
    </row>
    <row r="1150" spans="1:18">
      <c r="A1150" s="18">
        <v>2149</v>
      </c>
      <c r="B1150" s="19" t="s">
        <v>441</v>
      </c>
      <c r="C1150" s="18">
        <v>2024</v>
      </c>
      <c r="D1150" s="18" t="s">
        <v>63</v>
      </c>
      <c r="E1150" s="18" t="s">
        <v>88</v>
      </c>
      <c r="F1150" s="18" t="s">
        <v>89</v>
      </c>
      <c r="G1150" s="18" t="s">
        <v>44</v>
      </c>
      <c r="H1150" s="18" t="s">
        <v>114</v>
      </c>
      <c r="I1150" s="18" t="s">
        <v>60</v>
      </c>
      <c r="J1150" s="18" t="s">
        <v>82</v>
      </c>
      <c r="K1150" s="18">
        <v>5</v>
      </c>
      <c r="L1150" s="20">
        <v>8824.5</v>
      </c>
      <c r="M1150" s="21">
        <v>0.05</v>
      </c>
      <c r="N1150" s="21">
        <v>0.66333301801550204</v>
      </c>
      <c r="O1150" s="20">
        <f t="shared" si="68"/>
        <v>41916.375</v>
      </c>
      <c r="P1150" s="20">
        <f t="shared" si="69"/>
        <v>27804.515533019538</v>
      </c>
      <c r="Q1150" s="20">
        <f t="shared" si="70"/>
        <v>14111.859466980462</v>
      </c>
      <c r="R1150" s="22">
        <f t="shared" si="71"/>
        <v>0.33666698198449801</v>
      </c>
    </row>
    <row r="1151" spans="1:18">
      <c r="A1151" s="18">
        <v>2150</v>
      </c>
      <c r="B1151" s="19" t="s">
        <v>441</v>
      </c>
      <c r="C1151" s="18">
        <v>2024</v>
      </c>
      <c r="D1151" s="18" t="s">
        <v>63</v>
      </c>
      <c r="E1151" s="18" t="s">
        <v>85</v>
      </c>
      <c r="F1151" s="18" t="s">
        <v>94</v>
      </c>
      <c r="G1151" s="18" t="s">
        <v>44</v>
      </c>
      <c r="H1151" s="18" t="s">
        <v>114</v>
      </c>
      <c r="I1151" s="18" t="s">
        <v>56</v>
      </c>
      <c r="J1151" s="18" t="s">
        <v>82</v>
      </c>
      <c r="K1151" s="18">
        <v>3</v>
      </c>
      <c r="L1151" s="20">
        <v>9023.91</v>
      </c>
      <c r="M1151" s="21">
        <v>0.2</v>
      </c>
      <c r="N1151" s="21">
        <v>0.61265209243270002</v>
      </c>
      <c r="O1151" s="20">
        <f t="shared" si="68"/>
        <v>21657.384000000002</v>
      </c>
      <c r="P1151" s="20">
        <f t="shared" si="69"/>
        <v>13268.44162421848</v>
      </c>
      <c r="Q1151" s="20">
        <f t="shared" si="70"/>
        <v>8388.9423757815221</v>
      </c>
      <c r="R1151" s="22">
        <f t="shared" si="71"/>
        <v>0.38734790756729998</v>
      </c>
    </row>
    <row r="1152" spans="1:18">
      <c r="A1152" s="18">
        <v>2151</v>
      </c>
      <c r="B1152" s="19" t="s">
        <v>441</v>
      </c>
      <c r="C1152" s="18">
        <v>2024</v>
      </c>
      <c r="D1152" s="18" t="s">
        <v>63</v>
      </c>
      <c r="E1152" s="18" t="s">
        <v>98</v>
      </c>
      <c r="F1152" s="18" t="s">
        <v>109</v>
      </c>
      <c r="G1152" s="18" t="s">
        <v>47</v>
      </c>
      <c r="H1152" s="18" t="s">
        <v>107</v>
      </c>
      <c r="I1152" s="18" t="s">
        <v>58</v>
      </c>
      <c r="J1152" s="18" t="s">
        <v>91</v>
      </c>
      <c r="K1152" s="18">
        <v>7</v>
      </c>
      <c r="L1152" s="20">
        <v>2191.48</v>
      </c>
      <c r="M1152" s="21">
        <v>0.15</v>
      </c>
      <c r="N1152" s="21">
        <v>0.55528442406280598</v>
      </c>
      <c r="O1152" s="20">
        <f t="shared" si="68"/>
        <v>13039.306</v>
      </c>
      <c r="P1152" s="20">
        <f t="shared" si="69"/>
        <v>7240.5235223886903</v>
      </c>
      <c r="Q1152" s="20">
        <f t="shared" si="70"/>
        <v>5798.7824776113102</v>
      </c>
      <c r="R1152" s="22">
        <f t="shared" si="71"/>
        <v>0.44471557593719407</v>
      </c>
    </row>
    <row r="1153" spans="1:18">
      <c r="A1153" s="18">
        <v>2152</v>
      </c>
      <c r="B1153" s="19" t="s">
        <v>442</v>
      </c>
      <c r="C1153" s="18">
        <v>2024</v>
      </c>
      <c r="D1153" s="18" t="s">
        <v>63</v>
      </c>
      <c r="E1153" s="18" t="s">
        <v>79</v>
      </c>
      <c r="F1153" s="18" t="s">
        <v>100</v>
      </c>
      <c r="G1153" s="18" t="s">
        <v>47</v>
      </c>
      <c r="H1153" s="18" t="s">
        <v>81</v>
      </c>
      <c r="I1153" s="18" t="s">
        <v>62</v>
      </c>
      <c r="J1153" s="18" t="s">
        <v>102</v>
      </c>
      <c r="K1153" s="18">
        <v>6</v>
      </c>
      <c r="L1153" s="20">
        <v>770.18</v>
      </c>
      <c r="M1153" s="21">
        <v>0.15</v>
      </c>
      <c r="N1153" s="21">
        <v>0.72998248273964905</v>
      </c>
      <c r="O1153" s="20">
        <f t="shared" si="68"/>
        <v>3927.9179999999997</v>
      </c>
      <c r="P1153" s="20">
        <f t="shared" si="69"/>
        <v>2867.3113336377564</v>
      </c>
      <c r="Q1153" s="20">
        <f t="shared" si="70"/>
        <v>1060.6066663622432</v>
      </c>
      <c r="R1153" s="22">
        <f t="shared" si="71"/>
        <v>0.270017517260351</v>
      </c>
    </row>
    <row r="1154" spans="1:18">
      <c r="A1154" s="18">
        <v>2153</v>
      </c>
      <c r="B1154" s="19" t="s">
        <v>442</v>
      </c>
      <c r="C1154" s="18">
        <v>2024</v>
      </c>
      <c r="D1154" s="18" t="s">
        <v>63</v>
      </c>
      <c r="E1154" s="18" t="s">
        <v>98</v>
      </c>
      <c r="F1154" s="18" t="s">
        <v>117</v>
      </c>
      <c r="G1154" s="18" t="s">
        <v>50</v>
      </c>
      <c r="H1154" s="18" t="s">
        <v>83</v>
      </c>
      <c r="I1154" s="18" t="s">
        <v>56</v>
      </c>
      <c r="J1154" s="18" t="s">
        <v>102</v>
      </c>
      <c r="K1154" s="18">
        <v>1</v>
      </c>
      <c r="L1154" s="20">
        <v>3486.98</v>
      </c>
      <c r="M1154" s="21">
        <v>0.15</v>
      </c>
      <c r="N1154" s="21">
        <v>0.64204415058970199</v>
      </c>
      <c r="O1154" s="20">
        <f t="shared" ref="O1154:O1217" si="72">K1154*L1154*(1-M1154)</f>
        <v>2963.933</v>
      </c>
      <c r="P1154" s="20">
        <f t="shared" ref="P1154:P1217" si="73">O1154*N1154</f>
        <v>1902.9758453897871</v>
      </c>
      <c r="Q1154" s="20">
        <f t="shared" ref="Q1154:Q1217" si="74">O1154-P1154</f>
        <v>1060.9571546102129</v>
      </c>
      <c r="R1154" s="22">
        <f t="shared" ref="R1154:R1217" si="75">IF(O1154=0,0,Q1154/O1154)</f>
        <v>0.35795584941029807</v>
      </c>
    </row>
    <row r="1155" spans="1:18">
      <c r="A1155" s="18">
        <v>2154</v>
      </c>
      <c r="B1155" s="19" t="s">
        <v>442</v>
      </c>
      <c r="C1155" s="18">
        <v>2024</v>
      </c>
      <c r="D1155" s="18" t="s">
        <v>63</v>
      </c>
      <c r="E1155" s="18" t="s">
        <v>79</v>
      </c>
      <c r="F1155" s="18" t="s">
        <v>100</v>
      </c>
      <c r="G1155" s="18" t="s">
        <v>41</v>
      </c>
      <c r="H1155" s="18" t="s">
        <v>106</v>
      </c>
      <c r="I1155" s="18" t="s">
        <v>43</v>
      </c>
      <c r="J1155" s="18" t="s">
        <v>91</v>
      </c>
      <c r="K1155" s="18">
        <v>10</v>
      </c>
      <c r="L1155" s="20">
        <v>2399.35</v>
      </c>
      <c r="M1155" s="21">
        <v>0.05</v>
      </c>
      <c r="N1155" s="21">
        <v>0.66308868003110299</v>
      </c>
      <c r="O1155" s="20">
        <f t="shared" si="72"/>
        <v>22793.825000000001</v>
      </c>
      <c r="P1155" s="20">
        <f t="shared" si="73"/>
        <v>15114.327332109957</v>
      </c>
      <c r="Q1155" s="20">
        <f t="shared" si="74"/>
        <v>7679.4976678900439</v>
      </c>
      <c r="R1155" s="22">
        <f t="shared" si="75"/>
        <v>0.33691131996889701</v>
      </c>
    </row>
    <row r="1156" spans="1:18">
      <c r="A1156" s="18">
        <v>2155</v>
      </c>
      <c r="B1156" s="19" t="s">
        <v>442</v>
      </c>
      <c r="C1156" s="18">
        <v>2024</v>
      </c>
      <c r="D1156" s="18" t="s">
        <v>63</v>
      </c>
      <c r="E1156" s="18" t="s">
        <v>98</v>
      </c>
      <c r="F1156" s="18" t="s">
        <v>117</v>
      </c>
      <c r="G1156" s="18" t="s">
        <v>41</v>
      </c>
      <c r="H1156" s="18" t="s">
        <v>90</v>
      </c>
      <c r="I1156" s="18" t="s">
        <v>49</v>
      </c>
      <c r="J1156" s="18" t="s">
        <v>102</v>
      </c>
      <c r="K1156" s="18">
        <v>3</v>
      </c>
      <c r="L1156" s="20">
        <v>18111.689999999999</v>
      </c>
      <c r="M1156" s="21">
        <v>0.1</v>
      </c>
      <c r="N1156" s="21">
        <v>0.57728055003813505</v>
      </c>
      <c r="O1156" s="20">
        <f t="shared" si="72"/>
        <v>48901.562999999995</v>
      </c>
      <c r="P1156" s="20">
        <f t="shared" si="73"/>
        <v>28229.921186364511</v>
      </c>
      <c r="Q1156" s="20">
        <f t="shared" si="74"/>
        <v>20671.641813635484</v>
      </c>
      <c r="R1156" s="22">
        <f t="shared" si="75"/>
        <v>0.42271944996186495</v>
      </c>
    </row>
    <row r="1157" spans="1:18">
      <c r="A1157" s="18">
        <v>2156</v>
      </c>
      <c r="B1157" s="19" t="s">
        <v>442</v>
      </c>
      <c r="C1157" s="18">
        <v>2024</v>
      </c>
      <c r="D1157" s="18" t="s">
        <v>63</v>
      </c>
      <c r="E1157" s="18" t="s">
        <v>88</v>
      </c>
      <c r="F1157" s="18" t="s">
        <v>89</v>
      </c>
      <c r="G1157" s="18" t="s">
        <v>47</v>
      </c>
      <c r="H1157" s="18" t="s">
        <v>103</v>
      </c>
      <c r="I1157" s="18" t="s">
        <v>40</v>
      </c>
      <c r="J1157" s="18" t="s">
        <v>91</v>
      </c>
      <c r="K1157" s="18">
        <v>10</v>
      </c>
      <c r="L1157" s="20">
        <v>3260.09</v>
      </c>
      <c r="M1157" s="21">
        <v>0</v>
      </c>
      <c r="N1157" s="21">
        <v>0.56342841237788799</v>
      </c>
      <c r="O1157" s="20">
        <f t="shared" si="72"/>
        <v>32600.9</v>
      </c>
      <c r="P1157" s="20">
        <f t="shared" si="73"/>
        <v>18368.273329090291</v>
      </c>
      <c r="Q1157" s="20">
        <f t="shared" si="74"/>
        <v>14232.626670909711</v>
      </c>
      <c r="R1157" s="22">
        <f t="shared" si="75"/>
        <v>0.43657158762211196</v>
      </c>
    </row>
    <row r="1158" spans="1:18">
      <c r="A1158" s="18">
        <v>2157</v>
      </c>
      <c r="B1158" s="19" t="s">
        <v>443</v>
      </c>
      <c r="C1158" s="18">
        <v>2024</v>
      </c>
      <c r="D1158" s="18" t="s">
        <v>63</v>
      </c>
      <c r="E1158" s="18" t="s">
        <v>79</v>
      </c>
      <c r="F1158" s="18" t="s">
        <v>80</v>
      </c>
      <c r="G1158" s="18" t="s">
        <v>41</v>
      </c>
      <c r="H1158" s="18" t="s">
        <v>101</v>
      </c>
      <c r="I1158" s="18" t="s">
        <v>49</v>
      </c>
      <c r="J1158" s="18" t="s">
        <v>82</v>
      </c>
      <c r="K1158" s="18">
        <v>8</v>
      </c>
      <c r="L1158" s="20">
        <v>52385.61</v>
      </c>
      <c r="M1158" s="21">
        <v>0.15</v>
      </c>
      <c r="N1158" s="21">
        <v>0.63876317499684399</v>
      </c>
      <c r="O1158" s="20">
        <f t="shared" si="72"/>
        <v>356222.14799999999</v>
      </c>
      <c r="P1158" s="20">
        <f t="shared" si="73"/>
        <v>227541.59026067564</v>
      </c>
      <c r="Q1158" s="20">
        <f t="shared" si="74"/>
        <v>128680.55773932434</v>
      </c>
      <c r="R1158" s="22">
        <f t="shared" si="75"/>
        <v>0.36123682500315601</v>
      </c>
    </row>
    <row r="1159" spans="1:18">
      <c r="A1159" s="18">
        <v>2158</v>
      </c>
      <c r="B1159" s="19" t="s">
        <v>443</v>
      </c>
      <c r="C1159" s="18">
        <v>2024</v>
      </c>
      <c r="D1159" s="18" t="s">
        <v>63</v>
      </c>
      <c r="E1159" s="18" t="s">
        <v>79</v>
      </c>
      <c r="F1159" s="18" t="s">
        <v>100</v>
      </c>
      <c r="G1159" s="18" t="s">
        <v>47</v>
      </c>
      <c r="H1159" s="18" t="s">
        <v>107</v>
      </c>
      <c r="I1159" s="18" t="s">
        <v>58</v>
      </c>
      <c r="J1159" s="18" t="s">
        <v>82</v>
      </c>
      <c r="K1159" s="18">
        <v>4</v>
      </c>
      <c r="L1159" s="20">
        <v>2275.1799999999998</v>
      </c>
      <c r="M1159" s="21">
        <v>0.15</v>
      </c>
      <c r="N1159" s="21">
        <v>0.602054305108914</v>
      </c>
      <c r="O1159" s="20">
        <f t="shared" si="72"/>
        <v>7735.6119999999992</v>
      </c>
      <c r="P1159" s="20">
        <f t="shared" si="73"/>
        <v>4657.2585072521761</v>
      </c>
      <c r="Q1159" s="20">
        <f t="shared" si="74"/>
        <v>3078.3534927478231</v>
      </c>
      <c r="R1159" s="22">
        <f t="shared" si="75"/>
        <v>0.397945694891086</v>
      </c>
    </row>
    <row r="1160" spans="1:18">
      <c r="A1160" s="18">
        <v>2159</v>
      </c>
      <c r="B1160" s="19" t="s">
        <v>443</v>
      </c>
      <c r="C1160" s="18">
        <v>2024</v>
      </c>
      <c r="D1160" s="18" t="s">
        <v>63</v>
      </c>
      <c r="E1160" s="18" t="s">
        <v>85</v>
      </c>
      <c r="F1160" s="18" t="s">
        <v>94</v>
      </c>
      <c r="G1160" s="18" t="s">
        <v>41</v>
      </c>
      <c r="H1160" s="18" t="s">
        <v>112</v>
      </c>
      <c r="I1160" s="18" t="s">
        <v>46</v>
      </c>
      <c r="J1160" s="18" t="s">
        <v>102</v>
      </c>
      <c r="K1160" s="18">
        <v>1</v>
      </c>
      <c r="L1160" s="20">
        <v>5810.88</v>
      </c>
      <c r="M1160" s="21">
        <v>0.2</v>
      </c>
      <c r="N1160" s="21">
        <v>0.68149307257038605</v>
      </c>
      <c r="O1160" s="20">
        <f t="shared" si="72"/>
        <v>4648.7040000000006</v>
      </c>
      <c r="P1160" s="20">
        <f t="shared" si="73"/>
        <v>3168.0595724302443</v>
      </c>
      <c r="Q1160" s="20">
        <f t="shared" si="74"/>
        <v>1480.6444275697563</v>
      </c>
      <c r="R1160" s="22">
        <f t="shared" si="75"/>
        <v>0.31850692742961395</v>
      </c>
    </row>
    <row r="1161" spans="1:18">
      <c r="A1161" s="18">
        <v>2160</v>
      </c>
      <c r="B1161" s="19" t="s">
        <v>444</v>
      </c>
      <c r="C1161" s="18">
        <v>2024</v>
      </c>
      <c r="D1161" s="18" t="s">
        <v>63</v>
      </c>
      <c r="E1161" s="18" t="s">
        <v>88</v>
      </c>
      <c r="F1161" s="18" t="s">
        <v>89</v>
      </c>
      <c r="G1161" s="18" t="s">
        <v>50</v>
      </c>
      <c r="H1161" s="18" t="s">
        <v>97</v>
      </c>
      <c r="I1161" s="18" t="s">
        <v>52</v>
      </c>
      <c r="J1161" s="18" t="s">
        <v>102</v>
      </c>
      <c r="K1161" s="18">
        <v>2</v>
      </c>
      <c r="L1161" s="20">
        <v>12550.91</v>
      </c>
      <c r="M1161" s="21">
        <v>0.1</v>
      </c>
      <c r="N1161" s="21">
        <v>0.62346788148239196</v>
      </c>
      <c r="O1161" s="20">
        <f t="shared" si="72"/>
        <v>22591.637999999999</v>
      </c>
      <c r="P1161" s="20">
        <f t="shared" si="73"/>
        <v>14085.160683077102</v>
      </c>
      <c r="Q1161" s="20">
        <f t="shared" si="74"/>
        <v>8506.4773169228974</v>
      </c>
      <c r="R1161" s="22">
        <f t="shared" si="75"/>
        <v>0.37653211851760804</v>
      </c>
    </row>
    <row r="1162" spans="1:18">
      <c r="A1162" s="18">
        <v>2161</v>
      </c>
      <c r="B1162" s="19" t="s">
        <v>444</v>
      </c>
      <c r="C1162" s="18">
        <v>2024</v>
      </c>
      <c r="D1162" s="18" t="s">
        <v>63</v>
      </c>
      <c r="E1162" s="18" t="s">
        <v>98</v>
      </c>
      <c r="F1162" s="18" t="s">
        <v>109</v>
      </c>
      <c r="G1162" s="18" t="s">
        <v>50</v>
      </c>
      <c r="H1162" s="18" t="s">
        <v>87</v>
      </c>
      <c r="I1162" s="18" t="s">
        <v>43</v>
      </c>
      <c r="J1162" s="18" t="s">
        <v>91</v>
      </c>
      <c r="K1162" s="18">
        <v>7</v>
      </c>
      <c r="L1162" s="20">
        <v>9797.82</v>
      </c>
      <c r="M1162" s="21">
        <v>0</v>
      </c>
      <c r="N1162" s="21">
        <v>0.555594131772849</v>
      </c>
      <c r="O1162" s="20">
        <f t="shared" si="72"/>
        <v>68584.739999999991</v>
      </c>
      <c r="P1162" s="20">
        <f t="shared" si="73"/>
        <v>38105.279073166581</v>
      </c>
      <c r="Q1162" s="20">
        <f t="shared" si="74"/>
        <v>30479.46092683341</v>
      </c>
      <c r="R1162" s="22">
        <f t="shared" si="75"/>
        <v>0.444405868227151</v>
      </c>
    </row>
    <row r="1163" spans="1:18">
      <c r="A1163" s="18">
        <v>2162</v>
      </c>
      <c r="B1163" s="19" t="s">
        <v>444</v>
      </c>
      <c r="C1163" s="18">
        <v>2024</v>
      </c>
      <c r="D1163" s="18" t="s">
        <v>63</v>
      </c>
      <c r="E1163" s="18" t="s">
        <v>85</v>
      </c>
      <c r="F1163" s="18" t="s">
        <v>86</v>
      </c>
      <c r="G1163" s="18" t="s">
        <v>50</v>
      </c>
      <c r="H1163" s="18" t="s">
        <v>83</v>
      </c>
      <c r="I1163" s="18" t="s">
        <v>62</v>
      </c>
      <c r="J1163" s="18" t="s">
        <v>91</v>
      </c>
      <c r="K1163" s="18">
        <v>1</v>
      </c>
      <c r="L1163" s="20">
        <v>3550.79</v>
      </c>
      <c r="M1163" s="21">
        <v>0.2</v>
      </c>
      <c r="N1163" s="21">
        <v>0.67397529251050903</v>
      </c>
      <c r="O1163" s="20">
        <f t="shared" si="72"/>
        <v>2840.6320000000001</v>
      </c>
      <c r="P1163" s="20">
        <f t="shared" si="73"/>
        <v>1914.5157831147123</v>
      </c>
      <c r="Q1163" s="20">
        <f t="shared" si="74"/>
        <v>926.11621688528771</v>
      </c>
      <c r="R1163" s="22">
        <f t="shared" si="75"/>
        <v>0.32602470748949097</v>
      </c>
    </row>
    <row r="1164" spans="1:18">
      <c r="A1164" s="18">
        <v>2163</v>
      </c>
      <c r="B1164" s="19" t="s">
        <v>445</v>
      </c>
      <c r="C1164" s="18">
        <v>2024</v>
      </c>
      <c r="D1164" s="18" t="s">
        <v>64</v>
      </c>
      <c r="E1164" s="18" t="s">
        <v>98</v>
      </c>
      <c r="F1164" s="18" t="s">
        <v>117</v>
      </c>
      <c r="G1164" s="18" t="s">
        <v>50</v>
      </c>
      <c r="H1164" s="18" t="s">
        <v>87</v>
      </c>
      <c r="I1164" s="18" t="s">
        <v>58</v>
      </c>
      <c r="J1164" s="18" t="s">
        <v>91</v>
      </c>
      <c r="K1164" s="18">
        <v>1</v>
      </c>
      <c r="L1164" s="20">
        <v>9957.67</v>
      </c>
      <c r="M1164" s="21">
        <v>0.05</v>
      </c>
      <c r="N1164" s="21">
        <v>0.65012767591452503</v>
      </c>
      <c r="O1164" s="20">
        <f t="shared" si="72"/>
        <v>9459.7865000000002</v>
      </c>
      <c r="P1164" s="20">
        <f t="shared" si="73"/>
        <v>6150.0690118925995</v>
      </c>
      <c r="Q1164" s="20">
        <f t="shared" si="74"/>
        <v>3309.7174881074006</v>
      </c>
      <c r="R1164" s="22">
        <f t="shared" si="75"/>
        <v>0.34987232408547492</v>
      </c>
    </row>
    <row r="1165" spans="1:18">
      <c r="A1165" s="18">
        <v>2164</v>
      </c>
      <c r="B1165" s="19" t="s">
        <v>445</v>
      </c>
      <c r="C1165" s="18">
        <v>2024</v>
      </c>
      <c r="D1165" s="18" t="s">
        <v>64</v>
      </c>
      <c r="E1165" s="18" t="s">
        <v>88</v>
      </c>
      <c r="F1165" s="18" t="s">
        <v>89</v>
      </c>
      <c r="G1165" s="18" t="s">
        <v>50</v>
      </c>
      <c r="H1165" s="18" t="s">
        <v>87</v>
      </c>
      <c r="I1165" s="18" t="s">
        <v>43</v>
      </c>
      <c r="J1165" s="18" t="s">
        <v>82</v>
      </c>
      <c r="K1165" s="18">
        <v>11</v>
      </c>
      <c r="L1165" s="20">
        <v>9168.83</v>
      </c>
      <c r="M1165" s="21">
        <v>0.2</v>
      </c>
      <c r="N1165" s="21">
        <v>0.69384182179443199</v>
      </c>
      <c r="O1165" s="20">
        <f t="shared" si="72"/>
        <v>80685.704000000012</v>
      </c>
      <c r="P1165" s="20">
        <f t="shared" si="73"/>
        <v>55983.1158561263</v>
      </c>
      <c r="Q1165" s="20">
        <f t="shared" si="74"/>
        <v>24702.588143873712</v>
      </c>
      <c r="R1165" s="22">
        <f t="shared" si="75"/>
        <v>0.30615817820556795</v>
      </c>
    </row>
    <row r="1166" spans="1:18">
      <c r="A1166" s="18">
        <v>2165</v>
      </c>
      <c r="B1166" s="19" t="s">
        <v>446</v>
      </c>
      <c r="C1166" s="18">
        <v>2024</v>
      </c>
      <c r="D1166" s="18" t="s">
        <v>64</v>
      </c>
      <c r="E1166" s="18" t="s">
        <v>85</v>
      </c>
      <c r="F1166" s="18" t="s">
        <v>94</v>
      </c>
      <c r="G1166" s="18" t="s">
        <v>44</v>
      </c>
      <c r="H1166" s="18" t="s">
        <v>114</v>
      </c>
      <c r="I1166" s="18" t="s">
        <v>52</v>
      </c>
      <c r="J1166" s="18" t="s">
        <v>91</v>
      </c>
      <c r="K1166" s="18">
        <v>2</v>
      </c>
      <c r="L1166" s="20">
        <v>9374.5400000000009</v>
      </c>
      <c r="M1166" s="21">
        <v>0.2</v>
      </c>
      <c r="N1166" s="21">
        <v>0.64674893226701402</v>
      </c>
      <c r="O1166" s="20">
        <f t="shared" si="72"/>
        <v>14999.264000000003</v>
      </c>
      <c r="P1166" s="20">
        <f t="shared" si="73"/>
        <v>9700.7579767910629</v>
      </c>
      <c r="Q1166" s="20">
        <f t="shared" si="74"/>
        <v>5298.50602320894</v>
      </c>
      <c r="R1166" s="22">
        <f t="shared" si="75"/>
        <v>0.35325106773298603</v>
      </c>
    </row>
    <row r="1167" spans="1:18">
      <c r="A1167" s="18">
        <v>2166</v>
      </c>
      <c r="B1167" s="19" t="s">
        <v>446</v>
      </c>
      <c r="C1167" s="18">
        <v>2024</v>
      </c>
      <c r="D1167" s="18" t="s">
        <v>64</v>
      </c>
      <c r="E1167" s="18" t="s">
        <v>85</v>
      </c>
      <c r="F1167" s="18" t="s">
        <v>94</v>
      </c>
      <c r="G1167" s="18" t="s">
        <v>44</v>
      </c>
      <c r="H1167" s="18" t="s">
        <v>95</v>
      </c>
      <c r="I1167" s="18" t="s">
        <v>60</v>
      </c>
      <c r="J1167" s="18" t="s">
        <v>102</v>
      </c>
      <c r="K1167" s="18">
        <v>9</v>
      </c>
      <c r="L1167" s="20">
        <v>4391.6499999999996</v>
      </c>
      <c r="M1167" s="21">
        <v>0.2</v>
      </c>
      <c r="N1167" s="21">
        <v>0.614815322442132</v>
      </c>
      <c r="O1167" s="20">
        <f t="shared" si="72"/>
        <v>31619.88</v>
      </c>
      <c r="P1167" s="20">
        <f t="shared" si="73"/>
        <v>19440.386717781523</v>
      </c>
      <c r="Q1167" s="20">
        <f t="shared" si="74"/>
        <v>12179.493282218478</v>
      </c>
      <c r="R1167" s="22">
        <f t="shared" si="75"/>
        <v>0.38518467755786795</v>
      </c>
    </row>
    <row r="1168" spans="1:18">
      <c r="A1168" s="18">
        <v>2167</v>
      </c>
      <c r="B1168" s="19" t="s">
        <v>446</v>
      </c>
      <c r="C1168" s="18">
        <v>2024</v>
      </c>
      <c r="D1168" s="18" t="s">
        <v>64</v>
      </c>
      <c r="E1168" s="18" t="s">
        <v>98</v>
      </c>
      <c r="F1168" s="18" t="s">
        <v>99</v>
      </c>
      <c r="G1168" s="18" t="s">
        <v>50</v>
      </c>
      <c r="H1168" s="18" t="s">
        <v>83</v>
      </c>
      <c r="I1168" s="18" t="s">
        <v>40</v>
      </c>
      <c r="J1168" s="18" t="s">
        <v>82</v>
      </c>
      <c r="K1168" s="18">
        <v>12</v>
      </c>
      <c r="L1168" s="20">
        <v>3380.71</v>
      </c>
      <c r="M1168" s="21">
        <v>0</v>
      </c>
      <c r="N1168" s="21">
        <v>0.68305219427678099</v>
      </c>
      <c r="O1168" s="20">
        <f t="shared" si="72"/>
        <v>40568.520000000004</v>
      </c>
      <c r="P1168" s="20">
        <f t="shared" si="73"/>
        <v>27710.416604561477</v>
      </c>
      <c r="Q1168" s="20">
        <f t="shared" si="74"/>
        <v>12858.103395438528</v>
      </c>
      <c r="R1168" s="22">
        <f t="shared" si="75"/>
        <v>0.31694780572321907</v>
      </c>
    </row>
    <row r="1169" spans="1:18">
      <c r="A1169" s="18">
        <v>2168</v>
      </c>
      <c r="B1169" s="19" t="s">
        <v>446</v>
      </c>
      <c r="C1169" s="18">
        <v>2024</v>
      </c>
      <c r="D1169" s="18" t="s">
        <v>64</v>
      </c>
      <c r="E1169" s="18" t="s">
        <v>85</v>
      </c>
      <c r="F1169" s="18" t="s">
        <v>94</v>
      </c>
      <c r="G1169" s="18" t="s">
        <v>50</v>
      </c>
      <c r="H1169" s="18" t="s">
        <v>97</v>
      </c>
      <c r="I1169" s="18" t="s">
        <v>49</v>
      </c>
      <c r="J1169" s="18" t="s">
        <v>102</v>
      </c>
      <c r="K1169" s="18">
        <v>4</v>
      </c>
      <c r="L1169" s="20">
        <v>11526.52</v>
      </c>
      <c r="M1169" s="21">
        <v>0</v>
      </c>
      <c r="N1169" s="21">
        <v>0.69563263191651203</v>
      </c>
      <c r="O1169" s="20">
        <f t="shared" si="72"/>
        <v>46106.080000000002</v>
      </c>
      <c r="P1169" s="20">
        <f t="shared" si="73"/>
        <v>32072.893777753259</v>
      </c>
      <c r="Q1169" s="20">
        <f t="shared" si="74"/>
        <v>14033.186222246743</v>
      </c>
      <c r="R1169" s="22">
        <f t="shared" si="75"/>
        <v>0.30436736808348797</v>
      </c>
    </row>
    <row r="1170" spans="1:18">
      <c r="A1170" s="18">
        <v>2169</v>
      </c>
      <c r="B1170" s="19" t="s">
        <v>447</v>
      </c>
      <c r="C1170" s="18">
        <v>2024</v>
      </c>
      <c r="D1170" s="18" t="s">
        <v>64</v>
      </c>
      <c r="E1170" s="18" t="s">
        <v>85</v>
      </c>
      <c r="F1170" s="18" t="s">
        <v>86</v>
      </c>
      <c r="G1170" s="18" t="s">
        <v>41</v>
      </c>
      <c r="H1170" s="18" t="s">
        <v>106</v>
      </c>
      <c r="I1170" s="18" t="s">
        <v>43</v>
      </c>
      <c r="J1170" s="18" t="s">
        <v>82</v>
      </c>
      <c r="K1170" s="18">
        <v>12</v>
      </c>
      <c r="L1170" s="20">
        <v>2393.2199999999998</v>
      </c>
      <c r="M1170" s="21">
        <v>0.05</v>
      </c>
      <c r="N1170" s="21">
        <v>0.67130666022195495</v>
      </c>
      <c r="O1170" s="20">
        <f t="shared" si="72"/>
        <v>27282.707999999999</v>
      </c>
      <c r="P1170" s="20">
        <f t="shared" si="73"/>
        <v>18315.06358929081</v>
      </c>
      <c r="Q1170" s="20">
        <f t="shared" si="74"/>
        <v>8967.6444107091884</v>
      </c>
      <c r="R1170" s="22">
        <f t="shared" si="75"/>
        <v>0.3286933397780451</v>
      </c>
    </row>
    <row r="1171" spans="1:18">
      <c r="A1171" s="18">
        <v>2170</v>
      </c>
      <c r="B1171" s="19" t="s">
        <v>447</v>
      </c>
      <c r="C1171" s="18">
        <v>2024</v>
      </c>
      <c r="D1171" s="18" t="s">
        <v>64</v>
      </c>
      <c r="E1171" s="18" t="s">
        <v>79</v>
      </c>
      <c r="F1171" s="18" t="s">
        <v>100</v>
      </c>
      <c r="G1171" s="18" t="s">
        <v>47</v>
      </c>
      <c r="H1171" s="18" t="s">
        <v>81</v>
      </c>
      <c r="I1171" s="18" t="s">
        <v>58</v>
      </c>
      <c r="J1171" s="18" t="s">
        <v>91</v>
      </c>
      <c r="K1171" s="18">
        <v>3</v>
      </c>
      <c r="L1171" s="20">
        <v>839.11</v>
      </c>
      <c r="M1171" s="21">
        <v>0.15</v>
      </c>
      <c r="N1171" s="21">
        <v>0.66129364401062496</v>
      </c>
      <c r="O1171" s="20">
        <f t="shared" si="72"/>
        <v>2139.7304999999997</v>
      </c>
      <c r="P1171" s="20">
        <f t="shared" si="73"/>
        <v>1414.9901795456763</v>
      </c>
      <c r="Q1171" s="20">
        <f t="shared" si="74"/>
        <v>724.74032045432341</v>
      </c>
      <c r="R1171" s="22">
        <f t="shared" si="75"/>
        <v>0.3387063559893751</v>
      </c>
    </row>
    <row r="1172" spans="1:18">
      <c r="A1172" s="18">
        <v>2171</v>
      </c>
      <c r="B1172" s="19" t="s">
        <v>447</v>
      </c>
      <c r="C1172" s="18">
        <v>2024</v>
      </c>
      <c r="D1172" s="18" t="s">
        <v>64</v>
      </c>
      <c r="E1172" s="18" t="s">
        <v>88</v>
      </c>
      <c r="F1172" s="18" t="s">
        <v>89</v>
      </c>
      <c r="G1172" s="18" t="s">
        <v>50</v>
      </c>
      <c r="H1172" s="18" t="s">
        <v>97</v>
      </c>
      <c r="I1172" s="18" t="s">
        <v>52</v>
      </c>
      <c r="J1172" s="18" t="s">
        <v>82</v>
      </c>
      <c r="K1172" s="18">
        <v>4</v>
      </c>
      <c r="L1172" s="20">
        <v>12290.58</v>
      </c>
      <c r="M1172" s="21">
        <v>0.1</v>
      </c>
      <c r="N1172" s="21">
        <v>0.71276754815657395</v>
      </c>
      <c r="O1172" s="20">
        <f t="shared" si="72"/>
        <v>44246.088000000003</v>
      </c>
      <c r="P1172" s="20">
        <f t="shared" si="73"/>
        <v>31537.175659280012</v>
      </c>
      <c r="Q1172" s="20">
        <f t="shared" si="74"/>
        <v>12708.912340719991</v>
      </c>
      <c r="R1172" s="22">
        <f t="shared" si="75"/>
        <v>0.28723245184342605</v>
      </c>
    </row>
    <row r="1173" spans="1:18">
      <c r="A1173" s="18">
        <v>2172</v>
      </c>
      <c r="B1173" s="19" t="s">
        <v>447</v>
      </c>
      <c r="C1173" s="18">
        <v>2024</v>
      </c>
      <c r="D1173" s="18" t="s">
        <v>64</v>
      </c>
      <c r="E1173" s="18" t="s">
        <v>88</v>
      </c>
      <c r="F1173" s="18" t="s">
        <v>110</v>
      </c>
      <c r="G1173" s="18" t="s">
        <v>41</v>
      </c>
      <c r="H1173" s="18" t="s">
        <v>90</v>
      </c>
      <c r="I1173" s="18" t="s">
        <v>49</v>
      </c>
      <c r="J1173" s="18" t="s">
        <v>82</v>
      </c>
      <c r="K1173" s="18">
        <v>3</v>
      </c>
      <c r="L1173" s="20">
        <v>18707.919999999998</v>
      </c>
      <c r="M1173" s="21">
        <v>0.05</v>
      </c>
      <c r="N1173" s="21">
        <v>0.70487713427547705</v>
      </c>
      <c r="O1173" s="20">
        <f t="shared" si="72"/>
        <v>53317.571999999993</v>
      </c>
      <c r="P1173" s="20">
        <f t="shared" si="73"/>
        <v>37582.337357886412</v>
      </c>
      <c r="Q1173" s="20">
        <f t="shared" si="74"/>
        <v>15735.234642113581</v>
      </c>
      <c r="R1173" s="22">
        <f t="shared" si="75"/>
        <v>0.2951228657245229</v>
      </c>
    </row>
    <row r="1174" spans="1:18">
      <c r="A1174" s="18">
        <v>2173</v>
      </c>
      <c r="B1174" s="19" t="s">
        <v>447</v>
      </c>
      <c r="C1174" s="18">
        <v>2024</v>
      </c>
      <c r="D1174" s="18" t="s">
        <v>64</v>
      </c>
      <c r="E1174" s="18" t="s">
        <v>79</v>
      </c>
      <c r="F1174" s="18" t="s">
        <v>105</v>
      </c>
      <c r="G1174" s="18" t="s">
        <v>44</v>
      </c>
      <c r="H1174" s="18" t="s">
        <v>95</v>
      </c>
      <c r="I1174" s="18" t="s">
        <v>60</v>
      </c>
      <c r="J1174" s="18" t="s">
        <v>91</v>
      </c>
      <c r="K1174" s="18">
        <v>4</v>
      </c>
      <c r="L1174" s="20">
        <v>4649.58</v>
      </c>
      <c r="M1174" s="21">
        <v>0.15</v>
      </c>
      <c r="N1174" s="21">
        <v>0.71551514785547998</v>
      </c>
      <c r="O1174" s="20">
        <f t="shared" si="72"/>
        <v>15808.572</v>
      </c>
      <c r="P1174" s="20">
        <f t="shared" si="73"/>
        <v>11311.272731964002</v>
      </c>
      <c r="Q1174" s="20">
        <f t="shared" si="74"/>
        <v>4497.2992680359985</v>
      </c>
      <c r="R1174" s="22">
        <f t="shared" si="75"/>
        <v>0.28448485214451996</v>
      </c>
    </row>
    <row r="1175" spans="1:18">
      <c r="A1175" s="18">
        <v>2174</v>
      </c>
      <c r="B1175" s="19" t="s">
        <v>448</v>
      </c>
      <c r="C1175" s="18">
        <v>2024</v>
      </c>
      <c r="D1175" s="18" t="s">
        <v>64</v>
      </c>
      <c r="E1175" s="18" t="s">
        <v>98</v>
      </c>
      <c r="F1175" s="18" t="s">
        <v>99</v>
      </c>
      <c r="G1175" s="18" t="s">
        <v>44</v>
      </c>
      <c r="H1175" s="18" t="s">
        <v>119</v>
      </c>
      <c r="I1175" s="18" t="s">
        <v>58</v>
      </c>
      <c r="J1175" s="18" t="s">
        <v>91</v>
      </c>
      <c r="K1175" s="18">
        <v>11</v>
      </c>
      <c r="L1175" s="20">
        <v>6913.28</v>
      </c>
      <c r="M1175" s="21">
        <v>0</v>
      </c>
      <c r="N1175" s="21">
        <v>0.663830484566307</v>
      </c>
      <c r="O1175" s="20">
        <f t="shared" si="72"/>
        <v>76046.080000000002</v>
      </c>
      <c r="P1175" s="20">
        <f t="shared" si="73"/>
        <v>50481.706135768145</v>
      </c>
      <c r="Q1175" s="20">
        <f t="shared" si="74"/>
        <v>25564.373864231857</v>
      </c>
      <c r="R1175" s="22">
        <f t="shared" si="75"/>
        <v>0.33616951543369306</v>
      </c>
    </row>
    <row r="1176" spans="1:18">
      <c r="A1176" s="18">
        <v>2175</v>
      </c>
      <c r="B1176" s="19" t="s">
        <v>448</v>
      </c>
      <c r="C1176" s="18">
        <v>2024</v>
      </c>
      <c r="D1176" s="18" t="s">
        <v>64</v>
      </c>
      <c r="E1176" s="18" t="s">
        <v>88</v>
      </c>
      <c r="F1176" s="18" t="s">
        <v>93</v>
      </c>
      <c r="G1176" s="18" t="s">
        <v>47</v>
      </c>
      <c r="H1176" s="18" t="s">
        <v>81</v>
      </c>
      <c r="I1176" s="18" t="s">
        <v>43</v>
      </c>
      <c r="J1176" s="18" t="s">
        <v>91</v>
      </c>
      <c r="K1176" s="18">
        <v>4</v>
      </c>
      <c r="L1176" s="20">
        <v>764.12</v>
      </c>
      <c r="M1176" s="21">
        <v>0.15</v>
      </c>
      <c r="N1176" s="21">
        <v>0.616183958981249</v>
      </c>
      <c r="O1176" s="20">
        <f t="shared" si="72"/>
        <v>2598.0079999999998</v>
      </c>
      <c r="P1176" s="20">
        <f t="shared" si="73"/>
        <v>1600.8508549049566</v>
      </c>
      <c r="Q1176" s="20">
        <f t="shared" si="74"/>
        <v>997.15714509504323</v>
      </c>
      <c r="R1176" s="22">
        <f t="shared" si="75"/>
        <v>0.383816041018751</v>
      </c>
    </row>
    <row r="1177" spans="1:18">
      <c r="A1177" s="18">
        <v>2176</v>
      </c>
      <c r="B1177" s="19" t="s">
        <v>448</v>
      </c>
      <c r="C1177" s="18">
        <v>2024</v>
      </c>
      <c r="D1177" s="18" t="s">
        <v>64</v>
      </c>
      <c r="E1177" s="18" t="s">
        <v>88</v>
      </c>
      <c r="F1177" s="18" t="s">
        <v>89</v>
      </c>
      <c r="G1177" s="18" t="s">
        <v>47</v>
      </c>
      <c r="H1177" s="18" t="s">
        <v>107</v>
      </c>
      <c r="I1177" s="18" t="s">
        <v>54</v>
      </c>
      <c r="J1177" s="18" t="s">
        <v>82</v>
      </c>
      <c r="K1177" s="18">
        <v>3</v>
      </c>
      <c r="L1177" s="20">
        <v>2302.9899999999998</v>
      </c>
      <c r="M1177" s="21">
        <v>0</v>
      </c>
      <c r="N1177" s="21">
        <v>0.65688476201199897</v>
      </c>
      <c r="O1177" s="20">
        <f t="shared" si="72"/>
        <v>6908.9699999999993</v>
      </c>
      <c r="P1177" s="20">
        <f t="shared" si="73"/>
        <v>4538.3971141980401</v>
      </c>
      <c r="Q1177" s="20">
        <f t="shared" si="74"/>
        <v>2370.5728858019593</v>
      </c>
      <c r="R1177" s="22">
        <f t="shared" si="75"/>
        <v>0.34311523798800103</v>
      </c>
    </row>
    <row r="1178" spans="1:18">
      <c r="A1178" s="18">
        <v>2177</v>
      </c>
      <c r="B1178" s="19" t="s">
        <v>448</v>
      </c>
      <c r="C1178" s="18">
        <v>2024</v>
      </c>
      <c r="D1178" s="18" t="s">
        <v>64</v>
      </c>
      <c r="E1178" s="18" t="s">
        <v>88</v>
      </c>
      <c r="F1178" s="18" t="s">
        <v>93</v>
      </c>
      <c r="G1178" s="18" t="s">
        <v>47</v>
      </c>
      <c r="H1178" s="18" t="s">
        <v>107</v>
      </c>
      <c r="I1178" s="18" t="s">
        <v>62</v>
      </c>
      <c r="J1178" s="18" t="s">
        <v>82</v>
      </c>
      <c r="K1178" s="18">
        <v>9</v>
      </c>
      <c r="L1178" s="20">
        <v>2243.4499999999998</v>
      </c>
      <c r="M1178" s="21">
        <v>0</v>
      </c>
      <c r="N1178" s="21">
        <v>0.66655450235453095</v>
      </c>
      <c r="O1178" s="20">
        <f t="shared" si="72"/>
        <v>20191.05</v>
      </c>
      <c r="P1178" s="20">
        <f t="shared" si="73"/>
        <v>13458.435284765452</v>
      </c>
      <c r="Q1178" s="20">
        <f t="shared" si="74"/>
        <v>6732.6147152345475</v>
      </c>
      <c r="R1178" s="22">
        <f t="shared" si="75"/>
        <v>0.33344549764546905</v>
      </c>
    </row>
    <row r="1179" spans="1:18">
      <c r="A1179" s="18">
        <v>2178</v>
      </c>
      <c r="B1179" s="19" t="s">
        <v>449</v>
      </c>
      <c r="C1179" s="18">
        <v>2024</v>
      </c>
      <c r="D1179" s="18" t="s">
        <v>64</v>
      </c>
      <c r="E1179" s="18" t="s">
        <v>79</v>
      </c>
      <c r="F1179" s="18" t="s">
        <v>100</v>
      </c>
      <c r="G1179" s="18" t="s">
        <v>47</v>
      </c>
      <c r="H1179" s="18" t="s">
        <v>107</v>
      </c>
      <c r="I1179" s="18" t="s">
        <v>52</v>
      </c>
      <c r="J1179" s="18" t="s">
        <v>82</v>
      </c>
      <c r="K1179" s="18">
        <v>6</v>
      </c>
      <c r="L1179" s="20">
        <v>2285.37</v>
      </c>
      <c r="M1179" s="21">
        <v>0</v>
      </c>
      <c r="N1179" s="21">
        <v>0.577857725626578</v>
      </c>
      <c r="O1179" s="20">
        <f t="shared" si="72"/>
        <v>13712.22</v>
      </c>
      <c r="P1179" s="20">
        <f t="shared" si="73"/>
        <v>7923.7122624912754</v>
      </c>
      <c r="Q1179" s="20">
        <f t="shared" si="74"/>
        <v>5788.5077375087239</v>
      </c>
      <c r="R1179" s="22">
        <f t="shared" si="75"/>
        <v>0.42214227437342194</v>
      </c>
    </row>
    <row r="1180" spans="1:18">
      <c r="A1180" s="18">
        <v>2179</v>
      </c>
      <c r="B1180" s="19" t="s">
        <v>449</v>
      </c>
      <c r="C1180" s="18">
        <v>2024</v>
      </c>
      <c r="D1180" s="18" t="s">
        <v>64</v>
      </c>
      <c r="E1180" s="18" t="s">
        <v>98</v>
      </c>
      <c r="F1180" s="18" t="s">
        <v>99</v>
      </c>
      <c r="G1180" s="18" t="s">
        <v>41</v>
      </c>
      <c r="H1180" s="18" t="s">
        <v>101</v>
      </c>
      <c r="I1180" s="18" t="s">
        <v>58</v>
      </c>
      <c r="J1180" s="18" t="s">
        <v>82</v>
      </c>
      <c r="K1180" s="18">
        <v>10</v>
      </c>
      <c r="L1180" s="20">
        <v>57223.78</v>
      </c>
      <c r="M1180" s="21">
        <v>0.2</v>
      </c>
      <c r="N1180" s="21">
        <v>0.71700069124337196</v>
      </c>
      <c r="O1180" s="20">
        <f t="shared" si="72"/>
        <v>457790.24000000005</v>
      </c>
      <c r="P1180" s="20">
        <f t="shared" si="73"/>
        <v>328235.91852446919</v>
      </c>
      <c r="Q1180" s="20">
        <f t="shared" si="74"/>
        <v>129554.32147553086</v>
      </c>
      <c r="R1180" s="22">
        <f t="shared" si="75"/>
        <v>0.28299930875662804</v>
      </c>
    </row>
    <row r="1181" spans="1:18">
      <c r="A1181" s="18">
        <v>2180</v>
      </c>
      <c r="B1181" s="19" t="s">
        <v>449</v>
      </c>
      <c r="C1181" s="18">
        <v>2024</v>
      </c>
      <c r="D1181" s="18" t="s">
        <v>64</v>
      </c>
      <c r="E1181" s="18" t="s">
        <v>79</v>
      </c>
      <c r="F1181" s="18" t="s">
        <v>105</v>
      </c>
      <c r="G1181" s="18" t="s">
        <v>41</v>
      </c>
      <c r="H1181" s="18" t="s">
        <v>112</v>
      </c>
      <c r="I1181" s="18" t="s">
        <v>62</v>
      </c>
      <c r="J1181" s="18" t="s">
        <v>102</v>
      </c>
      <c r="K1181" s="18">
        <v>10</v>
      </c>
      <c r="L1181" s="20">
        <v>6257.62</v>
      </c>
      <c r="M1181" s="21">
        <v>0.15</v>
      </c>
      <c r="N1181" s="21">
        <v>0.64575429699808495</v>
      </c>
      <c r="O1181" s="20">
        <f t="shared" si="72"/>
        <v>53189.77</v>
      </c>
      <c r="P1181" s="20">
        <f t="shared" si="73"/>
        <v>34347.52253383983</v>
      </c>
      <c r="Q1181" s="20">
        <f t="shared" si="74"/>
        <v>18842.247466160166</v>
      </c>
      <c r="R1181" s="22">
        <f t="shared" si="75"/>
        <v>0.35424570300191499</v>
      </c>
    </row>
    <row r="1182" spans="1:18">
      <c r="A1182" s="18">
        <v>2181</v>
      </c>
      <c r="B1182" s="19" t="s">
        <v>449</v>
      </c>
      <c r="C1182" s="18">
        <v>2024</v>
      </c>
      <c r="D1182" s="18" t="s">
        <v>64</v>
      </c>
      <c r="E1182" s="18" t="s">
        <v>88</v>
      </c>
      <c r="F1182" s="18" t="s">
        <v>89</v>
      </c>
      <c r="G1182" s="18" t="s">
        <v>41</v>
      </c>
      <c r="H1182" s="18" t="s">
        <v>90</v>
      </c>
      <c r="I1182" s="18" t="s">
        <v>40</v>
      </c>
      <c r="J1182" s="18" t="s">
        <v>91</v>
      </c>
      <c r="K1182" s="18">
        <v>9</v>
      </c>
      <c r="L1182" s="20">
        <v>17505.439999999999</v>
      </c>
      <c r="M1182" s="21">
        <v>0.05</v>
      </c>
      <c r="N1182" s="21">
        <v>0.63630311262248795</v>
      </c>
      <c r="O1182" s="20">
        <f t="shared" si="72"/>
        <v>149671.51199999999</v>
      </c>
      <c r="P1182" s="20">
        <f t="shared" si="73"/>
        <v>95236.448956514054</v>
      </c>
      <c r="Q1182" s="20">
        <f t="shared" si="74"/>
        <v>54435.063043485934</v>
      </c>
      <c r="R1182" s="22">
        <f t="shared" si="75"/>
        <v>0.36369688737751199</v>
      </c>
    </row>
    <row r="1183" spans="1:18">
      <c r="A1183" s="18">
        <v>2182</v>
      </c>
      <c r="B1183" s="19" t="s">
        <v>450</v>
      </c>
      <c r="C1183" s="18">
        <v>2024</v>
      </c>
      <c r="D1183" s="18" t="s">
        <v>64</v>
      </c>
      <c r="E1183" s="18" t="s">
        <v>88</v>
      </c>
      <c r="F1183" s="18" t="s">
        <v>110</v>
      </c>
      <c r="G1183" s="18" t="s">
        <v>41</v>
      </c>
      <c r="H1183" s="18" t="s">
        <v>90</v>
      </c>
      <c r="I1183" s="18" t="s">
        <v>49</v>
      </c>
      <c r="J1183" s="18" t="s">
        <v>102</v>
      </c>
      <c r="K1183" s="18">
        <v>10</v>
      </c>
      <c r="L1183" s="20">
        <v>18648.53</v>
      </c>
      <c r="M1183" s="21">
        <v>0.2</v>
      </c>
      <c r="N1183" s="21">
        <v>0.68671901336002905</v>
      </c>
      <c r="O1183" s="20">
        <f t="shared" si="72"/>
        <v>149188.24</v>
      </c>
      <c r="P1183" s="20">
        <f t="shared" si="73"/>
        <v>102450.40097771921</v>
      </c>
      <c r="Q1183" s="20">
        <f t="shared" si="74"/>
        <v>46737.839022280779</v>
      </c>
      <c r="R1183" s="22">
        <f t="shared" si="75"/>
        <v>0.31328098663997095</v>
      </c>
    </row>
    <row r="1184" spans="1:18">
      <c r="A1184" s="18">
        <v>2183</v>
      </c>
      <c r="B1184" s="19" t="s">
        <v>450</v>
      </c>
      <c r="C1184" s="18">
        <v>2024</v>
      </c>
      <c r="D1184" s="18" t="s">
        <v>64</v>
      </c>
      <c r="E1184" s="18" t="s">
        <v>79</v>
      </c>
      <c r="F1184" s="18" t="s">
        <v>80</v>
      </c>
      <c r="G1184" s="18" t="s">
        <v>50</v>
      </c>
      <c r="H1184" s="18" t="s">
        <v>83</v>
      </c>
      <c r="I1184" s="18" t="s">
        <v>56</v>
      </c>
      <c r="J1184" s="18" t="s">
        <v>91</v>
      </c>
      <c r="K1184" s="18">
        <v>12</v>
      </c>
      <c r="L1184" s="20">
        <v>3368.83</v>
      </c>
      <c r="M1184" s="21">
        <v>0.2</v>
      </c>
      <c r="N1184" s="21">
        <v>0.63536671630970398</v>
      </c>
      <c r="O1184" s="20">
        <f t="shared" si="72"/>
        <v>32340.768</v>
      </c>
      <c r="P1184" s="20">
        <f t="shared" si="73"/>
        <v>20548.247567093953</v>
      </c>
      <c r="Q1184" s="20">
        <f t="shared" si="74"/>
        <v>11792.520432906047</v>
      </c>
      <c r="R1184" s="22">
        <f t="shared" si="75"/>
        <v>0.36463328369029602</v>
      </c>
    </row>
    <row r="1185" spans="1:18">
      <c r="A1185" s="18">
        <v>2184</v>
      </c>
      <c r="B1185" s="19" t="s">
        <v>450</v>
      </c>
      <c r="C1185" s="18">
        <v>2024</v>
      </c>
      <c r="D1185" s="18" t="s">
        <v>64</v>
      </c>
      <c r="E1185" s="18" t="s">
        <v>88</v>
      </c>
      <c r="F1185" s="18" t="s">
        <v>110</v>
      </c>
      <c r="G1185" s="18" t="s">
        <v>50</v>
      </c>
      <c r="H1185" s="18" t="s">
        <v>83</v>
      </c>
      <c r="I1185" s="18" t="s">
        <v>62</v>
      </c>
      <c r="J1185" s="18" t="s">
        <v>91</v>
      </c>
      <c r="K1185" s="18">
        <v>6</v>
      </c>
      <c r="L1185" s="20">
        <v>3392.78</v>
      </c>
      <c r="M1185" s="21">
        <v>0.1</v>
      </c>
      <c r="N1185" s="21">
        <v>0.73361371764231098</v>
      </c>
      <c r="O1185" s="20">
        <f t="shared" si="72"/>
        <v>18321.012000000002</v>
      </c>
      <c r="P1185" s="20">
        <f t="shared" si="73"/>
        <v>13440.545724289394</v>
      </c>
      <c r="Q1185" s="20">
        <f t="shared" si="74"/>
        <v>4880.4662757106089</v>
      </c>
      <c r="R1185" s="22">
        <f t="shared" si="75"/>
        <v>0.26638628235768896</v>
      </c>
    </row>
    <row r="1186" spans="1:18">
      <c r="A1186" s="18">
        <v>2185</v>
      </c>
      <c r="B1186" s="19" t="s">
        <v>450</v>
      </c>
      <c r="C1186" s="18">
        <v>2024</v>
      </c>
      <c r="D1186" s="18" t="s">
        <v>64</v>
      </c>
      <c r="E1186" s="18" t="s">
        <v>88</v>
      </c>
      <c r="F1186" s="18" t="s">
        <v>110</v>
      </c>
      <c r="G1186" s="18" t="s">
        <v>41</v>
      </c>
      <c r="H1186" s="18" t="s">
        <v>90</v>
      </c>
      <c r="I1186" s="18" t="s">
        <v>49</v>
      </c>
      <c r="J1186" s="18" t="s">
        <v>91</v>
      </c>
      <c r="K1186" s="18">
        <v>12</v>
      </c>
      <c r="L1186" s="20">
        <v>18454.62</v>
      </c>
      <c r="M1186" s="21">
        <v>0.15</v>
      </c>
      <c r="N1186" s="21">
        <v>0.66360972232487803</v>
      </c>
      <c r="O1186" s="20">
        <f t="shared" si="72"/>
        <v>188237.12400000001</v>
      </c>
      <c r="P1186" s="20">
        <f t="shared" si="73"/>
        <v>124915.98558887363</v>
      </c>
      <c r="Q1186" s="20">
        <f t="shared" si="74"/>
        <v>63321.138411126376</v>
      </c>
      <c r="R1186" s="22">
        <f t="shared" si="75"/>
        <v>0.33639027767512203</v>
      </c>
    </row>
    <row r="1187" spans="1:18">
      <c r="A1187" s="18">
        <v>2186</v>
      </c>
      <c r="B1187" s="19" t="s">
        <v>451</v>
      </c>
      <c r="C1187" s="18">
        <v>2024</v>
      </c>
      <c r="D1187" s="18" t="s">
        <v>64</v>
      </c>
      <c r="E1187" s="18" t="s">
        <v>88</v>
      </c>
      <c r="F1187" s="18" t="s">
        <v>110</v>
      </c>
      <c r="G1187" s="18" t="s">
        <v>41</v>
      </c>
      <c r="H1187" s="18" t="s">
        <v>90</v>
      </c>
      <c r="I1187" s="18" t="s">
        <v>46</v>
      </c>
      <c r="J1187" s="18" t="s">
        <v>91</v>
      </c>
      <c r="K1187" s="18">
        <v>3</v>
      </c>
      <c r="L1187" s="20">
        <v>17608.669999999998</v>
      </c>
      <c r="M1187" s="21">
        <v>0.05</v>
      </c>
      <c r="N1187" s="21">
        <v>0.61993349284293697</v>
      </c>
      <c r="O1187" s="20">
        <f t="shared" si="72"/>
        <v>50184.70949999999</v>
      </c>
      <c r="P1187" s="20">
        <f t="shared" si="73"/>
        <v>31111.182247643115</v>
      </c>
      <c r="Q1187" s="20">
        <f t="shared" si="74"/>
        <v>19073.527252356875</v>
      </c>
      <c r="R1187" s="22">
        <f t="shared" si="75"/>
        <v>0.38006650715706303</v>
      </c>
    </row>
    <row r="1188" spans="1:18">
      <c r="A1188" s="18">
        <v>2187</v>
      </c>
      <c r="B1188" s="19" t="s">
        <v>451</v>
      </c>
      <c r="C1188" s="18">
        <v>2024</v>
      </c>
      <c r="D1188" s="18" t="s">
        <v>64</v>
      </c>
      <c r="E1188" s="18" t="s">
        <v>88</v>
      </c>
      <c r="F1188" s="18" t="s">
        <v>89</v>
      </c>
      <c r="G1188" s="18" t="s">
        <v>44</v>
      </c>
      <c r="H1188" s="18" t="s">
        <v>95</v>
      </c>
      <c r="I1188" s="18" t="s">
        <v>56</v>
      </c>
      <c r="J1188" s="18" t="s">
        <v>91</v>
      </c>
      <c r="K1188" s="18">
        <v>11</v>
      </c>
      <c r="L1188" s="20">
        <v>4330.07</v>
      </c>
      <c r="M1188" s="21">
        <v>0</v>
      </c>
      <c r="N1188" s="21">
        <v>0.56527557410329399</v>
      </c>
      <c r="O1188" s="20">
        <f t="shared" si="72"/>
        <v>47630.77</v>
      </c>
      <c r="P1188" s="20">
        <f t="shared" si="73"/>
        <v>26924.510856731951</v>
      </c>
      <c r="Q1188" s="20">
        <f t="shared" si="74"/>
        <v>20706.259143268046</v>
      </c>
      <c r="R1188" s="22">
        <f t="shared" si="75"/>
        <v>0.43472442589670601</v>
      </c>
    </row>
    <row r="1189" spans="1:18">
      <c r="A1189" s="18">
        <v>2188</v>
      </c>
      <c r="B1189" s="19" t="s">
        <v>452</v>
      </c>
      <c r="C1189" s="18">
        <v>2024</v>
      </c>
      <c r="D1189" s="18" t="s">
        <v>64</v>
      </c>
      <c r="E1189" s="18" t="s">
        <v>85</v>
      </c>
      <c r="F1189" s="18" t="s">
        <v>94</v>
      </c>
      <c r="G1189" s="18" t="s">
        <v>47</v>
      </c>
      <c r="H1189" s="18" t="s">
        <v>81</v>
      </c>
      <c r="I1189" s="18" t="s">
        <v>58</v>
      </c>
      <c r="J1189" s="18" t="s">
        <v>102</v>
      </c>
      <c r="K1189" s="18">
        <v>5</v>
      </c>
      <c r="L1189" s="20">
        <v>835.31</v>
      </c>
      <c r="M1189" s="21">
        <v>0.15</v>
      </c>
      <c r="N1189" s="21">
        <v>0.60853668282772699</v>
      </c>
      <c r="O1189" s="20">
        <f t="shared" si="72"/>
        <v>3550.0674999999992</v>
      </c>
      <c r="P1189" s="20">
        <f t="shared" si="73"/>
        <v>2160.3463002645212</v>
      </c>
      <c r="Q1189" s="20">
        <f t="shared" si="74"/>
        <v>1389.721199735478</v>
      </c>
      <c r="R1189" s="22">
        <f t="shared" si="75"/>
        <v>0.39146331717227301</v>
      </c>
    </row>
    <row r="1190" spans="1:18">
      <c r="A1190" s="18">
        <v>2189</v>
      </c>
      <c r="B1190" s="19" t="s">
        <v>452</v>
      </c>
      <c r="C1190" s="18">
        <v>2024</v>
      </c>
      <c r="D1190" s="18" t="s">
        <v>64</v>
      </c>
      <c r="E1190" s="18" t="s">
        <v>88</v>
      </c>
      <c r="F1190" s="18" t="s">
        <v>93</v>
      </c>
      <c r="G1190" s="18" t="s">
        <v>47</v>
      </c>
      <c r="H1190" s="18" t="s">
        <v>107</v>
      </c>
      <c r="I1190" s="18" t="s">
        <v>60</v>
      </c>
      <c r="J1190" s="18" t="s">
        <v>102</v>
      </c>
      <c r="K1190" s="18">
        <v>2</v>
      </c>
      <c r="L1190" s="20">
        <v>2101.88</v>
      </c>
      <c r="M1190" s="21">
        <v>0.1</v>
      </c>
      <c r="N1190" s="21">
        <v>0.69110033504748902</v>
      </c>
      <c r="O1190" s="20">
        <f t="shared" si="72"/>
        <v>3783.3840000000005</v>
      </c>
      <c r="P1190" s="20">
        <f t="shared" si="73"/>
        <v>2614.6979500133093</v>
      </c>
      <c r="Q1190" s="20">
        <f t="shared" si="74"/>
        <v>1168.6860499866912</v>
      </c>
      <c r="R1190" s="22">
        <f t="shared" si="75"/>
        <v>0.30889966495251103</v>
      </c>
    </row>
    <row r="1191" spans="1:18">
      <c r="A1191" s="18">
        <v>2190</v>
      </c>
      <c r="B1191" s="19" t="s">
        <v>452</v>
      </c>
      <c r="C1191" s="18">
        <v>2024</v>
      </c>
      <c r="D1191" s="18" t="s">
        <v>64</v>
      </c>
      <c r="E1191" s="18" t="s">
        <v>85</v>
      </c>
      <c r="F1191" s="18" t="s">
        <v>121</v>
      </c>
      <c r="G1191" s="18" t="s">
        <v>41</v>
      </c>
      <c r="H1191" s="18" t="s">
        <v>101</v>
      </c>
      <c r="I1191" s="18" t="s">
        <v>46</v>
      </c>
      <c r="J1191" s="18" t="s">
        <v>102</v>
      </c>
      <c r="K1191" s="18">
        <v>4</v>
      </c>
      <c r="L1191" s="20">
        <v>53927.17</v>
      </c>
      <c r="M1191" s="21">
        <v>0.15</v>
      </c>
      <c r="N1191" s="21">
        <v>0.59215392637662301</v>
      </c>
      <c r="O1191" s="20">
        <f t="shared" si="72"/>
        <v>183352.378</v>
      </c>
      <c r="P1191" s="20">
        <f t="shared" si="73"/>
        <v>108572.83054319075</v>
      </c>
      <c r="Q1191" s="20">
        <f t="shared" si="74"/>
        <v>74779.547456809247</v>
      </c>
      <c r="R1191" s="22">
        <f t="shared" si="75"/>
        <v>0.40784607362337699</v>
      </c>
    </row>
    <row r="1192" spans="1:18">
      <c r="A1192" s="18">
        <v>2191</v>
      </c>
      <c r="B1192" s="19" t="s">
        <v>453</v>
      </c>
      <c r="C1192" s="18">
        <v>2024</v>
      </c>
      <c r="D1192" s="18" t="s">
        <v>64</v>
      </c>
      <c r="E1192" s="18" t="s">
        <v>88</v>
      </c>
      <c r="F1192" s="18" t="s">
        <v>110</v>
      </c>
      <c r="G1192" s="18" t="s">
        <v>44</v>
      </c>
      <c r="H1192" s="18" t="s">
        <v>95</v>
      </c>
      <c r="I1192" s="18" t="s">
        <v>58</v>
      </c>
      <c r="J1192" s="18" t="s">
        <v>102</v>
      </c>
      <c r="K1192" s="18">
        <v>8</v>
      </c>
      <c r="L1192" s="20">
        <v>4703.87</v>
      </c>
      <c r="M1192" s="21">
        <v>0</v>
      </c>
      <c r="N1192" s="21">
        <v>0.64978149806905605</v>
      </c>
      <c r="O1192" s="20">
        <f t="shared" si="72"/>
        <v>37630.959999999999</v>
      </c>
      <c r="P1192" s="20">
        <f t="shared" si="73"/>
        <v>24451.901562576724</v>
      </c>
      <c r="Q1192" s="20">
        <f t="shared" si="74"/>
        <v>13179.058437423275</v>
      </c>
      <c r="R1192" s="22">
        <f t="shared" si="75"/>
        <v>0.35021850193094395</v>
      </c>
    </row>
    <row r="1193" spans="1:18">
      <c r="A1193" s="18">
        <v>2192</v>
      </c>
      <c r="B1193" s="19" t="s">
        <v>453</v>
      </c>
      <c r="C1193" s="18">
        <v>2024</v>
      </c>
      <c r="D1193" s="18" t="s">
        <v>64</v>
      </c>
      <c r="E1193" s="18" t="s">
        <v>79</v>
      </c>
      <c r="F1193" s="18" t="s">
        <v>105</v>
      </c>
      <c r="G1193" s="18" t="s">
        <v>47</v>
      </c>
      <c r="H1193" s="18" t="s">
        <v>103</v>
      </c>
      <c r="I1193" s="18" t="s">
        <v>56</v>
      </c>
      <c r="J1193" s="18" t="s">
        <v>91</v>
      </c>
      <c r="K1193" s="18">
        <v>2</v>
      </c>
      <c r="L1193" s="20">
        <v>3059.11</v>
      </c>
      <c r="M1193" s="21">
        <v>0.15</v>
      </c>
      <c r="N1193" s="21">
        <v>0.62678725197219498</v>
      </c>
      <c r="O1193" s="20">
        <f t="shared" si="72"/>
        <v>5200.4870000000001</v>
      </c>
      <c r="P1193" s="20">
        <f t="shared" si="73"/>
        <v>3259.5989556471245</v>
      </c>
      <c r="Q1193" s="20">
        <f t="shared" si="74"/>
        <v>1940.8880443528756</v>
      </c>
      <c r="R1193" s="22">
        <f t="shared" si="75"/>
        <v>0.37321274802780502</v>
      </c>
    </row>
    <row r="1194" spans="1:18">
      <c r="A1194" s="18">
        <v>2193</v>
      </c>
      <c r="B1194" s="19" t="s">
        <v>453</v>
      </c>
      <c r="C1194" s="18">
        <v>2024</v>
      </c>
      <c r="D1194" s="18" t="s">
        <v>64</v>
      </c>
      <c r="E1194" s="18" t="s">
        <v>79</v>
      </c>
      <c r="F1194" s="18" t="s">
        <v>105</v>
      </c>
      <c r="G1194" s="18" t="s">
        <v>50</v>
      </c>
      <c r="H1194" s="18" t="s">
        <v>97</v>
      </c>
      <c r="I1194" s="18" t="s">
        <v>40</v>
      </c>
      <c r="J1194" s="18" t="s">
        <v>82</v>
      </c>
      <c r="K1194" s="18">
        <v>4</v>
      </c>
      <c r="L1194" s="20">
        <v>11855.19</v>
      </c>
      <c r="M1194" s="21">
        <v>0.2</v>
      </c>
      <c r="N1194" s="21">
        <v>0.63621699293329104</v>
      </c>
      <c r="O1194" s="20">
        <f t="shared" si="72"/>
        <v>37936.608</v>
      </c>
      <c r="P1194" s="20">
        <f t="shared" si="73"/>
        <v>24135.914663849031</v>
      </c>
      <c r="Q1194" s="20">
        <f t="shared" si="74"/>
        <v>13800.693336150969</v>
      </c>
      <c r="R1194" s="22">
        <f t="shared" si="75"/>
        <v>0.36378300706670902</v>
      </c>
    </row>
    <row r="1195" spans="1:18">
      <c r="A1195" s="18">
        <v>2194</v>
      </c>
      <c r="B1195" s="19" t="s">
        <v>453</v>
      </c>
      <c r="C1195" s="18">
        <v>2024</v>
      </c>
      <c r="D1195" s="18" t="s">
        <v>64</v>
      </c>
      <c r="E1195" s="18" t="s">
        <v>79</v>
      </c>
      <c r="F1195" s="18" t="s">
        <v>80</v>
      </c>
      <c r="G1195" s="18" t="s">
        <v>47</v>
      </c>
      <c r="H1195" s="18" t="s">
        <v>81</v>
      </c>
      <c r="I1195" s="18" t="s">
        <v>60</v>
      </c>
      <c r="J1195" s="18" t="s">
        <v>91</v>
      </c>
      <c r="K1195" s="18">
        <v>1</v>
      </c>
      <c r="L1195" s="20">
        <v>832.8</v>
      </c>
      <c r="M1195" s="21">
        <v>0.05</v>
      </c>
      <c r="N1195" s="21">
        <v>0.73453973655128102</v>
      </c>
      <c r="O1195" s="20">
        <f t="shared" si="72"/>
        <v>791.16</v>
      </c>
      <c r="P1195" s="20">
        <f t="shared" si="73"/>
        <v>581.13845796991143</v>
      </c>
      <c r="Q1195" s="20">
        <f t="shared" si="74"/>
        <v>210.02154203008854</v>
      </c>
      <c r="R1195" s="22">
        <f t="shared" si="75"/>
        <v>0.26546026344871904</v>
      </c>
    </row>
    <row r="1196" spans="1:18">
      <c r="A1196" s="18">
        <v>2195</v>
      </c>
      <c r="B1196" s="19" t="s">
        <v>454</v>
      </c>
      <c r="C1196" s="18">
        <v>2024</v>
      </c>
      <c r="D1196" s="18" t="s">
        <v>64</v>
      </c>
      <c r="E1196" s="18" t="s">
        <v>88</v>
      </c>
      <c r="F1196" s="18" t="s">
        <v>110</v>
      </c>
      <c r="G1196" s="18" t="s">
        <v>47</v>
      </c>
      <c r="H1196" s="18" t="s">
        <v>103</v>
      </c>
      <c r="I1196" s="18" t="s">
        <v>62</v>
      </c>
      <c r="J1196" s="18" t="s">
        <v>91</v>
      </c>
      <c r="K1196" s="18">
        <v>7</v>
      </c>
      <c r="L1196" s="20">
        <v>3290.44</v>
      </c>
      <c r="M1196" s="21">
        <v>0.2</v>
      </c>
      <c r="N1196" s="21">
        <v>0.700480143810985</v>
      </c>
      <c r="O1196" s="20">
        <f t="shared" si="72"/>
        <v>18426.464000000004</v>
      </c>
      <c r="P1196" s="20">
        <f t="shared" si="73"/>
        <v>12907.37215264794</v>
      </c>
      <c r="Q1196" s="20">
        <f t="shared" si="74"/>
        <v>5519.0918473520633</v>
      </c>
      <c r="R1196" s="22">
        <f t="shared" si="75"/>
        <v>0.299519856189015</v>
      </c>
    </row>
    <row r="1197" spans="1:18">
      <c r="A1197" s="18">
        <v>2196</v>
      </c>
      <c r="B1197" s="19" t="s">
        <v>454</v>
      </c>
      <c r="C1197" s="18">
        <v>2024</v>
      </c>
      <c r="D1197" s="18" t="s">
        <v>64</v>
      </c>
      <c r="E1197" s="18" t="s">
        <v>79</v>
      </c>
      <c r="F1197" s="18" t="s">
        <v>80</v>
      </c>
      <c r="G1197" s="18" t="s">
        <v>50</v>
      </c>
      <c r="H1197" s="18" t="s">
        <v>87</v>
      </c>
      <c r="I1197" s="18" t="s">
        <v>52</v>
      </c>
      <c r="J1197" s="18" t="s">
        <v>102</v>
      </c>
      <c r="K1197" s="18">
        <v>8</v>
      </c>
      <c r="L1197" s="20">
        <v>9427.64</v>
      </c>
      <c r="M1197" s="21">
        <v>0.2</v>
      </c>
      <c r="N1197" s="21">
        <v>0.66366061086805495</v>
      </c>
      <c r="O1197" s="20">
        <f t="shared" si="72"/>
        <v>60336.896000000001</v>
      </c>
      <c r="P1197" s="20">
        <f t="shared" si="73"/>
        <v>40043.221257242301</v>
      </c>
      <c r="Q1197" s="20">
        <f t="shared" si="74"/>
        <v>20293.674742757699</v>
      </c>
      <c r="R1197" s="22">
        <f t="shared" si="75"/>
        <v>0.33633938913194505</v>
      </c>
    </row>
    <row r="1198" spans="1:18">
      <c r="A1198" s="18">
        <v>2197</v>
      </c>
      <c r="B1198" s="19" t="s">
        <v>454</v>
      </c>
      <c r="C1198" s="18">
        <v>2024</v>
      </c>
      <c r="D1198" s="18" t="s">
        <v>64</v>
      </c>
      <c r="E1198" s="18" t="s">
        <v>98</v>
      </c>
      <c r="F1198" s="18" t="s">
        <v>117</v>
      </c>
      <c r="G1198" s="18" t="s">
        <v>50</v>
      </c>
      <c r="H1198" s="18" t="s">
        <v>97</v>
      </c>
      <c r="I1198" s="18" t="s">
        <v>49</v>
      </c>
      <c r="J1198" s="18" t="s">
        <v>82</v>
      </c>
      <c r="K1198" s="18">
        <v>1</v>
      </c>
      <c r="L1198" s="20">
        <v>11736.84</v>
      </c>
      <c r="M1198" s="21">
        <v>0.2</v>
      </c>
      <c r="N1198" s="21">
        <v>0.74019344638942597</v>
      </c>
      <c r="O1198" s="20">
        <f t="shared" si="72"/>
        <v>9389.4719999999998</v>
      </c>
      <c r="P1198" s="20">
        <f t="shared" si="73"/>
        <v>6950.025639457016</v>
      </c>
      <c r="Q1198" s="20">
        <f t="shared" si="74"/>
        <v>2439.4463605429837</v>
      </c>
      <c r="R1198" s="22">
        <f t="shared" si="75"/>
        <v>0.25980655361057403</v>
      </c>
    </row>
    <row r="1199" spans="1:18">
      <c r="A1199" s="18">
        <v>2198</v>
      </c>
      <c r="B1199" s="19" t="s">
        <v>454</v>
      </c>
      <c r="C1199" s="18">
        <v>2024</v>
      </c>
      <c r="D1199" s="18" t="s">
        <v>64</v>
      </c>
      <c r="E1199" s="18" t="s">
        <v>79</v>
      </c>
      <c r="F1199" s="18" t="s">
        <v>100</v>
      </c>
      <c r="G1199" s="18" t="s">
        <v>47</v>
      </c>
      <c r="H1199" s="18" t="s">
        <v>107</v>
      </c>
      <c r="I1199" s="18" t="s">
        <v>62</v>
      </c>
      <c r="J1199" s="18" t="s">
        <v>91</v>
      </c>
      <c r="K1199" s="18">
        <v>1</v>
      </c>
      <c r="L1199" s="20">
        <v>2225.42</v>
      </c>
      <c r="M1199" s="21">
        <v>0.05</v>
      </c>
      <c r="N1199" s="21">
        <v>0.60374946990494405</v>
      </c>
      <c r="O1199" s="20">
        <f t="shared" si="72"/>
        <v>2114.1489999999999</v>
      </c>
      <c r="P1199" s="20">
        <f t="shared" si="73"/>
        <v>1276.4163380500675</v>
      </c>
      <c r="Q1199" s="20">
        <f t="shared" si="74"/>
        <v>837.73266194993244</v>
      </c>
      <c r="R1199" s="22">
        <f t="shared" si="75"/>
        <v>0.39625053009505595</v>
      </c>
    </row>
    <row r="1200" spans="1:18">
      <c r="A1200" s="18">
        <v>2199</v>
      </c>
      <c r="B1200" s="19" t="s">
        <v>455</v>
      </c>
      <c r="C1200" s="18">
        <v>2024</v>
      </c>
      <c r="D1200" s="18" t="s">
        <v>64</v>
      </c>
      <c r="E1200" s="18" t="s">
        <v>79</v>
      </c>
      <c r="F1200" s="18" t="s">
        <v>100</v>
      </c>
      <c r="G1200" s="18" t="s">
        <v>47</v>
      </c>
      <c r="H1200" s="18" t="s">
        <v>103</v>
      </c>
      <c r="I1200" s="18" t="s">
        <v>54</v>
      </c>
      <c r="J1200" s="18" t="s">
        <v>91</v>
      </c>
      <c r="K1200" s="18">
        <v>3</v>
      </c>
      <c r="L1200" s="20">
        <v>3182.02</v>
      </c>
      <c r="M1200" s="21">
        <v>0</v>
      </c>
      <c r="N1200" s="21">
        <v>0.63798185588251199</v>
      </c>
      <c r="O1200" s="20">
        <f t="shared" si="72"/>
        <v>9546.06</v>
      </c>
      <c r="P1200" s="20">
        <f t="shared" si="73"/>
        <v>6090.2130751658124</v>
      </c>
      <c r="Q1200" s="20">
        <f t="shared" si="74"/>
        <v>3455.8469248341871</v>
      </c>
      <c r="R1200" s="22">
        <f t="shared" si="75"/>
        <v>0.36201814411748801</v>
      </c>
    </row>
    <row r="1201" spans="1:18">
      <c r="A1201" s="18">
        <v>2200</v>
      </c>
      <c r="B1201" s="19" t="s">
        <v>455</v>
      </c>
      <c r="C1201" s="18">
        <v>2024</v>
      </c>
      <c r="D1201" s="18" t="s">
        <v>64</v>
      </c>
      <c r="E1201" s="18" t="s">
        <v>85</v>
      </c>
      <c r="F1201" s="18" t="s">
        <v>86</v>
      </c>
      <c r="G1201" s="18" t="s">
        <v>47</v>
      </c>
      <c r="H1201" s="18" t="s">
        <v>107</v>
      </c>
      <c r="I1201" s="18" t="s">
        <v>60</v>
      </c>
      <c r="J1201" s="18" t="s">
        <v>82</v>
      </c>
      <c r="K1201" s="18">
        <v>7</v>
      </c>
      <c r="L1201" s="20">
        <v>2102.89</v>
      </c>
      <c r="M1201" s="21">
        <v>0</v>
      </c>
      <c r="N1201" s="21">
        <v>0.60528913422978603</v>
      </c>
      <c r="O1201" s="20">
        <f t="shared" si="72"/>
        <v>14720.23</v>
      </c>
      <c r="P1201" s="20">
        <f t="shared" si="73"/>
        <v>8909.9952723633232</v>
      </c>
      <c r="Q1201" s="20">
        <f t="shared" si="74"/>
        <v>5810.2347276366763</v>
      </c>
      <c r="R1201" s="22">
        <f t="shared" si="75"/>
        <v>0.39471086577021397</v>
      </c>
    </row>
    <row r="1202" spans="1:18">
      <c r="A1202" s="18">
        <v>2201</v>
      </c>
      <c r="B1202" s="19" t="s">
        <v>455</v>
      </c>
      <c r="C1202" s="18">
        <v>2024</v>
      </c>
      <c r="D1202" s="18" t="s">
        <v>64</v>
      </c>
      <c r="E1202" s="18" t="s">
        <v>98</v>
      </c>
      <c r="F1202" s="18" t="s">
        <v>117</v>
      </c>
      <c r="G1202" s="18" t="s">
        <v>50</v>
      </c>
      <c r="H1202" s="18" t="s">
        <v>83</v>
      </c>
      <c r="I1202" s="18" t="s">
        <v>52</v>
      </c>
      <c r="J1202" s="18" t="s">
        <v>91</v>
      </c>
      <c r="K1202" s="18">
        <v>5</v>
      </c>
      <c r="L1202" s="20">
        <v>3629.17</v>
      </c>
      <c r="M1202" s="21">
        <v>0</v>
      </c>
      <c r="N1202" s="21">
        <v>0.59548378382673595</v>
      </c>
      <c r="O1202" s="20">
        <f t="shared" si="72"/>
        <v>18145.849999999999</v>
      </c>
      <c r="P1202" s="20">
        <f t="shared" si="73"/>
        <v>10805.559418752375</v>
      </c>
      <c r="Q1202" s="20">
        <f t="shared" si="74"/>
        <v>7340.2905812476238</v>
      </c>
      <c r="R1202" s="22">
        <f t="shared" si="75"/>
        <v>0.40451621617326411</v>
      </c>
    </row>
    <row r="1203" spans="1:18">
      <c r="A1203" s="18">
        <v>2202</v>
      </c>
      <c r="B1203" s="19" t="s">
        <v>455</v>
      </c>
      <c r="C1203" s="18">
        <v>2024</v>
      </c>
      <c r="D1203" s="18" t="s">
        <v>64</v>
      </c>
      <c r="E1203" s="18" t="s">
        <v>88</v>
      </c>
      <c r="F1203" s="18" t="s">
        <v>110</v>
      </c>
      <c r="G1203" s="18" t="s">
        <v>41</v>
      </c>
      <c r="H1203" s="18" t="s">
        <v>101</v>
      </c>
      <c r="I1203" s="18" t="s">
        <v>43</v>
      </c>
      <c r="J1203" s="18" t="s">
        <v>102</v>
      </c>
      <c r="K1203" s="18">
        <v>1</v>
      </c>
      <c r="L1203" s="20">
        <v>53263.41</v>
      </c>
      <c r="M1203" s="21">
        <v>0.15</v>
      </c>
      <c r="N1203" s="21">
        <v>0.72211405551479602</v>
      </c>
      <c r="O1203" s="20">
        <f t="shared" si="72"/>
        <v>45273.898500000003</v>
      </c>
      <c r="P1203" s="20">
        <f t="shared" si="73"/>
        <v>32692.918454800241</v>
      </c>
      <c r="Q1203" s="20">
        <f t="shared" si="74"/>
        <v>12580.980045199762</v>
      </c>
      <c r="R1203" s="22">
        <f t="shared" si="75"/>
        <v>0.27788594448520398</v>
      </c>
    </row>
    <row r="1204" spans="1:18">
      <c r="A1204" s="18">
        <v>2203</v>
      </c>
      <c r="B1204" s="19" t="s">
        <v>456</v>
      </c>
      <c r="C1204" s="18">
        <v>2024</v>
      </c>
      <c r="D1204" s="18" t="s">
        <v>64</v>
      </c>
      <c r="E1204" s="18" t="s">
        <v>79</v>
      </c>
      <c r="F1204" s="18" t="s">
        <v>80</v>
      </c>
      <c r="G1204" s="18" t="s">
        <v>44</v>
      </c>
      <c r="H1204" s="18" t="s">
        <v>119</v>
      </c>
      <c r="I1204" s="18" t="s">
        <v>52</v>
      </c>
      <c r="J1204" s="18" t="s">
        <v>91</v>
      </c>
      <c r="K1204" s="18">
        <v>1</v>
      </c>
      <c r="L1204" s="20">
        <v>7124.87</v>
      </c>
      <c r="M1204" s="21">
        <v>0.05</v>
      </c>
      <c r="N1204" s="21">
        <v>0.658088270900129</v>
      </c>
      <c r="O1204" s="20">
        <f t="shared" si="72"/>
        <v>6768.6264999999994</v>
      </c>
      <c r="P1204" s="20">
        <f t="shared" si="73"/>
        <v>4454.3537097537919</v>
      </c>
      <c r="Q1204" s="20">
        <f t="shared" si="74"/>
        <v>2314.2727902462075</v>
      </c>
      <c r="R1204" s="22">
        <f t="shared" si="75"/>
        <v>0.34191172909987094</v>
      </c>
    </row>
    <row r="1205" spans="1:18">
      <c r="A1205" s="18">
        <v>2204</v>
      </c>
      <c r="B1205" s="19" t="s">
        <v>456</v>
      </c>
      <c r="C1205" s="18">
        <v>2024</v>
      </c>
      <c r="D1205" s="18" t="s">
        <v>64</v>
      </c>
      <c r="E1205" s="18" t="s">
        <v>79</v>
      </c>
      <c r="F1205" s="18" t="s">
        <v>80</v>
      </c>
      <c r="G1205" s="18" t="s">
        <v>44</v>
      </c>
      <c r="H1205" s="18" t="s">
        <v>114</v>
      </c>
      <c r="I1205" s="18" t="s">
        <v>43</v>
      </c>
      <c r="J1205" s="18" t="s">
        <v>82</v>
      </c>
      <c r="K1205" s="18">
        <v>9</v>
      </c>
      <c r="L1205" s="20">
        <v>8949.43</v>
      </c>
      <c r="M1205" s="21">
        <v>0.15</v>
      </c>
      <c r="N1205" s="21">
        <v>0.56549004500654199</v>
      </c>
      <c r="O1205" s="20">
        <f t="shared" si="72"/>
        <v>68463.13949999999</v>
      </c>
      <c r="P1205" s="20">
        <f t="shared" si="73"/>
        <v>38715.223837144156</v>
      </c>
      <c r="Q1205" s="20">
        <f t="shared" si="74"/>
        <v>29747.915662855834</v>
      </c>
      <c r="R1205" s="22">
        <f t="shared" si="75"/>
        <v>0.43450995499345801</v>
      </c>
    </row>
    <row r="1206" spans="1:18">
      <c r="A1206" s="18">
        <v>2205</v>
      </c>
      <c r="B1206" s="19" t="s">
        <v>456</v>
      </c>
      <c r="C1206" s="18">
        <v>2024</v>
      </c>
      <c r="D1206" s="18" t="s">
        <v>64</v>
      </c>
      <c r="E1206" s="18" t="s">
        <v>88</v>
      </c>
      <c r="F1206" s="18" t="s">
        <v>89</v>
      </c>
      <c r="G1206" s="18" t="s">
        <v>47</v>
      </c>
      <c r="H1206" s="18" t="s">
        <v>103</v>
      </c>
      <c r="I1206" s="18" t="s">
        <v>56</v>
      </c>
      <c r="J1206" s="18" t="s">
        <v>82</v>
      </c>
      <c r="K1206" s="18">
        <v>11</v>
      </c>
      <c r="L1206" s="20">
        <v>3176.47</v>
      </c>
      <c r="M1206" s="21">
        <v>0.05</v>
      </c>
      <c r="N1206" s="21">
        <v>0.57861589644058697</v>
      </c>
      <c r="O1206" s="20">
        <f t="shared" si="72"/>
        <v>33194.111499999999</v>
      </c>
      <c r="P1206" s="20">
        <f t="shared" si="73"/>
        <v>19206.640582121297</v>
      </c>
      <c r="Q1206" s="20">
        <f t="shared" si="74"/>
        <v>13987.470917878702</v>
      </c>
      <c r="R1206" s="22">
        <f t="shared" si="75"/>
        <v>0.42138410355941303</v>
      </c>
    </row>
    <row r="1207" spans="1:18">
      <c r="A1207" s="18">
        <v>2206</v>
      </c>
      <c r="B1207" s="19" t="s">
        <v>456</v>
      </c>
      <c r="C1207" s="18">
        <v>2024</v>
      </c>
      <c r="D1207" s="18" t="s">
        <v>64</v>
      </c>
      <c r="E1207" s="18" t="s">
        <v>98</v>
      </c>
      <c r="F1207" s="18" t="s">
        <v>99</v>
      </c>
      <c r="G1207" s="18" t="s">
        <v>47</v>
      </c>
      <c r="H1207" s="18" t="s">
        <v>107</v>
      </c>
      <c r="I1207" s="18" t="s">
        <v>56</v>
      </c>
      <c r="J1207" s="18" t="s">
        <v>102</v>
      </c>
      <c r="K1207" s="18">
        <v>6</v>
      </c>
      <c r="L1207" s="20">
        <v>2193.5500000000002</v>
      </c>
      <c r="M1207" s="21">
        <v>0.05</v>
      </c>
      <c r="N1207" s="21">
        <v>0.674383273767169</v>
      </c>
      <c r="O1207" s="20">
        <f t="shared" si="72"/>
        <v>12503.235000000001</v>
      </c>
      <c r="P1207" s="20">
        <f t="shared" si="73"/>
        <v>8431.9725519802505</v>
      </c>
      <c r="Q1207" s="20">
        <f t="shared" si="74"/>
        <v>4071.2624480197501</v>
      </c>
      <c r="R1207" s="22">
        <f t="shared" si="75"/>
        <v>0.32561672623283094</v>
      </c>
    </row>
    <row r="1208" spans="1:18">
      <c r="A1208" s="18">
        <v>2207</v>
      </c>
      <c r="B1208" s="19" t="s">
        <v>457</v>
      </c>
      <c r="C1208" s="18">
        <v>2024</v>
      </c>
      <c r="D1208" s="18" t="s">
        <v>64</v>
      </c>
      <c r="E1208" s="18" t="s">
        <v>98</v>
      </c>
      <c r="F1208" s="18" t="s">
        <v>117</v>
      </c>
      <c r="G1208" s="18" t="s">
        <v>47</v>
      </c>
      <c r="H1208" s="18" t="s">
        <v>81</v>
      </c>
      <c r="I1208" s="18" t="s">
        <v>62</v>
      </c>
      <c r="J1208" s="18" t="s">
        <v>82</v>
      </c>
      <c r="K1208" s="18">
        <v>2</v>
      </c>
      <c r="L1208" s="20">
        <v>808.72</v>
      </c>
      <c r="M1208" s="21">
        <v>0.05</v>
      </c>
      <c r="N1208" s="21">
        <v>0.65215922849739805</v>
      </c>
      <c r="O1208" s="20">
        <f t="shared" si="72"/>
        <v>1536.568</v>
      </c>
      <c r="P1208" s="20">
        <f t="shared" si="73"/>
        <v>1002.0870014137899</v>
      </c>
      <c r="Q1208" s="20">
        <f t="shared" si="74"/>
        <v>534.48099858621003</v>
      </c>
      <c r="R1208" s="22">
        <f t="shared" si="75"/>
        <v>0.34784077150260195</v>
      </c>
    </row>
    <row r="1209" spans="1:18">
      <c r="A1209" s="18">
        <v>2208</v>
      </c>
      <c r="B1209" s="19" t="s">
        <v>457</v>
      </c>
      <c r="C1209" s="18">
        <v>2024</v>
      </c>
      <c r="D1209" s="18" t="s">
        <v>64</v>
      </c>
      <c r="E1209" s="18" t="s">
        <v>98</v>
      </c>
      <c r="F1209" s="18" t="s">
        <v>117</v>
      </c>
      <c r="G1209" s="18" t="s">
        <v>50</v>
      </c>
      <c r="H1209" s="18" t="s">
        <v>87</v>
      </c>
      <c r="I1209" s="18" t="s">
        <v>40</v>
      </c>
      <c r="J1209" s="18" t="s">
        <v>102</v>
      </c>
      <c r="K1209" s="18">
        <v>12</v>
      </c>
      <c r="L1209" s="20">
        <v>9167.57</v>
      </c>
      <c r="M1209" s="21">
        <v>0.2</v>
      </c>
      <c r="N1209" s="21">
        <v>0.56568899446007503</v>
      </c>
      <c r="O1209" s="20">
        <f t="shared" si="72"/>
        <v>88008.672000000006</v>
      </c>
      <c r="P1209" s="20">
        <f t="shared" si="73"/>
        <v>49785.537167446564</v>
      </c>
      <c r="Q1209" s="20">
        <f t="shared" si="74"/>
        <v>38223.134832553442</v>
      </c>
      <c r="R1209" s="22">
        <f t="shared" si="75"/>
        <v>0.43431100553992497</v>
      </c>
    </row>
    <row r="1210" spans="1:18">
      <c r="A1210" s="18">
        <v>2209</v>
      </c>
      <c r="B1210" s="19" t="s">
        <v>457</v>
      </c>
      <c r="C1210" s="18">
        <v>2024</v>
      </c>
      <c r="D1210" s="18" t="s">
        <v>64</v>
      </c>
      <c r="E1210" s="18" t="s">
        <v>79</v>
      </c>
      <c r="F1210" s="18" t="s">
        <v>100</v>
      </c>
      <c r="G1210" s="18" t="s">
        <v>50</v>
      </c>
      <c r="H1210" s="18" t="s">
        <v>87</v>
      </c>
      <c r="I1210" s="18" t="s">
        <v>43</v>
      </c>
      <c r="J1210" s="18" t="s">
        <v>102</v>
      </c>
      <c r="K1210" s="18">
        <v>1</v>
      </c>
      <c r="L1210" s="20">
        <v>9601.75</v>
      </c>
      <c r="M1210" s="21">
        <v>0.2</v>
      </c>
      <c r="N1210" s="21">
        <v>0.65488961416532998</v>
      </c>
      <c r="O1210" s="20">
        <f t="shared" si="72"/>
        <v>7681.4000000000005</v>
      </c>
      <c r="P1210" s="20">
        <f t="shared" si="73"/>
        <v>5030.4690822495659</v>
      </c>
      <c r="Q1210" s="20">
        <f t="shared" si="74"/>
        <v>2650.9309177504347</v>
      </c>
      <c r="R1210" s="22">
        <f t="shared" si="75"/>
        <v>0.34511038583467002</v>
      </c>
    </row>
    <row r="1211" spans="1:18">
      <c r="A1211" s="18">
        <v>2210</v>
      </c>
      <c r="B1211" s="19" t="s">
        <v>458</v>
      </c>
      <c r="C1211" s="18">
        <v>2024</v>
      </c>
      <c r="D1211" s="18" t="s">
        <v>64</v>
      </c>
      <c r="E1211" s="18" t="s">
        <v>98</v>
      </c>
      <c r="F1211" s="18" t="s">
        <v>109</v>
      </c>
      <c r="G1211" s="18" t="s">
        <v>44</v>
      </c>
      <c r="H1211" s="18" t="s">
        <v>95</v>
      </c>
      <c r="I1211" s="18" t="s">
        <v>52</v>
      </c>
      <c r="J1211" s="18" t="s">
        <v>82</v>
      </c>
      <c r="K1211" s="18">
        <v>6</v>
      </c>
      <c r="L1211" s="20">
        <v>4384.38</v>
      </c>
      <c r="M1211" s="21">
        <v>0.05</v>
      </c>
      <c r="N1211" s="21">
        <v>0.59617814042541595</v>
      </c>
      <c r="O1211" s="20">
        <f t="shared" si="72"/>
        <v>24990.965999999997</v>
      </c>
      <c r="P1211" s="20">
        <f t="shared" si="73"/>
        <v>14899.067637314794</v>
      </c>
      <c r="Q1211" s="20">
        <f t="shared" si="74"/>
        <v>10091.898362685202</v>
      </c>
      <c r="R1211" s="22">
        <f t="shared" si="75"/>
        <v>0.403821859574584</v>
      </c>
    </row>
    <row r="1212" spans="1:18">
      <c r="A1212" s="18">
        <v>2211</v>
      </c>
      <c r="B1212" s="19" t="s">
        <v>458</v>
      </c>
      <c r="C1212" s="18">
        <v>2024</v>
      </c>
      <c r="D1212" s="18" t="s">
        <v>64</v>
      </c>
      <c r="E1212" s="18" t="s">
        <v>98</v>
      </c>
      <c r="F1212" s="18" t="s">
        <v>99</v>
      </c>
      <c r="G1212" s="18" t="s">
        <v>41</v>
      </c>
      <c r="H1212" s="18" t="s">
        <v>101</v>
      </c>
      <c r="I1212" s="18" t="s">
        <v>58</v>
      </c>
      <c r="J1212" s="18" t="s">
        <v>102</v>
      </c>
      <c r="K1212" s="18">
        <v>7</v>
      </c>
      <c r="L1212" s="20">
        <v>54240.35</v>
      </c>
      <c r="M1212" s="21">
        <v>0.05</v>
      </c>
      <c r="N1212" s="21">
        <v>0.66209142581469305</v>
      </c>
      <c r="O1212" s="20">
        <f t="shared" si="72"/>
        <v>360698.32750000001</v>
      </c>
      <c r="P1212" s="20">
        <f t="shared" si="73"/>
        <v>238815.26994345011</v>
      </c>
      <c r="Q1212" s="20">
        <f t="shared" si="74"/>
        <v>121883.0575565499</v>
      </c>
      <c r="R1212" s="22">
        <f t="shared" si="75"/>
        <v>0.33790857418530695</v>
      </c>
    </row>
    <row r="1213" spans="1:18">
      <c r="A1213" s="18">
        <v>2212</v>
      </c>
      <c r="B1213" s="19" t="s">
        <v>458</v>
      </c>
      <c r="C1213" s="18">
        <v>2024</v>
      </c>
      <c r="D1213" s="18" t="s">
        <v>64</v>
      </c>
      <c r="E1213" s="18" t="s">
        <v>79</v>
      </c>
      <c r="F1213" s="18" t="s">
        <v>105</v>
      </c>
      <c r="G1213" s="18" t="s">
        <v>50</v>
      </c>
      <c r="H1213" s="18" t="s">
        <v>87</v>
      </c>
      <c r="I1213" s="18" t="s">
        <v>49</v>
      </c>
      <c r="J1213" s="18" t="s">
        <v>91</v>
      </c>
      <c r="K1213" s="18">
        <v>7</v>
      </c>
      <c r="L1213" s="20">
        <v>9243.2800000000007</v>
      </c>
      <c r="M1213" s="21">
        <v>0</v>
      </c>
      <c r="N1213" s="21">
        <v>0.73514338960888403</v>
      </c>
      <c r="O1213" s="20">
        <f t="shared" si="72"/>
        <v>64702.960000000006</v>
      </c>
      <c r="P1213" s="20">
        <f t="shared" si="73"/>
        <v>47565.953332128047</v>
      </c>
      <c r="Q1213" s="20">
        <f t="shared" si="74"/>
        <v>17137.00666787196</v>
      </c>
      <c r="R1213" s="22">
        <f t="shared" si="75"/>
        <v>0.26485661039111591</v>
      </c>
    </row>
    <row r="1214" spans="1:18">
      <c r="A1214" s="18">
        <v>2213</v>
      </c>
      <c r="B1214" s="19" t="s">
        <v>458</v>
      </c>
      <c r="C1214" s="18">
        <v>2024</v>
      </c>
      <c r="D1214" s="18" t="s">
        <v>64</v>
      </c>
      <c r="E1214" s="18" t="s">
        <v>88</v>
      </c>
      <c r="F1214" s="18" t="s">
        <v>89</v>
      </c>
      <c r="G1214" s="18" t="s">
        <v>44</v>
      </c>
      <c r="H1214" s="18" t="s">
        <v>95</v>
      </c>
      <c r="I1214" s="18" t="s">
        <v>52</v>
      </c>
      <c r="J1214" s="18" t="s">
        <v>91</v>
      </c>
      <c r="K1214" s="18">
        <v>6</v>
      </c>
      <c r="L1214" s="20">
        <v>4416.2299999999996</v>
      </c>
      <c r="M1214" s="21">
        <v>0</v>
      </c>
      <c r="N1214" s="21">
        <v>0.63170055809769399</v>
      </c>
      <c r="O1214" s="20">
        <f t="shared" si="72"/>
        <v>26497.379999999997</v>
      </c>
      <c r="P1214" s="20">
        <f t="shared" si="73"/>
        <v>16738.409734126672</v>
      </c>
      <c r="Q1214" s="20">
        <f t="shared" si="74"/>
        <v>9758.9702658733258</v>
      </c>
      <c r="R1214" s="22">
        <f t="shared" si="75"/>
        <v>0.36829944190230607</v>
      </c>
    </row>
    <row r="1215" spans="1:18">
      <c r="A1215" s="18">
        <v>2214</v>
      </c>
      <c r="B1215" s="19" t="s">
        <v>458</v>
      </c>
      <c r="C1215" s="18">
        <v>2024</v>
      </c>
      <c r="D1215" s="18" t="s">
        <v>64</v>
      </c>
      <c r="E1215" s="18" t="s">
        <v>88</v>
      </c>
      <c r="F1215" s="18" t="s">
        <v>93</v>
      </c>
      <c r="G1215" s="18" t="s">
        <v>50</v>
      </c>
      <c r="H1215" s="18" t="s">
        <v>87</v>
      </c>
      <c r="I1215" s="18" t="s">
        <v>49</v>
      </c>
      <c r="J1215" s="18" t="s">
        <v>82</v>
      </c>
      <c r="K1215" s="18">
        <v>8</v>
      </c>
      <c r="L1215" s="20">
        <v>9039.74</v>
      </c>
      <c r="M1215" s="21">
        <v>0</v>
      </c>
      <c r="N1215" s="21">
        <v>0.63372512051966201</v>
      </c>
      <c r="O1215" s="20">
        <f t="shared" si="72"/>
        <v>72317.919999999998</v>
      </c>
      <c r="P1215" s="20">
        <f t="shared" si="73"/>
        <v>45829.682567731274</v>
      </c>
      <c r="Q1215" s="20">
        <f t="shared" si="74"/>
        <v>26488.237432268725</v>
      </c>
      <c r="R1215" s="22">
        <f t="shared" si="75"/>
        <v>0.36627487948033799</v>
      </c>
    </row>
    <row r="1216" spans="1:18">
      <c r="A1216" s="18">
        <v>2215</v>
      </c>
      <c r="B1216" s="19" t="s">
        <v>459</v>
      </c>
      <c r="C1216" s="18">
        <v>2024</v>
      </c>
      <c r="D1216" s="18" t="s">
        <v>64</v>
      </c>
      <c r="E1216" s="18" t="s">
        <v>79</v>
      </c>
      <c r="F1216" s="18" t="s">
        <v>100</v>
      </c>
      <c r="G1216" s="18" t="s">
        <v>41</v>
      </c>
      <c r="H1216" s="18" t="s">
        <v>112</v>
      </c>
      <c r="I1216" s="18" t="s">
        <v>40</v>
      </c>
      <c r="J1216" s="18" t="s">
        <v>102</v>
      </c>
      <c r="K1216" s="18">
        <v>3</v>
      </c>
      <c r="L1216" s="20">
        <v>6293.96</v>
      </c>
      <c r="M1216" s="21">
        <v>0</v>
      </c>
      <c r="N1216" s="21">
        <v>0.65297941843700402</v>
      </c>
      <c r="O1216" s="20">
        <f t="shared" si="72"/>
        <v>18881.88</v>
      </c>
      <c r="P1216" s="20">
        <f t="shared" si="73"/>
        <v>12329.479021397297</v>
      </c>
      <c r="Q1216" s="20">
        <f t="shared" si="74"/>
        <v>6552.4009786027036</v>
      </c>
      <c r="R1216" s="22">
        <f t="shared" si="75"/>
        <v>0.34702058156299603</v>
      </c>
    </row>
    <row r="1217" spans="1:18">
      <c r="A1217" s="18">
        <v>2216</v>
      </c>
      <c r="B1217" s="19" t="s">
        <v>459</v>
      </c>
      <c r="C1217" s="18">
        <v>2024</v>
      </c>
      <c r="D1217" s="18" t="s">
        <v>64</v>
      </c>
      <c r="E1217" s="18" t="s">
        <v>85</v>
      </c>
      <c r="F1217" s="18" t="s">
        <v>121</v>
      </c>
      <c r="G1217" s="18" t="s">
        <v>47</v>
      </c>
      <c r="H1217" s="18" t="s">
        <v>81</v>
      </c>
      <c r="I1217" s="18" t="s">
        <v>56</v>
      </c>
      <c r="J1217" s="18" t="s">
        <v>102</v>
      </c>
      <c r="K1217" s="18">
        <v>9</v>
      </c>
      <c r="L1217" s="20">
        <v>779.31</v>
      </c>
      <c r="M1217" s="21">
        <v>0.05</v>
      </c>
      <c r="N1217" s="21">
        <v>0.57380592873216896</v>
      </c>
      <c r="O1217" s="20">
        <f t="shared" si="72"/>
        <v>6663.1004999999986</v>
      </c>
      <c r="P1217" s="20">
        <f t="shared" si="73"/>
        <v>3823.3265706382786</v>
      </c>
      <c r="Q1217" s="20">
        <f t="shared" si="74"/>
        <v>2839.7739293617201</v>
      </c>
      <c r="R1217" s="22">
        <f t="shared" si="75"/>
        <v>0.42619407126783104</v>
      </c>
    </row>
    <row r="1218" spans="1:18">
      <c r="A1218" s="18">
        <v>2217</v>
      </c>
      <c r="B1218" s="19" t="s">
        <v>459</v>
      </c>
      <c r="C1218" s="18">
        <v>2024</v>
      </c>
      <c r="D1218" s="18" t="s">
        <v>64</v>
      </c>
      <c r="E1218" s="18" t="s">
        <v>98</v>
      </c>
      <c r="F1218" s="18" t="s">
        <v>99</v>
      </c>
      <c r="G1218" s="18" t="s">
        <v>41</v>
      </c>
      <c r="H1218" s="18" t="s">
        <v>90</v>
      </c>
      <c r="I1218" s="18" t="s">
        <v>43</v>
      </c>
      <c r="J1218" s="18" t="s">
        <v>102</v>
      </c>
      <c r="K1218" s="18">
        <v>6</v>
      </c>
      <c r="L1218" s="20">
        <v>18809.849999999999</v>
      </c>
      <c r="M1218" s="21">
        <v>0.1</v>
      </c>
      <c r="N1218" s="21">
        <v>0.67616639949344703</v>
      </c>
      <c r="O1218" s="20">
        <f t="shared" ref="O1218:O1281" si="76">K1218*L1218*(1-M1218)</f>
        <v>101573.18999999999</v>
      </c>
      <c r="P1218" s="20">
        <f t="shared" ref="P1218:P1281" si="77">O1218*N1218</f>
        <v>68680.378167363786</v>
      </c>
      <c r="Q1218" s="20">
        <f t="shared" ref="Q1218:Q1281" si="78">O1218-P1218</f>
        <v>32892.811832636202</v>
      </c>
      <c r="R1218" s="22">
        <f t="shared" ref="R1218:R1281" si="79">IF(O1218=0,0,Q1218/O1218)</f>
        <v>0.32383360050655302</v>
      </c>
    </row>
    <row r="1219" spans="1:18">
      <c r="A1219" s="18">
        <v>2218</v>
      </c>
      <c r="B1219" s="19" t="s">
        <v>459</v>
      </c>
      <c r="C1219" s="18">
        <v>2024</v>
      </c>
      <c r="D1219" s="18" t="s">
        <v>64</v>
      </c>
      <c r="E1219" s="18" t="s">
        <v>85</v>
      </c>
      <c r="F1219" s="18" t="s">
        <v>121</v>
      </c>
      <c r="G1219" s="18" t="s">
        <v>50</v>
      </c>
      <c r="H1219" s="18" t="s">
        <v>87</v>
      </c>
      <c r="I1219" s="18" t="s">
        <v>46</v>
      </c>
      <c r="J1219" s="18" t="s">
        <v>102</v>
      </c>
      <c r="K1219" s="18">
        <v>3</v>
      </c>
      <c r="L1219" s="20">
        <v>9712.52</v>
      </c>
      <c r="M1219" s="21">
        <v>0.15</v>
      </c>
      <c r="N1219" s="21">
        <v>0.73326836946622398</v>
      </c>
      <c r="O1219" s="20">
        <f t="shared" si="76"/>
        <v>24766.925999999999</v>
      </c>
      <c r="P1219" s="20">
        <f t="shared" si="77"/>
        <v>18160.803444710629</v>
      </c>
      <c r="Q1219" s="20">
        <f t="shared" si="78"/>
        <v>6606.1225552893702</v>
      </c>
      <c r="R1219" s="22">
        <f t="shared" si="79"/>
        <v>0.26673163053377597</v>
      </c>
    </row>
    <row r="1220" spans="1:18">
      <c r="A1220" s="18">
        <v>2219</v>
      </c>
      <c r="B1220" s="19" t="s">
        <v>459</v>
      </c>
      <c r="C1220" s="18">
        <v>2024</v>
      </c>
      <c r="D1220" s="18" t="s">
        <v>64</v>
      </c>
      <c r="E1220" s="18" t="s">
        <v>79</v>
      </c>
      <c r="F1220" s="18" t="s">
        <v>100</v>
      </c>
      <c r="G1220" s="18" t="s">
        <v>41</v>
      </c>
      <c r="H1220" s="18" t="s">
        <v>106</v>
      </c>
      <c r="I1220" s="18" t="s">
        <v>58</v>
      </c>
      <c r="J1220" s="18" t="s">
        <v>91</v>
      </c>
      <c r="K1220" s="18">
        <v>6</v>
      </c>
      <c r="L1220" s="20">
        <v>2484.65</v>
      </c>
      <c r="M1220" s="21">
        <v>0.15</v>
      </c>
      <c r="N1220" s="21">
        <v>0.69450663713824901</v>
      </c>
      <c r="O1220" s="20">
        <f t="shared" si="76"/>
        <v>12671.715</v>
      </c>
      <c r="P1220" s="20">
        <f t="shared" si="77"/>
        <v>8800.5901714243064</v>
      </c>
      <c r="Q1220" s="20">
        <f t="shared" si="78"/>
        <v>3871.1248285756938</v>
      </c>
      <c r="R1220" s="22">
        <f t="shared" si="79"/>
        <v>0.30549336286175105</v>
      </c>
    </row>
    <row r="1221" spans="1:18">
      <c r="A1221" s="18">
        <v>2220</v>
      </c>
      <c r="B1221" s="19" t="s">
        <v>460</v>
      </c>
      <c r="C1221" s="18">
        <v>2024</v>
      </c>
      <c r="D1221" s="18" t="s">
        <v>64</v>
      </c>
      <c r="E1221" s="18" t="s">
        <v>79</v>
      </c>
      <c r="F1221" s="18" t="s">
        <v>100</v>
      </c>
      <c r="G1221" s="18" t="s">
        <v>47</v>
      </c>
      <c r="H1221" s="18" t="s">
        <v>107</v>
      </c>
      <c r="I1221" s="18" t="s">
        <v>54</v>
      </c>
      <c r="J1221" s="18" t="s">
        <v>82</v>
      </c>
      <c r="K1221" s="18">
        <v>10</v>
      </c>
      <c r="L1221" s="20">
        <v>2203.89</v>
      </c>
      <c r="M1221" s="21">
        <v>0.15</v>
      </c>
      <c r="N1221" s="21">
        <v>0.66596564130221003</v>
      </c>
      <c r="O1221" s="20">
        <f t="shared" si="76"/>
        <v>18733.064999999999</v>
      </c>
      <c r="P1221" s="20">
        <f t="shared" si="77"/>
        <v>12475.577646280984</v>
      </c>
      <c r="Q1221" s="20">
        <f t="shared" si="78"/>
        <v>6257.4873537190142</v>
      </c>
      <c r="R1221" s="22">
        <f t="shared" si="79"/>
        <v>0.33403435869778997</v>
      </c>
    </row>
    <row r="1222" spans="1:18">
      <c r="A1222" s="18">
        <v>2221</v>
      </c>
      <c r="B1222" s="19" t="s">
        <v>460</v>
      </c>
      <c r="C1222" s="18">
        <v>2024</v>
      </c>
      <c r="D1222" s="18" t="s">
        <v>64</v>
      </c>
      <c r="E1222" s="18" t="s">
        <v>85</v>
      </c>
      <c r="F1222" s="18" t="s">
        <v>121</v>
      </c>
      <c r="G1222" s="18" t="s">
        <v>47</v>
      </c>
      <c r="H1222" s="18" t="s">
        <v>107</v>
      </c>
      <c r="I1222" s="18" t="s">
        <v>54</v>
      </c>
      <c r="J1222" s="18" t="s">
        <v>82</v>
      </c>
      <c r="K1222" s="18">
        <v>3</v>
      </c>
      <c r="L1222" s="20">
        <v>2099.23</v>
      </c>
      <c r="M1222" s="21">
        <v>0.2</v>
      </c>
      <c r="N1222" s="21">
        <v>0.72647683320821099</v>
      </c>
      <c r="O1222" s="20">
        <f t="shared" si="76"/>
        <v>5038.152000000001</v>
      </c>
      <c r="P1222" s="20">
        <f t="shared" si="77"/>
        <v>3660.1007101816153</v>
      </c>
      <c r="Q1222" s="20">
        <f t="shared" si="78"/>
        <v>1378.0512898183856</v>
      </c>
      <c r="R1222" s="22">
        <f t="shared" si="79"/>
        <v>0.27352316679178901</v>
      </c>
    </row>
    <row r="1223" spans="1:18">
      <c r="A1223" s="18">
        <v>2222</v>
      </c>
      <c r="B1223" s="19" t="s">
        <v>460</v>
      </c>
      <c r="C1223" s="18">
        <v>2024</v>
      </c>
      <c r="D1223" s="18" t="s">
        <v>64</v>
      </c>
      <c r="E1223" s="18" t="s">
        <v>88</v>
      </c>
      <c r="F1223" s="18" t="s">
        <v>89</v>
      </c>
      <c r="G1223" s="18" t="s">
        <v>47</v>
      </c>
      <c r="H1223" s="18" t="s">
        <v>103</v>
      </c>
      <c r="I1223" s="18" t="s">
        <v>62</v>
      </c>
      <c r="J1223" s="18" t="s">
        <v>91</v>
      </c>
      <c r="K1223" s="18">
        <v>2</v>
      </c>
      <c r="L1223" s="20">
        <v>3151.15</v>
      </c>
      <c r="M1223" s="21">
        <v>0</v>
      </c>
      <c r="N1223" s="21">
        <v>0.57371021552062496</v>
      </c>
      <c r="O1223" s="20">
        <f t="shared" si="76"/>
        <v>6302.3</v>
      </c>
      <c r="P1223" s="20">
        <f t="shared" si="77"/>
        <v>3615.6938912756345</v>
      </c>
      <c r="Q1223" s="20">
        <f t="shared" si="78"/>
        <v>2686.6061087243656</v>
      </c>
      <c r="R1223" s="22">
        <f t="shared" si="79"/>
        <v>0.4262897844793751</v>
      </c>
    </row>
    <row r="1224" spans="1:18">
      <c r="A1224" s="18">
        <v>2223</v>
      </c>
      <c r="B1224" s="19" t="s">
        <v>460</v>
      </c>
      <c r="C1224" s="18">
        <v>2024</v>
      </c>
      <c r="D1224" s="18" t="s">
        <v>64</v>
      </c>
      <c r="E1224" s="18" t="s">
        <v>98</v>
      </c>
      <c r="F1224" s="18" t="s">
        <v>109</v>
      </c>
      <c r="G1224" s="18" t="s">
        <v>50</v>
      </c>
      <c r="H1224" s="18" t="s">
        <v>83</v>
      </c>
      <c r="I1224" s="18" t="s">
        <v>46</v>
      </c>
      <c r="J1224" s="18" t="s">
        <v>91</v>
      </c>
      <c r="K1224" s="18">
        <v>5</v>
      </c>
      <c r="L1224" s="20">
        <v>3671.08</v>
      </c>
      <c r="M1224" s="21">
        <v>0</v>
      </c>
      <c r="N1224" s="21">
        <v>0.73490317051362197</v>
      </c>
      <c r="O1224" s="20">
        <f t="shared" si="76"/>
        <v>18355.400000000001</v>
      </c>
      <c r="P1224" s="20">
        <f t="shared" si="77"/>
        <v>13489.441656045738</v>
      </c>
      <c r="Q1224" s="20">
        <f t="shared" si="78"/>
        <v>4865.9583439542639</v>
      </c>
      <c r="R1224" s="22">
        <f t="shared" si="79"/>
        <v>0.26509682948637803</v>
      </c>
    </row>
    <row r="1225" spans="1:18">
      <c r="A1225" s="18">
        <v>2224</v>
      </c>
      <c r="B1225" s="19" t="s">
        <v>461</v>
      </c>
      <c r="C1225" s="18">
        <v>2024</v>
      </c>
      <c r="D1225" s="18" t="s">
        <v>64</v>
      </c>
      <c r="E1225" s="18" t="s">
        <v>88</v>
      </c>
      <c r="F1225" s="18" t="s">
        <v>110</v>
      </c>
      <c r="G1225" s="18" t="s">
        <v>44</v>
      </c>
      <c r="H1225" s="18" t="s">
        <v>95</v>
      </c>
      <c r="I1225" s="18" t="s">
        <v>60</v>
      </c>
      <c r="J1225" s="18" t="s">
        <v>82</v>
      </c>
      <c r="K1225" s="18">
        <v>1</v>
      </c>
      <c r="L1225" s="20">
        <v>4544.28</v>
      </c>
      <c r="M1225" s="21">
        <v>0</v>
      </c>
      <c r="N1225" s="21">
        <v>0.741971340612537</v>
      </c>
      <c r="O1225" s="20">
        <f t="shared" si="76"/>
        <v>4544.28</v>
      </c>
      <c r="P1225" s="20">
        <f t="shared" si="77"/>
        <v>3371.7255237187396</v>
      </c>
      <c r="Q1225" s="20">
        <f t="shared" si="78"/>
        <v>1172.5544762812601</v>
      </c>
      <c r="R1225" s="22">
        <f t="shared" si="79"/>
        <v>0.25802865938746294</v>
      </c>
    </row>
    <row r="1226" spans="1:18">
      <c r="A1226" s="18">
        <v>2225</v>
      </c>
      <c r="B1226" s="19" t="s">
        <v>461</v>
      </c>
      <c r="C1226" s="18">
        <v>2024</v>
      </c>
      <c r="D1226" s="18" t="s">
        <v>64</v>
      </c>
      <c r="E1226" s="18" t="s">
        <v>88</v>
      </c>
      <c r="F1226" s="18" t="s">
        <v>110</v>
      </c>
      <c r="G1226" s="18" t="s">
        <v>50</v>
      </c>
      <c r="H1226" s="18" t="s">
        <v>83</v>
      </c>
      <c r="I1226" s="18" t="s">
        <v>54</v>
      </c>
      <c r="J1226" s="18" t="s">
        <v>82</v>
      </c>
      <c r="K1226" s="18">
        <v>5</v>
      </c>
      <c r="L1226" s="20">
        <v>3654.63</v>
      </c>
      <c r="M1226" s="21">
        <v>0.15</v>
      </c>
      <c r="N1226" s="21">
        <v>0.63530051221264805</v>
      </c>
      <c r="O1226" s="20">
        <f t="shared" si="76"/>
        <v>15532.177500000002</v>
      </c>
      <c r="P1226" s="20">
        <f t="shared" si="77"/>
        <v>9867.6003215277688</v>
      </c>
      <c r="Q1226" s="20">
        <f t="shared" si="78"/>
        <v>5664.5771784722328</v>
      </c>
      <c r="R1226" s="22">
        <f t="shared" si="79"/>
        <v>0.36469948778735189</v>
      </c>
    </row>
    <row r="1227" spans="1:18">
      <c r="A1227" s="18">
        <v>2226</v>
      </c>
      <c r="B1227" s="19" t="s">
        <v>461</v>
      </c>
      <c r="C1227" s="18">
        <v>2024</v>
      </c>
      <c r="D1227" s="18" t="s">
        <v>64</v>
      </c>
      <c r="E1227" s="18" t="s">
        <v>85</v>
      </c>
      <c r="F1227" s="18" t="s">
        <v>94</v>
      </c>
      <c r="G1227" s="18" t="s">
        <v>44</v>
      </c>
      <c r="H1227" s="18" t="s">
        <v>114</v>
      </c>
      <c r="I1227" s="18" t="s">
        <v>52</v>
      </c>
      <c r="J1227" s="18" t="s">
        <v>82</v>
      </c>
      <c r="K1227" s="18">
        <v>12</v>
      </c>
      <c r="L1227" s="20">
        <v>9185.69</v>
      </c>
      <c r="M1227" s="21">
        <v>0</v>
      </c>
      <c r="N1227" s="21">
        <v>0.63888101263177399</v>
      </c>
      <c r="O1227" s="20">
        <f t="shared" si="76"/>
        <v>110228.28</v>
      </c>
      <c r="P1227" s="20">
        <f t="shared" si="77"/>
        <v>70422.75514705872</v>
      </c>
      <c r="Q1227" s="20">
        <f t="shared" si="78"/>
        <v>39805.524852941278</v>
      </c>
      <c r="R1227" s="22">
        <f t="shared" si="79"/>
        <v>0.36111898736822601</v>
      </c>
    </row>
    <row r="1228" spans="1:18">
      <c r="A1228" s="18">
        <v>2227</v>
      </c>
      <c r="B1228" s="19" t="s">
        <v>461</v>
      </c>
      <c r="C1228" s="18">
        <v>2024</v>
      </c>
      <c r="D1228" s="18" t="s">
        <v>64</v>
      </c>
      <c r="E1228" s="18" t="s">
        <v>85</v>
      </c>
      <c r="F1228" s="18" t="s">
        <v>121</v>
      </c>
      <c r="G1228" s="18" t="s">
        <v>47</v>
      </c>
      <c r="H1228" s="18" t="s">
        <v>81</v>
      </c>
      <c r="I1228" s="18" t="s">
        <v>46</v>
      </c>
      <c r="J1228" s="18" t="s">
        <v>91</v>
      </c>
      <c r="K1228" s="18">
        <v>12</v>
      </c>
      <c r="L1228" s="20">
        <v>813.5</v>
      </c>
      <c r="M1228" s="21">
        <v>0.05</v>
      </c>
      <c r="N1228" s="21">
        <v>0.710728216289084</v>
      </c>
      <c r="O1228" s="20">
        <f t="shared" si="76"/>
        <v>9273.9</v>
      </c>
      <c r="P1228" s="20">
        <f t="shared" si="77"/>
        <v>6591.222405043336</v>
      </c>
      <c r="Q1228" s="20">
        <f t="shared" si="78"/>
        <v>2682.6775949566636</v>
      </c>
      <c r="R1228" s="22">
        <f t="shared" si="79"/>
        <v>0.289271783710916</v>
      </c>
    </row>
    <row r="1229" spans="1:18">
      <c r="A1229" s="18">
        <v>2228</v>
      </c>
      <c r="B1229" s="19" t="s">
        <v>462</v>
      </c>
      <c r="C1229" s="18">
        <v>2024</v>
      </c>
      <c r="D1229" s="18" t="s">
        <v>64</v>
      </c>
      <c r="E1229" s="18" t="s">
        <v>79</v>
      </c>
      <c r="F1229" s="18" t="s">
        <v>105</v>
      </c>
      <c r="G1229" s="18" t="s">
        <v>44</v>
      </c>
      <c r="H1229" s="18" t="s">
        <v>95</v>
      </c>
      <c r="I1229" s="18" t="s">
        <v>54</v>
      </c>
      <c r="J1229" s="18" t="s">
        <v>91</v>
      </c>
      <c r="K1229" s="18">
        <v>8</v>
      </c>
      <c r="L1229" s="20">
        <v>4558.78</v>
      </c>
      <c r="M1229" s="21">
        <v>0.15</v>
      </c>
      <c r="N1229" s="21">
        <v>0.68441629525578895</v>
      </c>
      <c r="O1229" s="20">
        <f t="shared" si="76"/>
        <v>30999.703999999998</v>
      </c>
      <c r="P1229" s="20">
        <f t="shared" si="77"/>
        <v>21216.702565706062</v>
      </c>
      <c r="Q1229" s="20">
        <f t="shared" si="78"/>
        <v>9783.0014342939357</v>
      </c>
      <c r="R1229" s="22">
        <f t="shared" si="79"/>
        <v>0.31558370474421099</v>
      </c>
    </row>
    <row r="1230" spans="1:18">
      <c r="A1230" s="18">
        <v>2229</v>
      </c>
      <c r="B1230" s="19" t="s">
        <v>462</v>
      </c>
      <c r="C1230" s="18">
        <v>2024</v>
      </c>
      <c r="D1230" s="18" t="s">
        <v>64</v>
      </c>
      <c r="E1230" s="18" t="s">
        <v>79</v>
      </c>
      <c r="F1230" s="18" t="s">
        <v>80</v>
      </c>
      <c r="G1230" s="18" t="s">
        <v>47</v>
      </c>
      <c r="H1230" s="18" t="s">
        <v>81</v>
      </c>
      <c r="I1230" s="18" t="s">
        <v>56</v>
      </c>
      <c r="J1230" s="18" t="s">
        <v>82</v>
      </c>
      <c r="K1230" s="18">
        <v>12</v>
      </c>
      <c r="L1230" s="20">
        <v>823.54</v>
      </c>
      <c r="M1230" s="21">
        <v>0.05</v>
      </c>
      <c r="N1230" s="21">
        <v>0.58807973540042502</v>
      </c>
      <c r="O1230" s="20">
        <f t="shared" si="76"/>
        <v>9388.3559999999998</v>
      </c>
      <c r="P1230" s="20">
        <f t="shared" si="77"/>
        <v>5521.1019123249926</v>
      </c>
      <c r="Q1230" s="20">
        <f t="shared" si="78"/>
        <v>3867.2540876750072</v>
      </c>
      <c r="R1230" s="22">
        <f t="shared" si="79"/>
        <v>0.41192026459957498</v>
      </c>
    </row>
    <row r="1231" spans="1:18">
      <c r="A1231" s="18">
        <v>2230</v>
      </c>
      <c r="B1231" s="19" t="s">
        <v>462</v>
      </c>
      <c r="C1231" s="18">
        <v>2024</v>
      </c>
      <c r="D1231" s="18" t="s">
        <v>64</v>
      </c>
      <c r="E1231" s="18" t="s">
        <v>79</v>
      </c>
      <c r="F1231" s="18" t="s">
        <v>80</v>
      </c>
      <c r="G1231" s="18" t="s">
        <v>41</v>
      </c>
      <c r="H1231" s="18" t="s">
        <v>101</v>
      </c>
      <c r="I1231" s="18" t="s">
        <v>46</v>
      </c>
      <c r="J1231" s="18" t="s">
        <v>102</v>
      </c>
      <c r="K1231" s="18">
        <v>7</v>
      </c>
      <c r="L1231" s="20">
        <v>57046.63</v>
      </c>
      <c r="M1231" s="21">
        <v>0</v>
      </c>
      <c r="N1231" s="21">
        <v>0.68466952621292798</v>
      </c>
      <c r="O1231" s="20">
        <f t="shared" si="76"/>
        <v>399326.41</v>
      </c>
      <c r="P1231" s="20">
        <f t="shared" si="77"/>
        <v>273406.62393900938</v>
      </c>
      <c r="Q1231" s="20">
        <f t="shared" si="78"/>
        <v>125919.78606099059</v>
      </c>
      <c r="R1231" s="22">
        <f t="shared" si="79"/>
        <v>0.31533047378707207</v>
      </c>
    </row>
    <row r="1232" spans="1:18">
      <c r="A1232" s="18">
        <v>2231</v>
      </c>
      <c r="B1232" s="19" t="s">
        <v>463</v>
      </c>
      <c r="C1232" s="18">
        <v>2024</v>
      </c>
      <c r="D1232" s="18" t="s">
        <v>64</v>
      </c>
      <c r="E1232" s="18" t="s">
        <v>85</v>
      </c>
      <c r="F1232" s="18" t="s">
        <v>86</v>
      </c>
      <c r="G1232" s="18" t="s">
        <v>50</v>
      </c>
      <c r="H1232" s="18" t="s">
        <v>83</v>
      </c>
      <c r="I1232" s="18" t="s">
        <v>58</v>
      </c>
      <c r="J1232" s="18" t="s">
        <v>91</v>
      </c>
      <c r="K1232" s="18">
        <v>3</v>
      </c>
      <c r="L1232" s="20">
        <v>3394.5</v>
      </c>
      <c r="M1232" s="21">
        <v>0</v>
      </c>
      <c r="N1232" s="21">
        <v>0.74016655164406597</v>
      </c>
      <c r="O1232" s="20">
        <f t="shared" si="76"/>
        <v>10183.5</v>
      </c>
      <c r="P1232" s="20">
        <f t="shared" si="77"/>
        <v>7537.4860786673462</v>
      </c>
      <c r="Q1232" s="20">
        <f t="shared" si="78"/>
        <v>2646.0139213326538</v>
      </c>
      <c r="R1232" s="22">
        <f t="shared" si="79"/>
        <v>0.25983344835593397</v>
      </c>
    </row>
    <row r="1233" spans="1:18">
      <c r="A1233" s="18">
        <v>2232</v>
      </c>
      <c r="B1233" s="19" t="s">
        <v>463</v>
      </c>
      <c r="C1233" s="18">
        <v>2024</v>
      </c>
      <c r="D1233" s="18" t="s">
        <v>64</v>
      </c>
      <c r="E1233" s="18" t="s">
        <v>88</v>
      </c>
      <c r="F1233" s="18" t="s">
        <v>110</v>
      </c>
      <c r="G1233" s="18" t="s">
        <v>50</v>
      </c>
      <c r="H1233" s="18" t="s">
        <v>83</v>
      </c>
      <c r="I1233" s="18" t="s">
        <v>58</v>
      </c>
      <c r="J1233" s="18" t="s">
        <v>102</v>
      </c>
      <c r="K1233" s="18">
        <v>10</v>
      </c>
      <c r="L1233" s="20">
        <v>3397.99</v>
      </c>
      <c r="M1233" s="21">
        <v>0</v>
      </c>
      <c r="N1233" s="21">
        <v>0.55776254597032005</v>
      </c>
      <c r="O1233" s="20">
        <f t="shared" si="76"/>
        <v>33979.899999999994</v>
      </c>
      <c r="P1233" s="20">
        <f t="shared" si="77"/>
        <v>18952.715535816875</v>
      </c>
      <c r="Q1233" s="20">
        <f t="shared" si="78"/>
        <v>15027.184464183119</v>
      </c>
      <c r="R1233" s="22">
        <f t="shared" si="79"/>
        <v>0.44223745402967995</v>
      </c>
    </row>
    <row r="1234" spans="1:18">
      <c r="A1234" s="18">
        <v>2233</v>
      </c>
      <c r="B1234" s="19" t="s">
        <v>463</v>
      </c>
      <c r="C1234" s="18">
        <v>2024</v>
      </c>
      <c r="D1234" s="18" t="s">
        <v>64</v>
      </c>
      <c r="E1234" s="18" t="s">
        <v>98</v>
      </c>
      <c r="F1234" s="18" t="s">
        <v>99</v>
      </c>
      <c r="G1234" s="18" t="s">
        <v>50</v>
      </c>
      <c r="H1234" s="18" t="s">
        <v>87</v>
      </c>
      <c r="I1234" s="18" t="s">
        <v>62</v>
      </c>
      <c r="J1234" s="18" t="s">
        <v>82</v>
      </c>
      <c r="K1234" s="18">
        <v>11</v>
      </c>
      <c r="L1234" s="20">
        <v>9356.27</v>
      </c>
      <c r="M1234" s="21">
        <v>0.15</v>
      </c>
      <c r="N1234" s="21">
        <v>0.68138819330086597</v>
      </c>
      <c r="O1234" s="20">
        <f t="shared" si="76"/>
        <v>87481.124500000005</v>
      </c>
      <c r="P1234" s="20">
        <f t="shared" si="77"/>
        <v>59608.605370983125</v>
      </c>
      <c r="Q1234" s="20">
        <f t="shared" si="78"/>
        <v>27872.51912901688</v>
      </c>
      <c r="R1234" s="22">
        <f t="shared" si="79"/>
        <v>0.31861180669913403</v>
      </c>
    </row>
    <row r="1235" spans="1:18">
      <c r="A1235" s="18">
        <v>2234</v>
      </c>
      <c r="B1235" s="19" t="s">
        <v>463</v>
      </c>
      <c r="C1235" s="18">
        <v>2024</v>
      </c>
      <c r="D1235" s="18" t="s">
        <v>64</v>
      </c>
      <c r="E1235" s="18" t="s">
        <v>88</v>
      </c>
      <c r="F1235" s="18" t="s">
        <v>89</v>
      </c>
      <c r="G1235" s="18" t="s">
        <v>44</v>
      </c>
      <c r="H1235" s="18" t="s">
        <v>114</v>
      </c>
      <c r="I1235" s="18" t="s">
        <v>58</v>
      </c>
      <c r="J1235" s="18" t="s">
        <v>91</v>
      </c>
      <c r="K1235" s="18">
        <v>11</v>
      </c>
      <c r="L1235" s="20">
        <v>8902.99</v>
      </c>
      <c r="M1235" s="21">
        <v>0.05</v>
      </c>
      <c r="N1235" s="21">
        <v>0.65868266296529598</v>
      </c>
      <c r="O1235" s="20">
        <f t="shared" si="76"/>
        <v>93036.24549999999</v>
      </c>
      <c r="P1235" s="20">
        <f t="shared" si="77"/>
        <v>61281.361938233029</v>
      </c>
      <c r="Q1235" s="20">
        <f t="shared" si="78"/>
        <v>31754.883561766961</v>
      </c>
      <c r="R1235" s="22">
        <f t="shared" si="79"/>
        <v>0.34131733703470402</v>
      </c>
    </row>
    <row r="1236" spans="1:18">
      <c r="A1236" s="18">
        <v>2235</v>
      </c>
      <c r="B1236" s="19" t="s">
        <v>464</v>
      </c>
      <c r="C1236" s="18">
        <v>2024</v>
      </c>
      <c r="D1236" s="18" t="s">
        <v>64</v>
      </c>
      <c r="E1236" s="18" t="s">
        <v>79</v>
      </c>
      <c r="F1236" s="18" t="s">
        <v>100</v>
      </c>
      <c r="G1236" s="18" t="s">
        <v>41</v>
      </c>
      <c r="H1236" s="18" t="s">
        <v>106</v>
      </c>
      <c r="I1236" s="18" t="s">
        <v>56</v>
      </c>
      <c r="J1236" s="18" t="s">
        <v>91</v>
      </c>
      <c r="K1236" s="18">
        <v>6</v>
      </c>
      <c r="L1236" s="20">
        <v>2436.85</v>
      </c>
      <c r="M1236" s="21">
        <v>0.1</v>
      </c>
      <c r="N1236" s="21">
        <v>0.57316383596687703</v>
      </c>
      <c r="O1236" s="20">
        <f t="shared" si="76"/>
        <v>13158.99</v>
      </c>
      <c r="P1236" s="20">
        <f t="shared" si="77"/>
        <v>7542.2571858497749</v>
      </c>
      <c r="Q1236" s="20">
        <f t="shared" si="78"/>
        <v>5616.7328141502248</v>
      </c>
      <c r="R1236" s="22">
        <f t="shared" si="79"/>
        <v>0.42683616403312297</v>
      </c>
    </row>
    <row r="1237" spans="1:18">
      <c r="A1237" s="18">
        <v>2236</v>
      </c>
      <c r="B1237" s="19" t="s">
        <v>464</v>
      </c>
      <c r="C1237" s="18">
        <v>2024</v>
      </c>
      <c r="D1237" s="18" t="s">
        <v>64</v>
      </c>
      <c r="E1237" s="18" t="s">
        <v>85</v>
      </c>
      <c r="F1237" s="18" t="s">
        <v>121</v>
      </c>
      <c r="G1237" s="18" t="s">
        <v>41</v>
      </c>
      <c r="H1237" s="18" t="s">
        <v>106</v>
      </c>
      <c r="I1237" s="18" t="s">
        <v>56</v>
      </c>
      <c r="J1237" s="18" t="s">
        <v>102</v>
      </c>
      <c r="K1237" s="18">
        <v>3</v>
      </c>
      <c r="L1237" s="20">
        <v>2568.42</v>
      </c>
      <c r="M1237" s="21">
        <v>0.1</v>
      </c>
      <c r="N1237" s="21">
        <v>0.71802416563737603</v>
      </c>
      <c r="O1237" s="20">
        <f t="shared" si="76"/>
        <v>6934.7340000000004</v>
      </c>
      <c r="P1237" s="20">
        <f t="shared" si="77"/>
        <v>4979.3065942671437</v>
      </c>
      <c r="Q1237" s="20">
        <f t="shared" si="78"/>
        <v>1955.4274057328566</v>
      </c>
      <c r="R1237" s="22">
        <f t="shared" si="79"/>
        <v>0.28197583436262391</v>
      </c>
    </row>
    <row r="1238" spans="1:18">
      <c r="A1238" s="18">
        <v>2237</v>
      </c>
      <c r="B1238" s="19" t="s">
        <v>464</v>
      </c>
      <c r="C1238" s="18">
        <v>2024</v>
      </c>
      <c r="D1238" s="18" t="s">
        <v>64</v>
      </c>
      <c r="E1238" s="18" t="s">
        <v>85</v>
      </c>
      <c r="F1238" s="18" t="s">
        <v>94</v>
      </c>
      <c r="G1238" s="18" t="s">
        <v>50</v>
      </c>
      <c r="H1238" s="18" t="s">
        <v>87</v>
      </c>
      <c r="I1238" s="18" t="s">
        <v>49</v>
      </c>
      <c r="J1238" s="18" t="s">
        <v>82</v>
      </c>
      <c r="K1238" s="18">
        <v>5</v>
      </c>
      <c r="L1238" s="20">
        <v>9279.5300000000007</v>
      </c>
      <c r="M1238" s="21">
        <v>0</v>
      </c>
      <c r="N1238" s="21">
        <v>0.72796212263552595</v>
      </c>
      <c r="O1238" s="20">
        <f t="shared" si="76"/>
        <v>46397.65</v>
      </c>
      <c r="P1238" s="20">
        <f t="shared" si="77"/>
        <v>33775.731779300215</v>
      </c>
      <c r="Q1238" s="20">
        <f t="shared" si="78"/>
        <v>12621.918220699787</v>
      </c>
      <c r="R1238" s="22">
        <f t="shared" si="79"/>
        <v>0.27203787736447399</v>
      </c>
    </row>
    <row r="1239" spans="1:18">
      <c r="A1239" s="18">
        <v>2238</v>
      </c>
      <c r="B1239" s="19" t="s">
        <v>464</v>
      </c>
      <c r="C1239" s="18">
        <v>2024</v>
      </c>
      <c r="D1239" s="18" t="s">
        <v>64</v>
      </c>
      <c r="E1239" s="18" t="s">
        <v>85</v>
      </c>
      <c r="F1239" s="18" t="s">
        <v>86</v>
      </c>
      <c r="G1239" s="18" t="s">
        <v>47</v>
      </c>
      <c r="H1239" s="18" t="s">
        <v>107</v>
      </c>
      <c r="I1239" s="18" t="s">
        <v>54</v>
      </c>
      <c r="J1239" s="18" t="s">
        <v>91</v>
      </c>
      <c r="K1239" s="18">
        <v>7</v>
      </c>
      <c r="L1239" s="20">
        <v>2267.9899999999998</v>
      </c>
      <c r="M1239" s="21">
        <v>0.1</v>
      </c>
      <c r="N1239" s="21">
        <v>0.629735902340262</v>
      </c>
      <c r="O1239" s="20">
        <f t="shared" si="76"/>
        <v>14288.337</v>
      </c>
      <c r="P1239" s="20">
        <f t="shared" si="77"/>
        <v>8997.8787936367517</v>
      </c>
      <c r="Q1239" s="20">
        <f t="shared" si="78"/>
        <v>5290.4582063632479</v>
      </c>
      <c r="R1239" s="22">
        <f t="shared" si="79"/>
        <v>0.370264097659738</v>
      </c>
    </row>
    <row r="1240" spans="1:18">
      <c r="A1240" s="18">
        <v>2239</v>
      </c>
      <c r="B1240" s="19" t="s">
        <v>465</v>
      </c>
      <c r="C1240" s="18">
        <v>2024</v>
      </c>
      <c r="D1240" s="18" t="s">
        <v>64</v>
      </c>
      <c r="E1240" s="18" t="s">
        <v>98</v>
      </c>
      <c r="F1240" s="18" t="s">
        <v>109</v>
      </c>
      <c r="G1240" s="18" t="s">
        <v>44</v>
      </c>
      <c r="H1240" s="18" t="s">
        <v>114</v>
      </c>
      <c r="I1240" s="18" t="s">
        <v>40</v>
      </c>
      <c r="J1240" s="18" t="s">
        <v>91</v>
      </c>
      <c r="K1240" s="18">
        <v>8</v>
      </c>
      <c r="L1240" s="20">
        <v>8918.83</v>
      </c>
      <c r="M1240" s="21">
        <v>0.15</v>
      </c>
      <c r="N1240" s="21">
        <v>0.72512439514180305</v>
      </c>
      <c r="O1240" s="20">
        <f t="shared" si="76"/>
        <v>60648.043999999994</v>
      </c>
      <c r="P1240" s="20">
        <f t="shared" si="77"/>
        <v>43977.376222033454</v>
      </c>
      <c r="Q1240" s="20">
        <f t="shared" si="78"/>
        <v>16670.667777966541</v>
      </c>
      <c r="R1240" s="22">
        <f t="shared" si="79"/>
        <v>0.27487560485819695</v>
      </c>
    </row>
    <row r="1241" spans="1:18">
      <c r="A1241" s="18">
        <v>2240</v>
      </c>
      <c r="B1241" s="19" t="s">
        <v>465</v>
      </c>
      <c r="C1241" s="18">
        <v>2024</v>
      </c>
      <c r="D1241" s="18" t="s">
        <v>64</v>
      </c>
      <c r="E1241" s="18" t="s">
        <v>88</v>
      </c>
      <c r="F1241" s="18" t="s">
        <v>93</v>
      </c>
      <c r="G1241" s="18" t="s">
        <v>41</v>
      </c>
      <c r="H1241" s="18" t="s">
        <v>106</v>
      </c>
      <c r="I1241" s="18" t="s">
        <v>46</v>
      </c>
      <c r="J1241" s="18" t="s">
        <v>102</v>
      </c>
      <c r="K1241" s="18">
        <v>9</v>
      </c>
      <c r="L1241" s="20">
        <v>2379.98</v>
      </c>
      <c r="M1241" s="21">
        <v>0.2</v>
      </c>
      <c r="N1241" s="21">
        <v>0.55422353864075702</v>
      </c>
      <c r="O1241" s="20">
        <f t="shared" si="76"/>
        <v>17135.856</v>
      </c>
      <c r="P1241" s="20">
        <f t="shared" si="77"/>
        <v>9497.0947499584472</v>
      </c>
      <c r="Q1241" s="20">
        <f t="shared" si="78"/>
        <v>7638.7612500415526</v>
      </c>
      <c r="R1241" s="22">
        <f t="shared" si="79"/>
        <v>0.44577646135924304</v>
      </c>
    </row>
    <row r="1242" spans="1:18">
      <c r="A1242" s="18">
        <v>2241</v>
      </c>
      <c r="B1242" s="19" t="s">
        <v>466</v>
      </c>
      <c r="C1242" s="18">
        <v>2024</v>
      </c>
      <c r="D1242" s="18" t="s">
        <v>64</v>
      </c>
      <c r="E1242" s="18" t="s">
        <v>79</v>
      </c>
      <c r="F1242" s="18" t="s">
        <v>80</v>
      </c>
      <c r="G1242" s="18" t="s">
        <v>47</v>
      </c>
      <c r="H1242" s="18" t="s">
        <v>107</v>
      </c>
      <c r="I1242" s="18" t="s">
        <v>60</v>
      </c>
      <c r="J1242" s="18" t="s">
        <v>82</v>
      </c>
      <c r="K1242" s="18">
        <v>11</v>
      </c>
      <c r="L1242" s="20">
        <v>2100.83</v>
      </c>
      <c r="M1242" s="21">
        <v>0</v>
      </c>
      <c r="N1242" s="21">
        <v>0.62241955032270102</v>
      </c>
      <c r="O1242" s="20">
        <f t="shared" si="76"/>
        <v>23109.129999999997</v>
      </c>
      <c r="P1242" s="20">
        <f t="shared" si="77"/>
        <v>14383.574302948839</v>
      </c>
      <c r="Q1242" s="20">
        <f t="shared" si="78"/>
        <v>8725.5556970511589</v>
      </c>
      <c r="R1242" s="22">
        <f t="shared" si="79"/>
        <v>0.37758044967729898</v>
      </c>
    </row>
    <row r="1243" spans="1:18">
      <c r="A1243" s="18">
        <v>2242</v>
      </c>
      <c r="B1243" s="19" t="s">
        <v>466</v>
      </c>
      <c r="C1243" s="18">
        <v>2024</v>
      </c>
      <c r="D1243" s="18" t="s">
        <v>64</v>
      </c>
      <c r="E1243" s="18" t="s">
        <v>88</v>
      </c>
      <c r="F1243" s="18" t="s">
        <v>110</v>
      </c>
      <c r="G1243" s="18" t="s">
        <v>50</v>
      </c>
      <c r="H1243" s="18" t="s">
        <v>87</v>
      </c>
      <c r="I1243" s="18" t="s">
        <v>49</v>
      </c>
      <c r="J1243" s="18" t="s">
        <v>91</v>
      </c>
      <c r="K1243" s="18">
        <v>3</v>
      </c>
      <c r="L1243" s="20">
        <v>9890.1200000000008</v>
      </c>
      <c r="M1243" s="21">
        <v>0.05</v>
      </c>
      <c r="N1243" s="21">
        <v>0.632679055952452</v>
      </c>
      <c r="O1243" s="20">
        <f t="shared" si="76"/>
        <v>28186.842000000001</v>
      </c>
      <c r="P1243" s="20">
        <f t="shared" si="77"/>
        <v>17833.224586840923</v>
      </c>
      <c r="Q1243" s="20">
        <f t="shared" si="78"/>
        <v>10353.617413159078</v>
      </c>
      <c r="R1243" s="22">
        <f t="shared" si="79"/>
        <v>0.36732094404754806</v>
      </c>
    </row>
    <row r="1244" spans="1:18">
      <c r="A1244" s="18">
        <v>2243</v>
      </c>
      <c r="B1244" s="19" t="s">
        <v>466</v>
      </c>
      <c r="C1244" s="18">
        <v>2024</v>
      </c>
      <c r="D1244" s="18" t="s">
        <v>64</v>
      </c>
      <c r="E1244" s="18" t="s">
        <v>88</v>
      </c>
      <c r="F1244" s="18" t="s">
        <v>110</v>
      </c>
      <c r="G1244" s="18" t="s">
        <v>41</v>
      </c>
      <c r="H1244" s="18" t="s">
        <v>90</v>
      </c>
      <c r="I1244" s="18" t="s">
        <v>60</v>
      </c>
      <c r="J1244" s="18" t="s">
        <v>82</v>
      </c>
      <c r="K1244" s="18">
        <v>9</v>
      </c>
      <c r="L1244" s="20">
        <v>17816.29</v>
      </c>
      <c r="M1244" s="21">
        <v>0.1</v>
      </c>
      <c r="N1244" s="21">
        <v>0.55845703357002996</v>
      </c>
      <c r="O1244" s="20">
        <f t="shared" si="76"/>
        <v>144311.94900000002</v>
      </c>
      <c r="P1244" s="20">
        <f t="shared" si="77"/>
        <v>80592.022947249468</v>
      </c>
      <c r="Q1244" s="20">
        <f t="shared" si="78"/>
        <v>63719.926052750554</v>
      </c>
      <c r="R1244" s="22">
        <f t="shared" si="79"/>
        <v>0.44154296642996999</v>
      </c>
    </row>
    <row r="1245" spans="1:18">
      <c r="A1245" s="18">
        <v>2244</v>
      </c>
      <c r="B1245" s="19" t="s">
        <v>466</v>
      </c>
      <c r="C1245" s="18">
        <v>2024</v>
      </c>
      <c r="D1245" s="18" t="s">
        <v>64</v>
      </c>
      <c r="E1245" s="18" t="s">
        <v>98</v>
      </c>
      <c r="F1245" s="18" t="s">
        <v>109</v>
      </c>
      <c r="G1245" s="18" t="s">
        <v>41</v>
      </c>
      <c r="H1245" s="18" t="s">
        <v>101</v>
      </c>
      <c r="I1245" s="18" t="s">
        <v>49</v>
      </c>
      <c r="J1245" s="18" t="s">
        <v>82</v>
      </c>
      <c r="K1245" s="18">
        <v>5</v>
      </c>
      <c r="L1245" s="20">
        <v>56374.53</v>
      </c>
      <c r="M1245" s="21">
        <v>0.1</v>
      </c>
      <c r="N1245" s="21">
        <v>0.68105519175641405</v>
      </c>
      <c r="O1245" s="20">
        <f t="shared" si="76"/>
        <v>253685.38500000004</v>
      </c>
      <c r="P1245" s="20">
        <f t="shared" si="77"/>
        <v>172773.74852697476</v>
      </c>
      <c r="Q1245" s="20">
        <f t="shared" si="78"/>
        <v>80911.636473025283</v>
      </c>
      <c r="R1245" s="22">
        <f t="shared" si="79"/>
        <v>0.31894480824358595</v>
      </c>
    </row>
    <row r="1246" spans="1:18">
      <c r="A1246" s="18">
        <v>2245</v>
      </c>
      <c r="B1246" s="19" t="s">
        <v>466</v>
      </c>
      <c r="C1246" s="18">
        <v>2024</v>
      </c>
      <c r="D1246" s="18" t="s">
        <v>64</v>
      </c>
      <c r="E1246" s="18" t="s">
        <v>88</v>
      </c>
      <c r="F1246" s="18" t="s">
        <v>93</v>
      </c>
      <c r="G1246" s="18" t="s">
        <v>47</v>
      </c>
      <c r="H1246" s="18" t="s">
        <v>81</v>
      </c>
      <c r="I1246" s="18" t="s">
        <v>43</v>
      </c>
      <c r="J1246" s="18" t="s">
        <v>82</v>
      </c>
      <c r="K1246" s="18">
        <v>9</v>
      </c>
      <c r="L1246" s="20">
        <v>817.77</v>
      </c>
      <c r="M1246" s="21">
        <v>0.2</v>
      </c>
      <c r="N1246" s="21">
        <v>0.63307600471400405</v>
      </c>
      <c r="O1246" s="20">
        <f t="shared" si="76"/>
        <v>5887.9440000000004</v>
      </c>
      <c r="P1246" s="20">
        <f t="shared" si="77"/>
        <v>3727.5160634997919</v>
      </c>
      <c r="Q1246" s="20">
        <f t="shared" si="78"/>
        <v>2160.4279365002085</v>
      </c>
      <c r="R1246" s="22">
        <f t="shared" si="79"/>
        <v>0.36692399528599601</v>
      </c>
    </row>
    <row r="1247" spans="1:18">
      <c r="A1247" s="18">
        <v>2246</v>
      </c>
      <c r="B1247" s="19" t="s">
        <v>467</v>
      </c>
      <c r="C1247" s="18">
        <v>2024</v>
      </c>
      <c r="D1247" s="18" t="s">
        <v>64</v>
      </c>
      <c r="E1247" s="18" t="s">
        <v>88</v>
      </c>
      <c r="F1247" s="18" t="s">
        <v>110</v>
      </c>
      <c r="G1247" s="18" t="s">
        <v>50</v>
      </c>
      <c r="H1247" s="18" t="s">
        <v>83</v>
      </c>
      <c r="I1247" s="18" t="s">
        <v>62</v>
      </c>
      <c r="J1247" s="18" t="s">
        <v>91</v>
      </c>
      <c r="K1247" s="18">
        <v>6</v>
      </c>
      <c r="L1247" s="20">
        <v>3473.8</v>
      </c>
      <c r="M1247" s="21">
        <v>0.2</v>
      </c>
      <c r="N1247" s="21">
        <v>0.55468639031373601</v>
      </c>
      <c r="O1247" s="20">
        <f t="shared" si="76"/>
        <v>16674.240000000002</v>
      </c>
      <c r="P1247" s="20">
        <f t="shared" si="77"/>
        <v>9248.9739968249105</v>
      </c>
      <c r="Q1247" s="20">
        <f t="shared" si="78"/>
        <v>7425.2660031750911</v>
      </c>
      <c r="R1247" s="22">
        <f t="shared" si="79"/>
        <v>0.44531360968626399</v>
      </c>
    </row>
    <row r="1248" spans="1:18">
      <c r="A1248" s="18">
        <v>2247</v>
      </c>
      <c r="B1248" s="19" t="s">
        <v>467</v>
      </c>
      <c r="C1248" s="18">
        <v>2024</v>
      </c>
      <c r="D1248" s="18" t="s">
        <v>64</v>
      </c>
      <c r="E1248" s="18" t="s">
        <v>98</v>
      </c>
      <c r="F1248" s="18" t="s">
        <v>109</v>
      </c>
      <c r="G1248" s="18" t="s">
        <v>44</v>
      </c>
      <c r="H1248" s="18" t="s">
        <v>119</v>
      </c>
      <c r="I1248" s="18" t="s">
        <v>52</v>
      </c>
      <c r="J1248" s="18" t="s">
        <v>102</v>
      </c>
      <c r="K1248" s="18">
        <v>10</v>
      </c>
      <c r="L1248" s="20">
        <v>6979.98</v>
      </c>
      <c r="M1248" s="21">
        <v>0.05</v>
      </c>
      <c r="N1248" s="21">
        <v>0.63590691401520705</v>
      </c>
      <c r="O1248" s="20">
        <f t="shared" si="76"/>
        <v>66309.809999999983</v>
      </c>
      <c r="P1248" s="20">
        <f t="shared" si="77"/>
        <v>42166.866646034709</v>
      </c>
      <c r="Q1248" s="20">
        <f t="shared" si="78"/>
        <v>24142.943353965275</v>
      </c>
      <c r="R1248" s="22">
        <f t="shared" si="79"/>
        <v>0.3640930859847929</v>
      </c>
    </row>
    <row r="1249" spans="1:18">
      <c r="A1249" s="18">
        <v>2248</v>
      </c>
      <c r="B1249" s="19" t="s">
        <v>468</v>
      </c>
      <c r="C1249" s="18">
        <v>2024</v>
      </c>
      <c r="D1249" s="18" t="s">
        <v>64</v>
      </c>
      <c r="E1249" s="18" t="s">
        <v>85</v>
      </c>
      <c r="F1249" s="18" t="s">
        <v>94</v>
      </c>
      <c r="G1249" s="18" t="s">
        <v>47</v>
      </c>
      <c r="H1249" s="18" t="s">
        <v>107</v>
      </c>
      <c r="I1249" s="18" t="s">
        <v>52</v>
      </c>
      <c r="J1249" s="18" t="s">
        <v>102</v>
      </c>
      <c r="K1249" s="18">
        <v>9</v>
      </c>
      <c r="L1249" s="20">
        <v>2201.4499999999998</v>
      </c>
      <c r="M1249" s="21">
        <v>0.1</v>
      </c>
      <c r="N1249" s="21">
        <v>0.55344250648193705</v>
      </c>
      <c r="O1249" s="20">
        <f t="shared" si="76"/>
        <v>17831.744999999999</v>
      </c>
      <c r="P1249" s="20">
        <f t="shared" si="77"/>
        <v>9868.845647746748</v>
      </c>
      <c r="Q1249" s="20">
        <f t="shared" si="78"/>
        <v>7962.899352253251</v>
      </c>
      <c r="R1249" s="22">
        <f t="shared" si="79"/>
        <v>0.44655749351806295</v>
      </c>
    </row>
    <row r="1250" spans="1:18">
      <c r="A1250" s="18">
        <v>2249</v>
      </c>
      <c r="B1250" s="19" t="s">
        <v>468</v>
      </c>
      <c r="C1250" s="18">
        <v>2024</v>
      </c>
      <c r="D1250" s="18" t="s">
        <v>64</v>
      </c>
      <c r="E1250" s="18" t="s">
        <v>85</v>
      </c>
      <c r="F1250" s="18" t="s">
        <v>94</v>
      </c>
      <c r="G1250" s="18" t="s">
        <v>50</v>
      </c>
      <c r="H1250" s="18" t="s">
        <v>97</v>
      </c>
      <c r="I1250" s="18" t="s">
        <v>60</v>
      </c>
      <c r="J1250" s="18" t="s">
        <v>102</v>
      </c>
      <c r="K1250" s="18">
        <v>2</v>
      </c>
      <c r="L1250" s="20">
        <v>11942.72</v>
      </c>
      <c r="M1250" s="21">
        <v>0.15</v>
      </c>
      <c r="N1250" s="21">
        <v>0.74503811899556505</v>
      </c>
      <c r="O1250" s="20">
        <f t="shared" si="76"/>
        <v>20302.624</v>
      </c>
      <c r="P1250" s="20">
        <f t="shared" si="77"/>
        <v>15126.228795634215</v>
      </c>
      <c r="Q1250" s="20">
        <f t="shared" si="78"/>
        <v>5176.3952043657846</v>
      </c>
      <c r="R1250" s="22">
        <f t="shared" si="79"/>
        <v>0.25496188100443495</v>
      </c>
    </row>
    <row r="1251" spans="1:18">
      <c r="A1251" s="18">
        <v>2250</v>
      </c>
      <c r="B1251" s="19" t="s">
        <v>468</v>
      </c>
      <c r="C1251" s="18">
        <v>2024</v>
      </c>
      <c r="D1251" s="18" t="s">
        <v>64</v>
      </c>
      <c r="E1251" s="18" t="s">
        <v>85</v>
      </c>
      <c r="F1251" s="18" t="s">
        <v>86</v>
      </c>
      <c r="G1251" s="18" t="s">
        <v>50</v>
      </c>
      <c r="H1251" s="18" t="s">
        <v>97</v>
      </c>
      <c r="I1251" s="18" t="s">
        <v>58</v>
      </c>
      <c r="J1251" s="18" t="s">
        <v>102</v>
      </c>
      <c r="K1251" s="18">
        <v>2</v>
      </c>
      <c r="L1251" s="20">
        <v>12171.38</v>
      </c>
      <c r="M1251" s="21">
        <v>0.05</v>
      </c>
      <c r="N1251" s="21">
        <v>0.578754251911761</v>
      </c>
      <c r="O1251" s="20">
        <f t="shared" si="76"/>
        <v>23125.621999999996</v>
      </c>
      <c r="P1251" s="20">
        <f t="shared" si="77"/>
        <v>13384.052060604159</v>
      </c>
      <c r="Q1251" s="20">
        <f t="shared" si="78"/>
        <v>9741.5699393958366</v>
      </c>
      <c r="R1251" s="22">
        <f t="shared" si="79"/>
        <v>0.421245748088239</v>
      </c>
    </row>
    <row r="1252" spans="1:18">
      <c r="A1252" s="18">
        <v>2251</v>
      </c>
      <c r="B1252" s="19" t="s">
        <v>469</v>
      </c>
      <c r="C1252" s="18">
        <v>2024</v>
      </c>
      <c r="D1252" s="18" t="s">
        <v>64</v>
      </c>
      <c r="E1252" s="18" t="s">
        <v>79</v>
      </c>
      <c r="F1252" s="18" t="s">
        <v>80</v>
      </c>
      <c r="G1252" s="18" t="s">
        <v>44</v>
      </c>
      <c r="H1252" s="18" t="s">
        <v>119</v>
      </c>
      <c r="I1252" s="18" t="s">
        <v>58</v>
      </c>
      <c r="J1252" s="18" t="s">
        <v>102</v>
      </c>
      <c r="K1252" s="18">
        <v>4</v>
      </c>
      <c r="L1252" s="20">
        <v>6708.72</v>
      </c>
      <c r="M1252" s="21">
        <v>0.1</v>
      </c>
      <c r="N1252" s="21">
        <v>0.67329769408415296</v>
      </c>
      <c r="O1252" s="20">
        <f t="shared" si="76"/>
        <v>24151.392</v>
      </c>
      <c r="P1252" s="20">
        <f t="shared" si="77"/>
        <v>16261.07654252246</v>
      </c>
      <c r="Q1252" s="20">
        <f t="shared" si="78"/>
        <v>7890.3154574775399</v>
      </c>
      <c r="R1252" s="22">
        <f t="shared" si="79"/>
        <v>0.32670230591584698</v>
      </c>
    </row>
    <row r="1253" spans="1:18">
      <c r="A1253" s="18">
        <v>2252</v>
      </c>
      <c r="B1253" s="19" t="s">
        <v>469</v>
      </c>
      <c r="C1253" s="18">
        <v>2024</v>
      </c>
      <c r="D1253" s="18" t="s">
        <v>64</v>
      </c>
      <c r="E1253" s="18" t="s">
        <v>85</v>
      </c>
      <c r="F1253" s="18" t="s">
        <v>94</v>
      </c>
      <c r="G1253" s="18" t="s">
        <v>44</v>
      </c>
      <c r="H1253" s="18" t="s">
        <v>119</v>
      </c>
      <c r="I1253" s="18" t="s">
        <v>58</v>
      </c>
      <c r="J1253" s="18" t="s">
        <v>91</v>
      </c>
      <c r="K1253" s="18">
        <v>7</v>
      </c>
      <c r="L1253" s="20">
        <v>6868.02</v>
      </c>
      <c r="M1253" s="21">
        <v>0.05</v>
      </c>
      <c r="N1253" s="21">
        <v>0.716864684448558</v>
      </c>
      <c r="O1253" s="20">
        <f t="shared" si="76"/>
        <v>45672.332999999999</v>
      </c>
      <c r="P1253" s="20">
        <f t="shared" si="77"/>
        <v>32740.882584074461</v>
      </c>
      <c r="Q1253" s="20">
        <f t="shared" si="78"/>
        <v>12931.450415925538</v>
      </c>
      <c r="R1253" s="22">
        <f t="shared" si="79"/>
        <v>0.283135315551442</v>
      </c>
    </row>
    <row r="1254" spans="1:18">
      <c r="A1254" s="18">
        <v>2253</v>
      </c>
      <c r="B1254" s="19" t="s">
        <v>470</v>
      </c>
      <c r="C1254" s="18">
        <v>2024</v>
      </c>
      <c r="D1254" s="18" t="s">
        <v>64</v>
      </c>
      <c r="E1254" s="18" t="s">
        <v>98</v>
      </c>
      <c r="F1254" s="18" t="s">
        <v>99</v>
      </c>
      <c r="G1254" s="18" t="s">
        <v>50</v>
      </c>
      <c r="H1254" s="18" t="s">
        <v>83</v>
      </c>
      <c r="I1254" s="18" t="s">
        <v>52</v>
      </c>
      <c r="J1254" s="18" t="s">
        <v>102</v>
      </c>
      <c r="K1254" s="18">
        <v>4</v>
      </c>
      <c r="L1254" s="20">
        <v>3589.26</v>
      </c>
      <c r="M1254" s="21">
        <v>0.1</v>
      </c>
      <c r="N1254" s="21">
        <v>0.65911774709793303</v>
      </c>
      <c r="O1254" s="20">
        <f t="shared" si="76"/>
        <v>12921.336000000001</v>
      </c>
      <c r="P1254" s="20">
        <f t="shared" si="77"/>
        <v>8516.6818738154179</v>
      </c>
      <c r="Q1254" s="20">
        <f t="shared" si="78"/>
        <v>4404.6541261845832</v>
      </c>
      <c r="R1254" s="22">
        <f t="shared" si="79"/>
        <v>0.34088225290206703</v>
      </c>
    </row>
    <row r="1255" spans="1:18">
      <c r="A1255" s="18">
        <v>2254</v>
      </c>
      <c r="B1255" s="19" t="s">
        <v>470</v>
      </c>
      <c r="C1255" s="18">
        <v>2024</v>
      </c>
      <c r="D1255" s="18" t="s">
        <v>64</v>
      </c>
      <c r="E1255" s="18" t="s">
        <v>98</v>
      </c>
      <c r="F1255" s="18" t="s">
        <v>99</v>
      </c>
      <c r="G1255" s="18" t="s">
        <v>44</v>
      </c>
      <c r="H1255" s="18" t="s">
        <v>114</v>
      </c>
      <c r="I1255" s="18" t="s">
        <v>58</v>
      </c>
      <c r="J1255" s="18" t="s">
        <v>102</v>
      </c>
      <c r="K1255" s="18">
        <v>8</v>
      </c>
      <c r="L1255" s="20">
        <v>9012.99</v>
      </c>
      <c r="M1255" s="21">
        <v>0.2</v>
      </c>
      <c r="N1255" s="21">
        <v>0.74855107178251401</v>
      </c>
      <c r="O1255" s="20">
        <f t="shared" si="76"/>
        <v>57683.135999999999</v>
      </c>
      <c r="P1255" s="20">
        <f t="shared" si="77"/>
        <v>43178.773276576518</v>
      </c>
      <c r="Q1255" s="20">
        <f t="shared" si="78"/>
        <v>14504.362723423481</v>
      </c>
      <c r="R1255" s="22">
        <f t="shared" si="79"/>
        <v>0.25144892821748599</v>
      </c>
    </row>
    <row r="1256" spans="1:18">
      <c r="A1256" s="18">
        <v>2255</v>
      </c>
      <c r="B1256" s="19" t="s">
        <v>471</v>
      </c>
      <c r="C1256" s="18">
        <v>2024</v>
      </c>
      <c r="D1256" s="18" t="s">
        <v>64</v>
      </c>
      <c r="E1256" s="18" t="s">
        <v>79</v>
      </c>
      <c r="F1256" s="18" t="s">
        <v>105</v>
      </c>
      <c r="G1256" s="18" t="s">
        <v>41</v>
      </c>
      <c r="H1256" s="18" t="s">
        <v>112</v>
      </c>
      <c r="I1256" s="18" t="s">
        <v>46</v>
      </c>
      <c r="J1256" s="18" t="s">
        <v>82</v>
      </c>
      <c r="K1256" s="18">
        <v>3</v>
      </c>
      <c r="L1256" s="20">
        <v>6011.96</v>
      </c>
      <c r="M1256" s="21">
        <v>0</v>
      </c>
      <c r="N1256" s="21">
        <v>0.58323939472044695</v>
      </c>
      <c r="O1256" s="20">
        <f t="shared" si="76"/>
        <v>18035.88</v>
      </c>
      <c r="P1256" s="20">
        <f t="shared" si="77"/>
        <v>10519.235734450614</v>
      </c>
      <c r="Q1256" s="20">
        <f t="shared" si="78"/>
        <v>7516.6442655493865</v>
      </c>
      <c r="R1256" s="22">
        <f t="shared" si="79"/>
        <v>0.41676060527955311</v>
      </c>
    </row>
    <row r="1257" spans="1:18">
      <c r="A1257" s="18">
        <v>2256</v>
      </c>
      <c r="B1257" s="19" t="s">
        <v>471</v>
      </c>
      <c r="C1257" s="18">
        <v>2024</v>
      </c>
      <c r="D1257" s="18" t="s">
        <v>64</v>
      </c>
      <c r="E1257" s="18" t="s">
        <v>85</v>
      </c>
      <c r="F1257" s="18" t="s">
        <v>86</v>
      </c>
      <c r="G1257" s="18" t="s">
        <v>41</v>
      </c>
      <c r="H1257" s="18" t="s">
        <v>112</v>
      </c>
      <c r="I1257" s="18" t="s">
        <v>58</v>
      </c>
      <c r="J1257" s="18" t="s">
        <v>82</v>
      </c>
      <c r="K1257" s="18">
        <v>11</v>
      </c>
      <c r="L1257" s="20">
        <v>6181.89</v>
      </c>
      <c r="M1257" s="21">
        <v>0.1</v>
      </c>
      <c r="N1257" s="21">
        <v>0.57797307781725205</v>
      </c>
      <c r="O1257" s="20">
        <f t="shared" si="76"/>
        <v>61200.71100000001</v>
      </c>
      <c r="P1257" s="20">
        <f t="shared" si="77"/>
        <v>35372.363301274156</v>
      </c>
      <c r="Q1257" s="20">
        <f t="shared" si="78"/>
        <v>25828.347698725855</v>
      </c>
      <c r="R1257" s="22">
        <f t="shared" si="79"/>
        <v>0.42202692218274801</v>
      </c>
    </row>
    <row r="1258" spans="1:18">
      <c r="A1258" s="18">
        <v>2257</v>
      </c>
      <c r="B1258" s="19" t="s">
        <v>472</v>
      </c>
      <c r="C1258" s="18">
        <v>2024</v>
      </c>
      <c r="D1258" s="18" t="s">
        <v>64</v>
      </c>
      <c r="E1258" s="18" t="s">
        <v>85</v>
      </c>
      <c r="F1258" s="18" t="s">
        <v>86</v>
      </c>
      <c r="G1258" s="18" t="s">
        <v>47</v>
      </c>
      <c r="H1258" s="18" t="s">
        <v>81</v>
      </c>
      <c r="I1258" s="18" t="s">
        <v>56</v>
      </c>
      <c r="J1258" s="18" t="s">
        <v>91</v>
      </c>
      <c r="K1258" s="18">
        <v>12</v>
      </c>
      <c r="L1258" s="20">
        <v>833.76</v>
      </c>
      <c r="M1258" s="21">
        <v>0.2</v>
      </c>
      <c r="N1258" s="21">
        <v>0.60422152656686301</v>
      </c>
      <c r="O1258" s="20">
        <f t="shared" si="76"/>
        <v>8004.0959999999995</v>
      </c>
      <c r="P1258" s="20">
        <f t="shared" si="77"/>
        <v>4836.2471039077218</v>
      </c>
      <c r="Q1258" s="20">
        <f t="shared" si="78"/>
        <v>3167.8488960922778</v>
      </c>
      <c r="R1258" s="22">
        <f t="shared" si="79"/>
        <v>0.39577847343313699</v>
      </c>
    </row>
    <row r="1259" spans="1:18">
      <c r="A1259" s="18">
        <v>2258</v>
      </c>
      <c r="B1259" s="19" t="s">
        <v>472</v>
      </c>
      <c r="C1259" s="18">
        <v>2024</v>
      </c>
      <c r="D1259" s="18" t="s">
        <v>64</v>
      </c>
      <c r="E1259" s="18" t="s">
        <v>98</v>
      </c>
      <c r="F1259" s="18" t="s">
        <v>99</v>
      </c>
      <c r="G1259" s="18" t="s">
        <v>47</v>
      </c>
      <c r="H1259" s="18" t="s">
        <v>103</v>
      </c>
      <c r="I1259" s="18" t="s">
        <v>46</v>
      </c>
      <c r="J1259" s="18" t="s">
        <v>82</v>
      </c>
      <c r="K1259" s="18">
        <v>5</v>
      </c>
      <c r="L1259" s="20">
        <v>3207.44</v>
      </c>
      <c r="M1259" s="21">
        <v>0</v>
      </c>
      <c r="N1259" s="21">
        <v>0.71056274565160304</v>
      </c>
      <c r="O1259" s="20">
        <f t="shared" si="76"/>
        <v>16037.2</v>
      </c>
      <c r="P1259" s="20">
        <f t="shared" si="77"/>
        <v>11395.43686456389</v>
      </c>
      <c r="Q1259" s="20">
        <f t="shared" si="78"/>
        <v>4641.763135436111</v>
      </c>
      <c r="R1259" s="22">
        <f t="shared" si="79"/>
        <v>0.2894372543483969</v>
      </c>
    </row>
    <row r="1260" spans="1:18">
      <c r="A1260" s="18">
        <v>2259</v>
      </c>
      <c r="B1260" s="19" t="s">
        <v>472</v>
      </c>
      <c r="C1260" s="18">
        <v>2024</v>
      </c>
      <c r="D1260" s="18" t="s">
        <v>64</v>
      </c>
      <c r="E1260" s="18" t="s">
        <v>98</v>
      </c>
      <c r="F1260" s="18" t="s">
        <v>99</v>
      </c>
      <c r="G1260" s="18" t="s">
        <v>47</v>
      </c>
      <c r="H1260" s="18" t="s">
        <v>107</v>
      </c>
      <c r="I1260" s="18" t="s">
        <v>58</v>
      </c>
      <c r="J1260" s="18" t="s">
        <v>82</v>
      </c>
      <c r="K1260" s="18">
        <v>6</v>
      </c>
      <c r="L1260" s="20">
        <v>2293.96</v>
      </c>
      <c r="M1260" s="21">
        <v>0.2</v>
      </c>
      <c r="N1260" s="21">
        <v>0.749237307686204</v>
      </c>
      <c r="O1260" s="20">
        <f t="shared" si="76"/>
        <v>11011.008000000002</v>
      </c>
      <c r="P1260" s="20">
        <f t="shared" si="77"/>
        <v>8249.8579888312543</v>
      </c>
      <c r="Q1260" s="20">
        <f t="shared" si="78"/>
        <v>2761.1500111687474</v>
      </c>
      <c r="R1260" s="22">
        <f t="shared" si="79"/>
        <v>0.25076269231379605</v>
      </c>
    </row>
    <row r="1261" spans="1:18">
      <c r="A1261" s="18">
        <v>2260</v>
      </c>
      <c r="B1261" s="19" t="s">
        <v>472</v>
      </c>
      <c r="C1261" s="18">
        <v>2024</v>
      </c>
      <c r="D1261" s="18" t="s">
        <v>64</v>
      </c>
      <c r="E1261" s="18" t="s">
        <v>88</v>
      </c>
      <c r="F1261" s="18" t="s">
        <v>110</v>
      </c>
      <c r="G1261" s="18" t="s">
        <v>50</v>
      </c>
      <c r="H1261" s="18" t="s">
        <v>83</v>
      </c>
      <c r="I1261" s="18" t="s">
        <v>54</v>
      </c>
      <c r="J1261" s="18" t="s">
        <v>91</v>
      </c>
      <c r="K1261" s="18">
        <v>3</v>
      </c>
      <c r="L1261" s="20">
        <v>3377.62</v>
      </c>
      <c r="M1261" s="21">
        <v>0</v>
      </c>
      <c r="N1261" s="21">
        <v>0.74866206344511499</v>
      </c>
      <c r="O1261" s="20">
        <f t="shared" si="76"/>
        <v>10132.86</v>
      </c>
      <c r="P1261" s="20">
        <f t="shared" si="77"/>
        <v>7586.0878762004686</v>
      </c>
      <c r="Q1261" s="20">
        <f t="shared" si="78"/>
        <v>2546.772123799532</v>
      </c>
      <c r="R1261" s="22">
        <f t="shared" si="79"/>
        <v>0.25133793655488496</v>
      </c>
    </row>
    <row r="1262" spans="1:18">
      <c r="A1262" s="18">
        <v>2261</v>
      </c>
      <c r="B1262" s="19" t="s">
        <v>472</v>
      </c>
      <c r="C1262" s="18">
        <v>2024</v>
      </c>
      <c r="D1262" s="18" t="s">
        <v>64</v>
      </c>
      <c r="E1262" s="18" t="s">
        <v>79</v>
      </c>
      <c r="F1262" s="18" t="s">
        <v>105</v>
      </c>
      <c r="G1262" s="18" t="s">
        <v>44</v>
      </c>
      <c r="H1262" s="18" t="s">
        <v>119</v>
      </c>
      <c r="I1262" s="18" t="s">
        <v>43</v>
      </c>
      <c r="J1262" s="18" t="s">
        <v>102</v>
      </c>
      <c r="K1262" s="18">
        <v>8</v>
      </c>
      <c r="L1262" s="20">
        <v>6881.72</v>
      </c>
      <c r="M1262" s="21">
        <v>0</v>
      </c>
      <c r="N1262" s="21">
        <v>0.67499455283387599</v>
      </c>
      <c r="O1262" s="20">
        <f t="shared" si="76"/>
        <v>55053.760000000002</v>
      </c>
      <c r="P1262" s="20">
        <f t="shared" si="77"/>
        <v>37160.98811302353</v>
      </c>
      <c r="Q1262" s="20">
        <f t="shared" si="78"/>
        <v>17892.771886976472</v>
      </c>
      <c r="R1262" s="22">
        <f t="shared" si="79"/>
        <v>0.32500544716612401</v>
      </c>
    </row>
    <row r="1263" spans="1:18">
      <c r="A1263" s="18">
        <v>2262</v>
      </c>
      <c r="B1263" s="19" t="s">
        <v>473</v>
      </c>
      <c r="C1263" s="18">
        <v>2024</v>
      </c>
      <c r="D1263" s="18" t="s">
        <v>64</v>
      </c>
      <c r="E1263" s="18" t="s">
        <v>79</v>
      </c>
      <c r="F1263" s="18" t="s">
        <v>105</v>
      </c>
      <c r="G1263" s="18" t="s">
        <v>44</v>
      </c>
      <c r="H1263" s="18" t="s">
        <v>114</v>
      </c>
      <c r="I1263" s="18" t="s">
        <v>40</v>
      </c>
      <c r="J1263" s="18" t="s">
        <v>82</v>
      </c>
      <c r="K1263" s="18">
        <v>5</v>
      </c>
      <c r="L1263" s="20">
        <v>8805.77</v>
      </c>
      <c r="M1263" s="21">
        <v>0.1</v>
      </c>
      <c r="N1263" s="21">
        <v>0.66689367701012403</v>
      </c>
      <c r="O1263" s="20">
        <f t="shared" si="76"/>
        <v>39625.965000000004</v>
      </c>
      <c r="P1263" s="20">
        <f t="shared" si="77"/>
        <v>26426.305503924483</v>
      </c>
      <c r="Q1263" s="20">
        <f t="shared" si="78"/>
        <v>13199.659496075521</v>
      </c>
      <c r="R1263" s="22">
        <f t="shared" si="79"/>
        <v>0.33310632298987597</v>
      </c>
    </row>
    <row r="1264" spans="1:18">
      <c r="A1264" s="18">
        <v>2263</v>
      </c>
      <c r="B1264" s="19" t="s">
        <v>473</v>
      </c>
      <c r="C1264" s="18">
        <v>2024</v>
      </c>
      <c r="D1264" s="18" t="s">
        <v>64</v>
      </c>
      <c r="E1264" s="18" t="s">
        <v>98</v>
      </c>
      <c r="F1264" s="18" t="s">
        <v>109</v>
      </c>
      <c r="G1264" s="18" t="s">
        <v>50</v>
      </c>
      <c r="H1264" s="18" t="s">
        <v>97</v>
      </c>
      <c r="I1264" s="18" t="s">
        <v>60</v>
      </c>
      <c r="J1264" s="18" t="s">
        <v>102</v>
      </c>
      <c r="K1264" s="18">
        <v>11</v>
      </c>
      <c r="L1264" s="20">
        <v>12191.24</v>
      </c>
      <c r="M1264" s="21">
        <v>0</v>
      </c>
      <c r="N1264" s="21">
        <v>0.66852782540384204</v>
      </c>
      <c r="O1264" s="20">
        <f t="shared" si="76"/>
        <v>134103.63999999998</v>
      </c>
      <c r="P1264" s="20">
        <f t="shared" si="77"/>
        <v>89652.014827939682</v>
      </c>
      <c r="Q1264" s="20">
        <f t="shared" si="78"/>
        <v>44451.625172060303</v>
      </c>
      <c r="R1264" s="22">
        <f t="shared" si="79"/>
        <v>0.33147217459615791</v>
      </c>
    </row>
    <row r="1265" spans="1:18">
      <c r="A1265" s="18">
        <v>2264</v>
      </c>
      <c r="B1265" s="19" t="s">
        <v>473</v>
      </c>
      <c r="C1265" s="18">
        <v>2024</v>
      </c>
      <c r="D1265" s="18" t="s">
        <v>64</v>
      </c>
      <c r="E1265" s="18" t="s">
        <v>79</v>
      </c>
      <c r="F1265" s="18" t="s">
        <v>80</v>
      </c>
      <c r="G1265" s="18" t="s">
        <v>44</v>
      </c>
      <c r="H1265" s="18" t="s">
        <v>114</v>
      </c>
      <c r="I1265" s="18" t="s">
        <v>46</v>
      </c>
      <c r="J1265" s="18" t="s">
        <v>91</v>
      </c>
      <c r="K1265" s="18">
        <v>10</v>
      </c>
      <c r="L1265" s="20">
        <v>8642.09</v>
      </c>
      <c r="M1265" s="21">
        <v>0.15</v>
      </c>
      <c r="N1265" s="21">
        <v>0.66746341235165296</v>
      </c>
      <c r="O1265" s="20">
        <f t="shared" si="76"/>
        <v>73457.764999999999</v>
      </c>
      <c r="P1265" s="20">
        <f t="shared" si="77"/>
        <v>49030.370490625821</v>
      </c>
      <c r="Q1265" s="20">
        <f t="shared" si="78"/>
        <v>24427.394509374179</v>
      </c>
      <c r="R1265" s="22">
        <f t="shared" si="79"/>
        <v>0.33253658764834704</v>
      </c>
    </row>
    <row r="1266" spans="1:18">
      <c r="A1266" s="18">
        <v>2265</v>
      </c>
      <c r="B1266" s="19" t="s">
        <v>474</v>
      </c>
      <c r="C1266" s="18">
        <v>2024</v>
      </c>
      <c r="D1266" s="18" t="s">
        <v>64</v>
      </c>
      <c r="E1266" s="18" t="s">
        <v>98</v>
      </c>
      <c r="F1266" s="18" t="s">
        <v>99</v>
      </c>
      <c r="G1266" s="18" t="s">
        <v>47</v>
      </c>
      <c r="H1266" s="18" t="s">
        <v>103</v>
      </c>
      <c r="I1266" s="18" t="s">
        <v>62</v>
      </c>
      <c r="J1266" s="18" t="s">
        <v>102</v>
      </c>
      <c r="K1266" s="18">
        <v>8</v>
      </c>
      <c r="L1266" s="20">
        <v>3106.98</v>
      </c>
      <c r="M1266" s="21">
        <v>0</v>
      </c>
      <c r="N1266" s="21">
        <v>0.70667298321698802</v>
      </c>
      <c r="O1266" s="20">
        <f t="shared" si="76"/>
        <v>24855.84</v>
      </c>
      <c r="P1266" s="20">
        <f t="shared" si="77"/>
        <v>17564.950603164139</v>
      </c>
      <c r="Q1266" s="20">
        <f t="shared" si="78"/>
        <v>7290.8893968358607</v>
      </c>
      <c r="R1266" s="22">
        <f t="shared" si="79"/>
        <v>0.29332701678301198</v>
      </c>
    </row>
    <row r="1267" spans="1:18">
      <c r="A1267" s="18">
        <v>2266</v>
      </c>
      <c r="B1267" s="19" t="s">
        <v>474</v>
      </c>
      <c r="C1267" s="18">
        <v>2024</v>
      </c>
      <c r="D1267" s="18" t="s">
        <v>64</v>
      </c>
      <c r="E1267" s="18" t="s">
        <v>88</v>
      </c>
      <c r="F1267" s="18" t="s">
        <v>110</v>
      </c>
      <c r="G1267" s="18" t="s">
        <v>44</v>
      </c>
      <c r="H1267" s="18" t="s">
        <v>119</v>
      </c>
      <c r="I1267" s="18" t="s">
        <v>46</v>
      </c>
      <c r="J1267" s="18" t="s">
        <v>91</v>
      </c>
      <c r="K1267" s="18">
        <v>1</v>
      </c>
      <c r="L1267" s="20">
        <v>6876.34</v>
      </c>
      <c r="M1267" s="21">
        <v>0</v>
      </c>
      <c r="N1267" s="21">
        <v>0.57739498542503298</v>
      </c>
      <c r="O1267" s="20">
        <f t="shared" si="76"/>
        <v>6876.34</v>
      </c>
      <c r="P1267" s="20">
        <f t="shared" si="77"/>
        <v>3970.3642340775714</v>
      </c>
      <c r="Q1267" s="20">
        <f t="shared" si="78"/>
        <v>2905.9757659224288</v>
      </c>
      <c r="R1267" s="22">
        <f t="shared" si="79"/>
        <v>0.42260501457496702</v>
      </c>
    </row>
    <row r="1268" spans="1:18">
      <c r="A1268" s="18">
        <v>2267</v>
      </c>
      <c r="B1268" s="19" t="s">
        <v>474</v>
      </c>
      <c r="C1268" s="18">
        <v>2024</v>
      </c>
      <c r="D1268" s="18" t="s">
        <v>64</v>
      </c>
      <c r="E1268" s="18" t="s">
        <v>85</v>
      </c>
      <c r="F1268" s="18" t="s">
        <v>121</v>
      </c>
      <c r="G1268" s="18" t="s">
        <v>50</v>
      </c>
      <c r="H1268" s="18" t="s">
        <v>97</v>
      </c>
      <c r="I1268" s="18" t="s">
        <v>52</v>
      </c>
      <c r="J1268" s="18" t="s">
        <v>102</v>
      </c>
      <c r="K1268" s="18">
        <v>2</v>
      </c>
      <c r="L1268" s="20">
        <v>11688.93</v>
      </c>
      <c r="M1268" s="21">
        <v>0.1</v>
      </c>
      <c r="N1268" s="21">
        <v>0.62546191032814902</v>
      </c>
      <c r="O1268" s="20">
        <f t="shared" si="76"/>
        <v>21040.074000000001</v>
      </c>
      <c r="P1268" s="20">
        <f t="shared" si="77"/>
        <v>13159.764877485621</v>
      </c>
      <c r="Q1268" s="20">
        <f t="shared" si="78"/>
        <v>7880.3091225143799</v>
      </c>
      <c r="R1268" s="22">
        <f t="shared" si="79"/>
        <v>0.37453808967185093</v>
      </c>
    </row>
    <row r="1269" spans="1:18">
      <c r="A1269" s="18">
        <v>2268</v>
      </c>
      <c r="B1269" s="19" t="s">
        <v>474</v>
      </c>
      <c r="C1269" s="18">
        <v>2024</v>
      </c>
      <c r="D1269" s="18" t="s">
        <v>64</v>
      </c>
      <c r="E1269" s="18" t="s">
        <v>85</v>
      </c>
      <c r="F1269" s="18" t="s">
        <v>94</v>
      </c>
      <c r="G1269" s="18" t="s">
        <v>50</v>
      </c>
      <c r="H1269" s="18" t="s">
        <v>97</v>
      </c>
      <c r="I1269" s="18" t="s">
        <v>52</v>
      </c>
      <c r="J1269" s="18" t="s">
        <v>102</v>
      </c>
      <c r="K1269" s="18">
        <v>6</v>
      </c>
      <c r="L1269" s="20">
        <v>12036.82</v>
      </c>
      <c r="M1269" s="21">
        <v>0.15</v>
      </c>
      <c r="N1269" s="21">
        <v>0.71843824418470204</v>
      </c>
      <c r="O1269" s="20">
        <f t="shared" si="76"/>
        <v>61387.781999999999</v>
      </c>
      <c r="P1269" s="20">
        <f t="shared" si="77"/>
        <v>44103.330314473256</v>
      </c>
      <c r="Q1269" s="20">
        <f t="shared" si="78"/>
        <v>17284.451685526743</v>
      </c>
      <c r="R1269" s="22">
        <f t="shared" si="79"/>
        <v>0.28156175581529796</v>
      </c>
    </row>
    <row r="1270" spans="1:18">
      <c r="A1270" s="18">
        <v>2269</v>
      </c>
      <c r="B1270" s="19" t="s">
        <v>474</v>
      </c>
      <c r="C1270" s="18">
        <v>2024</v>
      </c>
      <c r="D1270" s="18" t="s">
        <v>64</v>
      </c>
      <c r="E1270" s="18" t="s">
        <v>88</v>
      </c>
      <c r="F1270" s="18" t="s">
        <v>93</v>
      </c>
      <c r="G1270" s="18" t="s">
        <v>47</v>
      </c>
      <c r="H1270" s="18" t="s">
        <v>103</v>
      </c>
      <c r="I1270" s="18" t="s">
        <v>46</v>
      </c>
      <c r="J1270" s="18" t="s">
        <v>91</v>
      </c>
      <c r="K1270" s="18">
        <v>9</v>
      </c>
      <c r="L1270" s="20">
        <v>3181.33</v>
      </c>
      <c r="M1270" s="21">
        <v>0.2</v>
      </c>
      <c r="N1270" s="21">
        <v>0.70779301114460702</v>
      </c>
      <c r="O1270" s="20">
        <f t="shared" si="76"/>
        <v>22905.576000000001</v>
      </c>
      <c r="P1270" s="20">
        <f t="shared" si="77"/>
        <v>16212.406609041644</v>
      </c>
      <c r="Q1270" s="20">
        <f t="shared" si="78"/>
        <v>6693.1693909583573</v>
      </c>
      <c r="R1270" s="22">
        <f t="shared" si="79"/>
        <v>0.29220698885539298</v>
      </c>
    </row>
    <row r="1271" spans="1:18">
      <c r="A1271" s="18">
        <v>2270</v>
      </c>
      <c r="B1271" s="19" t="s">
        <v>475</v>
      </c>
      <c r="C1271" s="18">
        <v>2024</v>
      </c>
      <c r="D1271" s="18" t="s">
        <v>64</v>
      </c>
      <c r="E1271" s="18" t="s">
        <v>85</v>
      </c>
      <c r="F1271" s="18" t="s">
        <v>94</v>
      </c>
      <c r="G1271" s="18" t="s">
        <v>47</v>
      </c>
      <c r="H1271" s="18" t="s">
        <v>81</v>
      </c>
      <c r="I1271" s="18" t="s">
        <v>40</v>
      </c>
      <c r="J1271" s="18" t="s">
        <v>91</v>
      </c>
      <c r="K1271" s="18">
        <v>8</v>
      </c>
      <c r="L1271" s="20">
        <v>821.66</v>
      </c>
      <c r="M1271" s="21">
        <v>0.05</v>
      </c>
      <c r="N1271" s="21">
        <v>0.69569830063593097</v>
      </c>
      <c r="O1271" s="20">
        <f t="shared" si="76"/>
        <v>6244.6159999999991</v>
      </c>
      <c r="P1271" s="20">
        <f t="shared" si="77"/>
        <v>4344.3687393239443</v>
      </c>
      <c r="Q1271" s="20">
        <f t="shared" si="78"/>
        <v>1900.2472606760548</v>
      </c>
      <c r="R1271" s="22">
        <f t="shared" si="79"/>
        <v>0.30430169936406898</v>
      </c>
    </row>
    <row r="1272" spans="1:18">
      <c r="A1272" s="18">
        <v>2271</v>
      </c>
      <c r="B1272" s="19" t="s">
        <v>475</v>
      </c>
      <c r="C1272" s="18">
        <v>2024</v>
      </c>
      <c r="D1272" s="18" t="s">
        <v>64</v>
      </c>
      <c r="E1272" s="18" t="s">
        <v>88</v>
      </c>
      <c r="F1272" s="18" t="s">
        <v>93</v>
      </c>
      <c r="G1272" s="18" t="s">
        <v>44</v>
      </c>
      <c r="H1272" s="18" t="s">
        <v>114</v>
      </c>
      <c r="I1272" s="18" t="s">
        <v>54</v>
      </c>
      <c r="J1272" s="18" t="s">
        <v>82</v>
      </c>
      <c r="K1272" s="18">
        <v>12</v>
      </c>
      <c r="L1272" s="20">
        <v>9445.89</v>
      </c>
      <c r="M1272" s="21">
        <v>0</v>
      </c>
      <c r="N1272" s="21">
        <v>0.63841611349730398</v>
      </c>
      <c r="O1272" s="20">
        <f t="shared" si="76"/>
        <v>113350.68</v>
      </c>
      <c r="P1272" s="20">
        <f t="shared" si="77"/>
        <v>72364.900587876575</v>
      </c>
      <c r="Q1272" s="20">
        <f t="shared" si="78"/>
        <v>40985.779412123418</v>
      </c>
      <c r="R1272" s="22">
        <f t="shared" si="79"/>
        <v>0.36158388650269607</v>
      </c>
    </row>
    <row r="1273" spans="1:18">
      <c r="A1273" s="18">
        <v>2272</v>
      </c>
      <c r="B1273" s="19" t="s">
        <v>476</v>
      </c>
      <c r="C1273" s="18">
        <v>2025</v>
      </c>
      <c r="D1273" s="18" t="s">
        <v>39</v>
      </c>
      <c r="E1273" s="18" t="s">
        <v>79</v>
      </c>
      <c r="F1273" s="18" t="s">
        <v>80</v>
      </c>
      <c r="G1273" s="18" t="s">
        <v>47</v>
      </c>
      <c r="H1273" s="18" t="s">
        <v>107</v>
      </c>
      <c r="I1273" s="18" t="s">
        <v>43</v>
      </c>
      <c r="J1273" s="18" t="s">
        <v>91</v>
      </c>
      <c r="K1273" s="18">
        <v>5</v>
      </c>
      <c r="L1273" s="20">
        <v>2200.61</v>
      </c>
      <c r="M1273" s="21">
        <v>0</v>
      </c>
      <c r="N1273" s="21">
        <v>0.67135488282595301</v>
      </c>
      <c r="O1273" s="20">
        <f t="shared" si="76"/>
        <v>11003.050000000001</v>
      </c>
      <c r="P1273" s="20">
        <f t="shared" si="77"/>
        <v>7386.9513434781029</v>
      </c>
      <c r="Q1273" s="20">
        <f t="shared" si="78"/>
        <v>3616.0986565218982</v>
      </c>
      <c r="R1273" s="22">
        <f t="shared" si="79"/>
        <v>0.32864511717404699</v>
      </c>
    </row>
    <row r="1274" spans="1:18">
      <c r="A1274" s="18">
        <v>2273</v>
      </c>
      <c r="B1274" s="19" t="s">
        <v>476</v>
      </c>
      <c r="C1274" s="18">
        <v>2025</v>
      </c>
      <c r="D1274" s="18" t="s">
        <v>39</v>
      </c>
      <c r="E1274" s="18" t="s">
        <v>79</v>
      </c>
      <c r="F1274" s="18" t="s">
        <v>80</v>
      </c>
      <c r="G1274" s="18" t="s">
        <v>47</v>
      </c>
      <c r="H1274" s="18" t="s">
        <v>103</v>
      </c>
      <c r="I1274" s="18" t="s">
        <v>58</v>
      </c>
      <c r="J1274" s="18" t="s">
        <v>91</v>
      </c>
      <c r="K1274" s="18">
        <v>1</v>
      </c>
      <c r="L1274" s="20">
        <v>3358.64</v>
      </c>
      <c r="M1274" s="21">
        <v>0.2</v>
      </c>
      <c r="N1274" s="21">
        <v>0.600607590785882</v>
      </c>
      <c r="O1274" s="20">
        <f t="shared" si="76"/>
        <v>2686.9120000000003</v>
      </c>
      <c r="P1274" s="20">
        <f t="shared" si="77"/>
        <v>1613.7797429736759</v>
      </c>
      <c r="Q1274" s="20">
        <f t="shared" si="78"/>
        <v>1073.1322570263244</v>
      </c>
      <c r="R1274" s="22">
        <f t="shared" si="79"/>
        <v>0.399392409214118</v>
      </c>
    </row>
    <row r="1275" spans="1:18">
      <c r="A1275" s="18">
        <v>2274</v>
      </c>
      <c r="B1275" s="19" t="s">
        <v>476</v>
      </c>
      <c r="C1275" s="18">
        <v>2025</v>
      </c>
      <c r="D1275" s="18" t="s">
        <v>39</v>
      </c>
      <c r="E1275" s="18" t="s">
        <v>79</v>
      </c>
      <c r="F1275" s="18" t="s">
        <v>80</v>
      </c>
      <c r="G1275" s="18" t="s">
        <v>41</v>
      </c>
      <c r="H1275" s="18" t="s">
        <v>112</v>
      </c>
      <c r="I1275" s="18" t="s">
        <v>62</v>
      </c>
      <c r="J1275" s="18" t="s">
        <v>102</v>
      </c>
      <c r="K1275" s="18">
        <v>8</v>
      </c>
      <c r="L1275" s="20">
        <v>5994.18</v>
      </c>
      <c r="M1275" s="21">
        <v>0.1</v>
      </c>
      <c r="N1275" s="21">
        <v>0.69998719971617596</v>
      </c>
      <c r="O1275" s="20">
        <f t="shared" si="76"/>
        <v>43158.096000000005</v>
      </c>
      <c r="P1275" s="20">
        <f t="shared" si="77"/>
        <v>30210.114764121899</v>
      </c>
      <c r="Q1275" s="20">
        <f t="shared" si="78"/>
        <v>12947.981235878106</v>
      </c>
      <c r="R1275" s="22">
        <f t="shared" si="79"/>
        <v>0.30001280028382399</v>
      </c>
    </row>
    <row r="1276" spans="1:18">
      <c r="A1276" s="18">
        <v>2275</v>
      </c>
      <c r="B1276" s="19" t="s">
        <v>477</v>
      </c>
      <c r="C1276" s="18">
        <v>2025</v>
      </c>
      <c r="D1276" s="18" t="s">
        <v>39</v>
      </c>
      <c r="E1276" s="18" t="s">
        <v>79</v>
      </c>
      <c r="F1276" s="18" t="s">
        <v>105</v>
      </c>
      <c r="G1276" s="18" t="s">
        <v>41</v>
      </c>
      <c r="H1276" s="18" t="s">
        <v>101</v>
      </c>
      <c r="I1276" s="18" t="s">
        <v>46</v>
      </c>
      <c r="J1276" s="18" t="s">
        <v>82</v>
      </c>
      <c r="K1276" s="18">
        <v>2</v>
      </c>
      <c r="L1276" s="20">
        <v>54557.65</v>
      </c>
      <c r="M1276" s="21">
        <v>0</v>
      </c>
      <c r="N1276" s="21">
        <v>0.56120959884431698</v>
      </c>
      <c r="O1276" s="20">
        <f t="shared" si="76"/>
        <v>109115.3</v>
      </c>
      <c r="P1276" s="20">
        <f t="shared" si="77"/>
        <v>61236.553740777301</v>
      </c>
      <c r="Q1276" s="20">
        <f t="shared" si="78"/>
        <v>47878.746259222702</v>
      </c>
      <c r="R1276" s="22">
        <f t="shared" si="79"/>
        <v>0.43879040115568302</v>
      </c>
    </row>
    <row r="1277" spans="1:18">
      <c r="A1277" s="18">
        <v>2276</v>
      </c>
      <c r="B1277" s="19" t="s">
        <v>477</v>
      </c>
      <c r="C1277" s="18">
        <v>2025</v>
      </c>
      <c r="D1277" s="18" t="s">
        <v>39</v>
      </c>
      <c r="E1277" s="18" t="s">
        <v>79</v>
      </c>
      <c r="F1277" s="18" t="s">
        <v>105</v>
      </c>
      <c r="G1277" s="18" t="s">
        <v>41</v>
      </c>
      <c r="H1277" s="18" t="s">
        <v>106</v>
      </c>
      <c r="I1277" s="18" t="s">
        <v>49</v>
      </c>
      <c r="J1277" s="18" t="s">
        <v>102</v>
      </c>
      <c r="K1277" s="18">
        <v>10</v>
      </c>
      <c r="L1277" s="20">
        <v>2559.36</v>
      </c>
      <c r="M1277" s="21">
        <v>0.05</v>
      </c>
      <c r="N1277" s="21">
        <v>0.71745470564364</v>
      </c>
      <c r="O1277" s="20">
        <f t="shared" si="76"/>
        <v>24313.920000000002</v>
      </c>
      <c r="P1277" s="20">
        <f t="shared" si="77"/>
        <v>17444.136316643013</v>
      </c>
      <c r="Q1277" s="20">
        <f t="shared" si="78"/>
        <v>6869.7836833569891</v>
      </c>
      <c r="R1277" s="22">
        <f t="shared" si="79"/>
        <v>0.28254529435636</v>
      </c>
    </row>
    <row r="1278" spans="1:18">
      <c r="A1278" s="18">
        <v>2277</v>
      </c>
      <c r="B1278" s="19" t="s">
        <v>478</v>
      </c>
      <c r="C1278" s="18">
        <v>2025</v>
      </c>
      <c r="D1278" s="18" t="s">
        <v>39</v>
      </c>
      <c r="E1278" s="18" t="s">
        <v>88</v>
      </c>
      <c r="F1278" s="18" t="s">
        <v>93</v>
      </c>
      <c r="G1278" s="18" t="s">
        <v>47</v>
      </c>
      <c r="H1278" s="18" t="s">
        <v>103</v>
      </c>
      <c r="I1278" s="18" t="s">
        <v>40</v>
      </c>
      <c r="J1278" s="18" t="s">
        <v>102</v>
      </c>
      <c r="K1278" s="18">
        <v>7</v>
      </c>
      <c r="L1278" s="20">
        <v>3173.24</v>
      </c>
      <c r="M1278" s="21">
        <v>0.2</v>
      </c>
      <c r="N1278" s="21">
        <v>0.68392823496681998</v>
      </c>
      <c r="O1278" s="20">
        <f t="shared" si="76"/>
        <v>17770.144</v>
      </c>
      <c r="P1278" s="20">
        <f t="shared" si="77"/>
        <v>12153.503221026227</v>
      </c>
      <c r="Q1278" s="20">
        <f t="shared" si="78"/>
        <v>5616.6407789737732</v>
      </c>
      <c r="R1278" s="22">
        <f t="shared" si="79"/>
        <v>0.31607176503317996</v>
      </c>
    </row>
    <row r="1279" spans="1:18">
      <c r="A1279" s="18">
        <v>2278</v>
      </c>
      <c r="B1279" s="19" t="s">
        <v>478</v>
      </c>
      <c r="C1279" s="18">
        <v>2025</v>
      </c>
      <c r="D1279" s="18" t="s">
        <v>39</v>
      </c>
      <c r="E1279" s="18" t="s">
        <v>79</v>
      </c>
      <c r="F1279" s="18" t="s">
        <v>100</v>
      </c>
      <c r="G1279" s="18" t="s">
        <v>44</v>
      </c>
      <c r="H1279" s="18" t="s">
        <v>95</v>
      </c>
      <c r="I1279" s="18" t="s">
        <v>52</v>
      </c>
      <c r="J1279" s="18" t="s">
        <v>82</v>
      </c>
      <c r="K1279" s="18">
        <v>3</v>
      </c>
      <c r="L1279" s="20">
        <v>4474.53</v>
      </c>
      <c r="M1279" s="21">
        <v>0.05</v>
      </c>
      <c r="N1279" s="21">
        <v>0.67170580506128597</v>
      </c>
      <c r="O1279" s="20">
        <f t="shared" si="76"/>
        <v>12752.4105</v>
      </c>
      <c r="P1279" s="20">
        <f t="shared" si="77"/>
        <v>8565.8681613744957</v>
      </c>
      <c r="Q1279" s="20">
        <f t="shared" si="78"/>
        <v>4186.5423386255043</v>
      </c>
      <c r="R1279" s="22">
        <f t="shared" si="79"/>
        <v>0.32829419493871409</v>
      </c>
    </row>
    <row r="1280" spans="1:18">
      <c r="A1280" s="18">
        <v>2279</v>
      </c>
      <c r="B1280" s="19" t="s">
        <v>478</v>
      </c>
      <c r="C1280" s="18">
        <v>2025</v>
      </c>
      <c r="D1280" s="18" t="s">
        <v>39</v>
      </c>
      <c r="E1280" s="18" t="s">
        <v>85</v>
      </c>
      <c r="F1280" s="18" t="s">
        <v>86</v>
      </c>
      <c r="G1280" s="18" t="s">
        <v>41</v>
      </c>
      <c r="H1280" s="18" t="s">
        <v>106</v>
      </c>
      <c r="I1280" s="18" t="s">
        <v>52</v>
      </c>
      <c r="J1280" s="18" t="s">
        <v>102</v>
      </c>
      <c r="K1280" s="18">
        <v>6</v>
      </c>
      <c r="L1280" s="20">
        <v>2404.4299999999998</v>
      </c>
      <c r="M1280" s="21">
        <v>0.1</v>
      </c>
      <c r="N1280" s="21">
        <v>0.66363465314523196</v>
      </c>
      <c r="O1280" s="20">
        <f t="shared" si="76"/>
        <v>12983.921999999999</v>
      </c>
      <c r="P1280" s="20">
        <f t="shared" si="77"/>
        <v>8616.5805729347449</v>
      </c>
      <c r="Q1280" s="20">
        <f t="shared" si="78"/>
        <v>4367.3414270652538</v>
      </c>
      <c r="R1280" s="22">
        <f t="shared" si="79"/>
        <v>0.3363653468547681</v>
      </c>
    </row>
    <row r="1281" spans="1:18">
      <c r="A1281" s="18">
        <v>2280</v>
      </c>
      <c r="B1281" s="19" t="s">
        <v>478</v>
      </c>
      <c r="C1281" s="18">
        <v>2025</v>
      </c>
      <c r="D1281" s="18" t="s">
        <v>39</v>
      </c>
      <c r="E1281" s="18" t="s">
        <v>79</v>
      </c>
      <c r="F1281" s="18" t="s">
        <v>80</v>
      </c>
      <c r="G1281" s="18" t="s">
        <v>50</v>
      </c>
      <c r="H1281" s="18" t="s">
        <v>83</v>
      </c>
      <c r="I1281" s="18" t="s">
        <v>43</v>
      </c>
      <c r="J1281" s="18" t="s">
        <v>82</v>
      </c>
      <c r="K1281" s="18">
        <v>3</v>
      </c>
      <c r="L1281" s="20">
        <v>3580.34</v>
      </c>
      <c r="M1281" s="21">
        <v>0</v>
      </c>
      <c r="N1281" s="21">
        <v>0.613500257717294</v>
      </c>
      <c r="O1281" s="20">
        <f t="shared" si="76"/>
        <v>10741.02</v>
      </c>
      <c r="P1281" s="20">
        <f t="shared" si="77"/>
        <v>6589.6185381466094</v>
      </c>
      <c r="Q1281" s="20">
        <f t="shared" si="78"/>
        <v>4151.4014618533911</v>
      </c>
      <c r="R1281" s="22">
        <f t="shared" si="79"/>
        <v>0.386499742282706</v>
      </c>
    </row>
    <row r="1282" spans="1:18">
      <c r="A1282" s="18">
        <v>2281</v>
      </c>
      <c r="B1282" s="19" t="s">
        <v>479</v>
      </c>
      <c r="C1282" s="18">
        <v>2025</v>
      </c>
      <c r="D1282" s="18" t="s">
        <v>39</v>
      </c>
      <c r="E1282" s="18" t="s">
        <v>88</v>
      </c>
      <c r="F1282" s="18" t="s">
        <v>110</v>
      </c>
      <c r="G1282" s="18" t="s">
        <v>44</v>
      </c>
      <c r="H1282" s="18" t="s">
        <v>95</v>
      </c>
      <c r="I1282" s="18" t="s">
        <v>54</v>
      </c>
      <c r="J1282" s="18" t="s">
        <v>91</v>
      </c>
      <c r="K1282" s="18">
        <v>2</v>
      </c>
      <c r="L1282" s="20">
        <v>4669.74</v>
      </c>
      <c r="M1282" s="21">
        <v>0</v>
      </c>
      <c r="N1282" s="21">
        <v>0.61155646419124099</v>
      </c>
      <c r="O1282" s="20">
        <f t="shared" ref="O1282:O1345" si="80">K1282*L1282*(1-M1282)</f>
        <v>9339.48</v>
      </c>
      <c r="P1282" s="20">
        <f t="shared" ref="P1282:P1345" si="81">O1282*N1282</f>
        <v>5711.619366184811</v>
      </c>
      <c r="Q1282" s="20">
        <f t="shared" ref="Q1282:Q1345" si="82">O1282-P1282</f>
        <v>3627.8606338151885</v>
      </c>
      <c r="R1282" s="22">
        <f t="shared" ref="R1282:R1345" si="83">IF(O1282=0,0,Q1282/O1282)</f>
        <v>0.38844353580875901</v>
      </c>
    </row>
    <row r="1283" spans="1:18">
      <c r="A1283" s="18">
        <v>2282</v>
      </c>
      <c r="B1283" s="19" t="s">
        <v>479</v>
      </c>
      <c r="C1283" s="18">
        <v>2025</v>
      </c>
      <c r="D1283" s="18" t="s">
        <v>39</v>
      </c>
      <c r="E1283" s="18" t="s">
        <v>88</v>
      </c>
      <c r="F1283" s="18" t="s">
        <v>93</v>
      </c>
      <c r="G1283" s="18" t="s">
        <v>44</v>
      </c>
      <c r="H1283" s="18" t="s">
        <v>114</v>
      </c>
      <c r="I1283" s="18" t="s">
        <v>40</v>
      </c>
      <c r="J1283" s="18" t="s">
        <v>91</v>
      </c>
      <c r="K1283" s="18">
        <v>12</v>
      </c>
      <c r="L1283" s="20">
        <v>8808.3700000000008</v>
      </c>
      <c r="M1283" s="21">
        <v>0.05</v>
      </c>
      <c r="N1283" s="21">
        <v>0.57808521474158803</v>
      </c>
      <c r="O1283" s="20">
        <f t="shared" si="80"/>
        <v>100415.41799999999</v>
      </c>
      <c r="P1283" s="20">
        <f t="shared" si="81"/>
        <v>58048.668477896317</v>
      </c>
      <c r="Q1283" s="20">
        <f t="shared" si="82"/>
        <v>42366.749522103673</v>
      </c>
      <c r="R1283" s="22">
        <f t="shared" si="83"/>
        <v>0.42191478525841197</v>
      </c>
    </row>
    <row r="1284" spans="1:18">
      <c r="A1284" s="18">
        <v>2283</v>
      </c>
      <c r="B1284" s="19" t="s">
        <v>480</v>
      </c>
      <c r="C1284" s="18">
        <v>2025</v>
      </c>
      <c r="D1284" s="18" t="s">
        <v>39</v>
      </c>
      <c r="E1284" s="18" t="s">
        <v>85</v>
      </c>
      <c r="F1284" s="18" t="s">
        <v>86</v>
      </c>
      <c r="G1284" s="18" t="s">
        <v>44</v>
      </c>
      <c r="H1284" s="18" t="s">
        <v>114</v>
      </c>
      <c r="I1284" s="18" t="s">
        <v>49</v>
      </c>
      <c r="J1284" s="18" t="s">
        <v>82</v>
      </c>
      <c r="K1284" s="18">
        <v>5</v>
      </c>
      <c r="L1284" s="20">
        <v>8783.42</v>
      </c>
      <c r="M1284" s="21">
        <v>0.1</v>
      </c>
      <c r="N1284" s="21">
        <v>0.60290902866782603</v>
      </c>
      <c r="O1284" s="20">
        <f t="shared" si="80"/>
        <v>39525.39</v>
      </c>
      <c r="P1284" s="20">
        <f t="shared" si="81"/>
        <v>23830.214492617004</v>
      </c>
      <c r="Q1284" s="20">
        <f t="shared" si="82"/>
        <v>15695.175507382995</v>
      </c>
      <c r="R1284" s="22">
        <f t="shared" si="83"/>
        <v>0.39709097133217397</v>
      </c>
    </row>
    <row r="1285" spans="1:18">
      <c r="A1285" s="18">
        <v>2284</v>
      </c>
      <c r="B1285" s="19" t="s">
        <v>480</v>
      </c>
      <c r="C1285" s="18">
        <v>2025</v>
      </c>
      <c r="D1285" s="18" t="s">
        <v>39</v>
      </c>
      <c r="E1285" s="18" t="s">
        <v>85</v>
      </c>
      <c r="F1285" s="18" t="s">
        <v>121</v>
      </c>
      <c r="G1285" s="18" t="s">
        <v>47</v>
      </c>
      <c r="H1285" s="18" t="s">
        <v>107</v>
      </c>
      <c r="I1285" s="18" t="s">
        <v>60</v>
      </c>
      <c r="J1285" s="18" t="s">
        <v>91</v>
      </c>
      <c r="K1285" s="18">
        <v>11</v>
      </c>
      <c r="L1285" s="20">
        <v>2241.15</v>
      </c>
      <c r="M1285" s="21">
        <v>0</v>
      </c>
      <c r="N1285" s="21">
        <v>0.55734621874938195</v>
      </c>
      <c r="O1285" s="20">
        <f t="shared" si="80"/>
        <v>24652.65</v>
      </c>
      <c r="P1285" s="20">
        <f t="shared" si="81"/>
        <v>13740.061259651951</v>
      </c>
      <c r="Q1285" s="20">
        <f t="shared" si="82"/>
        <v>10912.58874034805</v>
      </c>
      <c r="R1285" s="22">
        <f t="shared" si="83"/>
        <v>0.44265378125061805</v>
      </c>
    </row>
    <row r="1286" spans="1:18">
      <c r="A1286" s="18">
        <v>2285</v>
      </c>
      <c r="B1286" s="19" t="s">
        <v>480</v>
      </c>
      <c r="C1286" s="18">
        <v>2025</v>
      </c>
      <c r="D1286" s="18" t="s">
        <v>39</v>
      </c>
      <c r="E1286" s="18" t="s">
        <v>85</v>
      </c>
      <c r="F1286" s="18" t="s">
        <v>86</v>
      </c>
      <c r="G1286" s="18" t="s">
        <v>44</v>
      </c>
      <c r="H1286" s="18" t="s">
        <v>95</v>
      </c>
      <c r="I1286" s="18" t="s">
        <v>56</v>
      </c>
      <c r="J1286" s="18" t="s">
        <v>91</v>
      </c>
      <c r="K1286" s="18">
        <v>11</v>
      </c>
      <c r="L1286" s="20">
        <v>4639.91</v>
      </c>
      <c r="M1286" s="21">
        <v>0.05</v>
      </c>
      <c r="N1286" s="21">
        <v>0.591489391538771</v>
      </c>
      <c r="O1286" s="20">
        <f t="shared" si="80"/>
        <v>48487.059499999996</v>
      </c>
      <c r="P1286" s="20">
        <f t="shared" si="81"/>
        <v>28679.581321159185</v>
      </c>
      <c r="Q1286" s="20">
        <f t="shared" si="82"/>
        <v>19807.478178840811</v>
      </c>
      <c r="R1286" s="22">
        <f t="shared" si="83"/>
        <v>0.408510608461229</v>
      </c>
    </row>
    <row r="1287" spans="1:18">
      <c r="A1287" s="18">
        <v>2286</v>
      </c>
      <c r="B1287" s="19" t="s">
        <v>480</v>
      </c>
      <c r="C1287" s="18">
        <v>2025</v>
      </c>
      <c r="D1287" s="18" t="s">
        <v>39</v>
      </c>
      <c r="E1287" s="18" t="s">
        <v>98</v>
      </c>
      <c r="F1287" s="18" t="s">
        <v>117</v>
      </c>
      <c r="G1287" s="18" t="s">
        <v>44</v>
      </c>
      <c r="H1287" s="18" t="s">
        <v>114</v>
      </c>
      <c r="I1287" s="18" t="s">
        <v>49</v>
      </c>
      <c r="J1287" s="18" t="s">
        <v>91</v>
      </c>
      <c r="K1287" s="18">
        <v>5</v>
      </c>
      <c r="L1287" s="20">
        <v>8578.2999999999993</v>
      </c>
      <c r="M1287" s="21">
        <v>0</v>
      </c>
      <c r="N1287" s="21">
        <v>0.65340596386541805</v>
      </c>
      <c r="O1287" s="20">
        <f t="shared" si="80"/>
        <v>42891.5</v>
      </c>
      <c r="P1287" s="20">
        <f t="shared" si="81"/>
        <v>28025.56189913358</v>
      </c>
      <c r="Q1287" s="20">
        <f t="shared" si="82"/>
        <v>14865.93810086642</v>
      </c>
      <c r="R1287" s="22">
        <f t="shared" si="83"/>
        <v>0.3465940361345819</v>
      </c>
    </row>
    <row r="1288" spans="1:18">
      <c r="A1288" s="18">
        <v>2287</v>
      </c>
      <c r="B1288" s="19" t="s">
        <v>481</v>
      </c>
      <c r="C1288" s="18">
        <v>2025</v>
      </c>
      <c r="D1288" s="18" t="s">
        <v>39</v>
      </c>
      <c r="E1288" s="18" t="s">
        <v>85</v>
      </c>
      <c r="F1288" s="18" t="s">
        <v>86</v>
      </c>
      <c r="G1288" s="18" t="s">
        <v>50</v>
      </c>
      <c r="H1288" s="18" t="s">
        <v>87</v>
      </c>
      <c r="I1288" s="18" t="s">
        <v>54</v>
      </c>
      <c r="J1288" s="18" t="s">
        <v>91</v>
      </c>
      <c r="K1288" s="18">
        <v>10</v>
      </c>
      <c r="L1288" s="20">
        <v>9384.01</v>
      </c>
      <c r="M1288" s="21">
        <v>0.15</v>
      </c>
      <c r="N1288" s="21">
        <v>0.73025497948206897</v>
      </c>
      <c r="O1288" s="20">
        <f t="shared" si="80"/>
        <v>79764.085000000006</v>
      </c>
      <c r="P1288" s="20">
        <f t="shared" si="81"/>
        <v>58248.120255081012</v>
      </c>
      <c r="Q1288" s="20">
        <f t="shared" si="82"/>
        <v>21515.964744918994</v>
      </c>
      <c r="R1288" s="22">
        <f t="shared" si="83"/>
        <v>0.26974502051793098</v>
      </c>
    </row>
    <row r="1289" spans="1:18">
      <c r="A1289" s="18">
        <v>2288</v>
      </c>
      <c r="B1289" s="19" t="s">
        <v>481</v>
      </c>
      <c r="C1289" s="18">
        <v>2025</v>
      </c>
      <c r="D1289" s="18" t="s">
        <v>39</v>
      </c>
      <c r="E1289" s="18" t="s">
        <v>98</v>
      </c>
      <c r="F1289" s="18" t="s">
        <v>99</v>
      </c>
      <c r="G1289" s="18" t="s">
        <v>41</v>
      </c>
      <c r="H1289" s="18" t="s">
        <v>106</v>
      </c>
      <c r="I1289" s="18" t="s">
        <v>40</v>
      </c>
      <c r="J1289" s="18" t="s">
        <v>82</v>
      </c>
      <c r="K1289" s="18">
        <v>7</v>
      </c>
      <c r="L1289" s="20">
        <v>2493.87</v>
      </c>
      <c r="M1289" s="21">
        <v>0.05</v>
      </c>
      <c r="N1289" s="21">
        <v>0.67957626268711702</v>
      </c>
      <c r="O1289" s="20">
        <f t="shared" si="80"/>
        <v>16584.235499999999</v>
      </c>
      <c r="P1289" s="20">
        <f t="shared" si="81"/>
        <v>11270.252780613011</v>
      </c>
      <c r="Q1289" s="20">
        <f t="shared" si="82"/>
        <v>5313.9827193869878</v>
      </c>
      <c r="R1289" s="22">
        <f t="shared" si="83"/>
        <v>0.32042373731288298</v>
      </c>
    </row>
    <row r="1290" spans="1:18">
      <c r="A1290" s="18">
        <v>2289</v>
      </c>
      <c r="B1290" s="19" t="s">
        <v>481</v>
      </c>
      <c r="C1290" s="18">
        <v>2025</v>
      </c>
      <c r="D1290" s="18" t="s">
        <v>39</v>
      </c>
      <c r="E1290" s="18" t="s">
        <v>79</v>
      </c>
      <c r="F1290" s="18" t="s">
        <v>100</v>
      </c>
      <c r="G1290" s="18" t="s">
        <v>47</v>
      </c>
      <c r="H1290" s="18" t="s">
        <v>107</v>
      </c>
      <c r="I1290" s="18" t="s">
        <v>46</v>
      </c>
      <c r="J1290" s="18" t="s">
        <v>91</v>
      </c>
      <c r="K1290" s="18">
        <v>9</v>
      </c>
      <c r="L1290" s="20">
        <v>2130.96</v>
      </c>
      <c r="M1290" s="21">
        <v>0</v>
      </c>
      <c r="N1290" s="21">
        <v>0.63780174226942898</v>
      </c>
      <c r="O1290" s="20">
        <f t="shared" si="80"/>
        <v>19178.64</v>
      </c>
      <c r="P1290" s="20">
        <f t="shared" si="81"/>
        <v>12232.170006358161</v>
      </c>
      <c r="Q1290" s="20">
        <f t="shared" si="82"/>
        <v>6946.4699936418383</v>
      </c>
      <c r="R1290" s="22">
        <f t="shared" si="83"/>
        <v>0.36219825773057102</v>
      </c>
    </row>
    <row r="1291" spans="1:18">
      <c r="A1291" s="18">
        <v>2290</v>
      </c>
      <c r="B1291" s="19" t="s">
        <v>482</v>
      </c>
      <c r="C1291" s="18">
        <v>2025</v>
      </c>
      <c r="D1291" s="18" t="s">
        <v>39</v>
      </c>
      <c r="E1291" s="18" t="s">
        <v>85</v>
      </c>
      <c r="F1291" s="18" t="s">
        <v>94</v>
      </c>
      <c r="G1291" s="18" t="s">
        <v>50</v>
      </c>
      <c r="H1291" s="18" t="s">
        <v>97</v>
      </c>
      <c r="I1291" s="18" t="s">
        <v>49</v>
      </c>
      <c r="J1291" s="18" t="s">
        <v>91</v>
      </c>
      <c r="K1291" s="18">
        <v>12</v>
      </c>
      <c r="L1291" s="20">
        <v>11847.86</v>
      </c>
      <c r="M1291" s="21">
        <v>0.05</v>
      </c>
      <c r="N1291" s="21">
        <v>0.646511518476242</v>
      </c>
      <c r="O1291" s="20">
        <f t="shared" si="80"/>
        <v>135065.60399999999</v>
      </c>
      <c r="P1291" s="20">
        <f t="shared" si="81"/>
        <v>87321.468735950781</v>
      </c>
      <c r="Q1291" s="20">
        <f t="shared" si="82"/>
        <v>47744.135264049211</v>
      </c>
      <c r="R1291" s="22">
        <f t="shared" si="83"/>
        <v>0.353488481523758</v>
      </c>
    </row>
    <row r="1292" spans="1:18">
      <c r="A1292" s="18">
        <v>2291</v>
      </c>
      <c r="B1292" s="19" t="s">
        <v>482</v>
      </c>
      <c r="C1292" s="18">
        <v>2025</v>
      </c>
      <c r="D1292" s="18" t="s">
        <v>39</v>
      </c>
      <c r="E1292" s="18" t="s">
        <v>85</v>
      </c>
      <c r="F1292" s="18" t="s">
        <v>121</v>
      </c>
      <c r="G1292" s="18" t="s">
        <v>41</v>
      </c>
      <c r="H1292" s="18" t="s">
        <v>101</v>
      </c>
      <c r="I1292" s="18" t="s">
        <v>60</v>
      </c>
      <c r="J1292" s="18" t="s">
        <v>82</v>
      </c>
      <c r="K1292" s="18">
        <v>7</v>
      </c>
      <c r="L1292" s="20">
        <v>54592.42</v>
      </c>
      <c r="M1292" s="21">
        <v>0.05</v>
      </c>
      <c r="N1292" s="21">
        <v>0.74079638805611103</v>
      </c>
      <c r="O1292" s="20">
        <f t="shared" si="80"/>
        <v>363039.59299999999</v>
      </c>
      <c r="P1292" s="20">
        <f t="shared" si="81"/>
        <v>268938.4192157606</v>
      </c>
      <c r="Q1292" s="20">
        <f t="shared" si="82"/>
        <v>94101.173784239392</v>
      </c>
      <c r="R1292" s="22">
        <f t="shared" si="83"/>
        <v>0.25920361194388897</v>
      </c>
    </row>
    <row r="1293" spans="1:18">
      <c r="A1293" s="18">
        <v>2292</v>
      </c>
      <c r="B1293" s="19" t="s">
        <v>482</v>
      </c>
      <c r="C1293" s="18">
        <v>2025</v>
      </c>
      <c r="D1293" s="18" t="s">
        <v>39</v>
      </c>
      <c r="E1293" s="18" t="s">
        <v>85</v>
      </c>
      <c r="F1293" s="18" t="s">
        <v>94</v>
      </c>
      <c r="G1293" s="18" t="s">
        <v>41</v>
      </c>
      <c r="H1293" s="18" t="s">
        <v>101</v>
      </c>
      <c r="I1293" s="18" t="s">
        <v>60</v>
      </c>
      <c r="J1293" s="18" t="s">
        <v>82</v>
      </c>
      <c r="K1293" s="18">
        <v>5</v>
      </c>
      <c r="L1293" s="20">
        <v>57126.27</v>
      </c>
      <c r="M1293" s="21">
        <v>0.2</v>
      </c>
      <c r="N1293" s="21">
        <v>0.738569266384967</v>
      </c>
      <c r="O1293" s="20">
        <f t="shared" si="80"/>
        <v>228505.08</v>
      </c>
      <c r="P1293" s="20">
        <f t="shared" si="81"/>
        <v>168766.82930083817</v>
      </c>
      <c r="Q1293" s="20">
        <f t="shared" si="82"/>
        <v>59738.250699161814</v>
      </c>
      <c r="R1293" s="22">
        <f t="shared" si="83"/>
        <v>0.26143073361503305</v>
      </c>
    </row>
    <row r="1294" spans="1:18">
      <c r="A1294" s="18">
        <v>2293</v>
      </c>
      <c r="B1294" s="19" t="s">
        <v>482</v>
      </c>
      <c r="C1294" s="18">
        <v>2025</v>
      </c>
      <c r="D1294" s="18" t="s">
        <v>39</v>
      </c>
      <c r="E1294" s="18" t="s">
        <v>88</v>
      </c>
      <c r="F1294" s="18" t="s">
        <v>93</v>
      </c>
      <c r="G1294" s="18" t="s">
        <v>44</v>
      </c>
      <c r="H1294" s="18" t="s">
        <v>119</v>
      </c>
      <c r="I1294" s="18" t="s">
        <v>54</v>
      </c>
      <c r="J1294" s="18" t="s">
        <v>82</v>
      </c>
      <c r="K1294" s="18">
        <v>2</v>
      </c>
      <c r="L1294" s="20">
        <v>6866.49</v>
      </c>
      <c r="M1294" s="21">
        <v>0</v>
      </c>
      <c r="N1294" s="21">
        <v>0.71029792479590004</v>
      </c>
      <c r="O1294" s="20">
        <f t="shared" si="80"/>
        <v>13732.98</v>
      </c>
      <c r="P1294" s="20">
        <f t="shared" si="81"/>
        <v>9754.507195263599</v>
      </c>
      <c r="Q1294" s="20">
        <f t="shared" si="82"/>
        <v>3978.4728047364006</v>
      </c>
      <c r="R1294" s="22">
        <f t="shared" si="83"/>
        <v>0.28970207520409996</v>
      </c>
    </row>
    <row r="1295" spans="1:18">
      <c r="A1295" s="18">
        <v>2294</v>
      </c>
      <c r="B1295" s="19" t="s">
        <v>482</v>
      </c>
      <c r="C1295" s="18">
        <v>2025</v>
      </c>
      <c r="D1295" s="18" t="s">
        <v>39</v>
      </c>
      <c r="E1295" s="18" t="s">
        <v>85</v>
      </c>
      <c r="F1295" s="18" t="s">
        <v>121</v>
      </c>
      <c r="G1295" s="18" t="s">
        <v>44</v>
      </c>
      <c r="H1295" s="18" t="s">
        <v>114</v>
      </c>
      <c r="I1295" s="18" t="s">
        <v>40</v>
      </c>
      <c r="J1295" s="18" t="s">
        <v>102</v>
      </c>
      <c r="K1295" s="18">
        <v>3</v>
      </c>
      <c r="L1295" s="20">
        <v>8730.3700000000008</v>
      </c>
      <c r="M1295" s="21">
        <v>0</v>
      </c>
      <c r="N1295" s="21">
        <v>0.61025646672774403</v>
      </c>
      <c r="O1295" s="20">
        <f t="shared" si="80"/>
        <v>26191.11</v>
      </c>
      <c r="P1295" s="20">
        <f t="shared" si="81"/>
        <v>15983.294248277683</v>
      </c>
      <c r="Q1295" s="20">
        <f t="shared" si="82"/>
        <v>10207.815751722317</v>
      </c>
      <c r="R1295" s="22">
        <f t="shared" si="83"/>
        <v>0.38974353327225603</v>
      </c>
    </row>
    <row r="1296" spans="1:18">
      <c r="A1296" s="18">
        <v>2295</v>
      </c>
      <c r="B1296" s="19" t="s">
        <v>483</v>
      </c>
      <c r="C1296" s="18">
        <v>2025</v>
      </c>
      <c r="D1296" s="18" t="s">
        <v>39</v>
      </c>
      <c r="E1296" s="18" t="s">
        <v>88</v>
      </c>
      <c r="F1296" s="18" t="s">
        <v>110</v>
      </c>
      <c r="G1296" s="18" t="s">
        <v>44</v>
      </c>
      <c r="H1296" s="18" t="s">
        <v>114</v>
      </c>
      <c r="I1296" s="18" t="s">
        <v>43</v>
      </c>
      <c r="J1296" s="18" t="s">
        <v>102</v>
      </c>
      <c r="K1296" s="18">
        <v>4</v>
      </c>
      <c r="L1296" s="20">
        <v>8688.7199999999993</v>
      </c>
      <c r="M1296" s="21">
        <v>0.15</v>
      </c>
      <c r="N1296" s="21">
        <v>0.71913367923439797</v>
      </c>
      <c r="O1296" s="20">
        <f t="shared" si="80"/>
        <v>29541.647999999997</v>
      </c>
      <c r="P1296" s="20">
        <f t="shared" si="81"/>
        <v>21244.394016887494</v>
      </c>
      <c r="Q1296" s="20">
        <f t="shared" si="82"/>
        <v>8297.2539831125032</v>
      </c>
      <c r="R1296" s="22">
        <f t="shared" si="83"/>
        <v>0.28086632076560197</v>
      </c>
    </row>
    <row r="1297" spans="1:18">
      <c r="A1297" s="18">
        <v>2296</v>
      </c>
      <c r="B1297" s="19" t="s">
        <v>483</v>
      </c>
      <c r="C1297" s="18">
        <v>2025</v>
      </c>
      <c r="D1297" s="18" t="s">
        <v>39</v>
      </c>
      <c r="E1297" s="18" t="s">
        <v>98</v>
      </c>
      <c r="F1297" s="18" t="s">
        <v>117</v>
      </c>
      <c r="G1297" s="18" t="s">
        <v>50</v>
      </c>
      <c r="H1297" s="18" t="s">
        <v>83</v>
      </c>
      <c r="I1297" s="18" t="s">
        <v>54</v>
      </c>
      <c r="J1297" s="18" t="s">
        <v>82</v>
      </c>
      <c r="K1297" s="18">
        <v>8</v>
      </c>
      <c r="L1297" s="20">
        <v>3517.44</v>
      </c>
      <c r="M1297" s="21">
        <v>0.1</v>
      </c>
      <c r="N1297" s="21">
        <v>0.68975594969465104</v>
      </c>
      <c r="O1297" s="20">
        <f t="shared" si="80"/>
        <v>25325.567999999999</v>
      </c>
      <c r="P1297" s="20">
        <f t="shared" si="81"/>
        <v>17468.461207396464</v>
      </c>
      <c r="Q1297" s="20">
        <f t="shared" si="82"/>
        <v>7857.1067926035357</v>
      </c>
      <c r="R1297" s="22">
        <f t="shared" si="83"/>
        <v>0.31024405030534896</v>
      </c>
    </row>
    <row r="1298" spans="1:18">
      <c r="A1298" s="18">
        <v>2297</v>
      </c>
      <c r="B1298" s="19" t="s">
        <v>484</v>
      </c>
      <c r="C1298" s="18">
        <v>2025</v>
      </c>
      <c r="D1298" s="18" t="s">
        <v>39</v>
      </c>
      <c r="E1298" s="18" t="s">
        <v>85</v>
      </c>
      <c r="F1298" s="18" t="s">
        <v>121</v>
      </c>
      <c r="G1298" s="18" t="s">
        <v>44</v>
      </c>
      <c r="H1298" s="18" t="s">
        <v>119</v>
      </c>
      <c r="I1298" s="18" t="s">
        <v>56</v>
      </c>
      <c r="J1298" s="18" t="s">
        <v>82</v>
      </c>
      <c r="K1298" s="18">
        <v>6</v>
      </c>
      <c r="L1298" s="20">
        <v>7184.13</v>
      </c>
      <c r="M1298" s="21">
        <v>0</v>
      </c>
      <c r="N1298" s="21">
        <v>0.62997671182939496</v>
      </c>
      <c r="O1298" s="20">
        <f t="shared" si="80"/>
        <v>43104.78</v>
      </c>
      <c r="P1298" s="20">
        <f t="shared" si="81"/>
        <v>27155.007568529465</v>
      </c>
      <c r="Q1298" s="20">
        <f t="shared" si="82"/>
        <v>15949.772431470534</v>
      </c>
      <c r="R1298" s="22">
        <f t="shared" si="83"/>
        <v>0.37002328817060509</v>
      </c>
    </row>
    <row r="1299" spans="1:18">
      <c r="A1299" s="18">
        <v>2298</v>
      </c>
      <c r="B1299" s="19" t="s">
        <v>484</v>
      </c>
      <c r="C1299" s="18">
        <v>2025</v>
      </c>
      <c r="D1299" s="18" t="s">
        <v>39</v>
      </c>
      <c r="E1299" s="18" t="s">
        <v>98</v>
      </c>
      <c r="F1299" s="18" t="s">
        <v>109</v>
      </c>
      <c r="G1299" s="18" t="s">
        <v>50</v>
      </c>
      <c r="H1299" s="18" t="s">
        <v>87</v>
      </c>
      <c r="I1299" s="18" t="s">
        <v>56</v>
      </c>
      <c r="J1299" s="18" t="s">
        <v>102</v>
      </c>
      <c r="K1299" s="18">
        <v>2</v>
      </c>
      <c r="L1299" s="20">
        <v>9354.52</v>
      </c>
      <c r="M1299" s="21">
        <v>0.2</v>
      </c>
      <c r="N1299" s="21">
        <v>0.69808582361076099</v>
      </c>
      <c r="O1299" s="20">
        <f t="shared" si="80"/>
        <v>14967.232000000002</v>
      </c>
      <c r="P1299" s="20">
        <f t="shared" si="81"/>
        <v>10448.412477893338</v>
      </c>
      <c r="Q1299" s="20">
        <f t="shared" si="82"/>
        <v>4518.8195221066635</v>
      </c>
      <c r="R1299" s="22">
        <f t="shared" si="83"/>
        <v>0.30191417638923901</v>
      </c>
    </row>
    <row r="1300" spans="1:18">
      <c r="A1300" s="18">
        <v>2299</v>
      </c>
      <c r="B1300" s="19" t="s">
        <v>484</v>
      </c>
      <c r="C1300" s="18">
        <v>2025</v>
      </c>
      <c r="D1300" s="18" t="s">
        <v>39</v>
      </c>
      <c r="E1300" s="18" t="s">
        <v>79</v>
      </c>
      <c r="F1300" s="18" t="s">
        <v>100</v>
      </c>
      <c r="G1300" s="18" t="s">
        <v>44</v>
      </c>
      <c r="H1300" s="18" t="s">
        <v>119</v>
      </c>
      <c r="I1300" s="18" t="s">
        <v>54</v>
      </c>
      <c r="J1300" s="18" t="s">
        <v>91</v>
      </c>
      <c r="K1300" s="18">
        <v>6</v>
      </c>
      <c r="L1300" s="20">
        <v>7001.02</v>
      </c>
      <c r="M1300" s="21">
        <v>0</v>
      </c>
      <c r="N1300" s="21">
        <v>0.67211330473299402</v>
      </c>
      <c r="O1300" s="20">
        <f t="shared" si="80"/>
        <v>42006.12</v>
      </c>
      <c r="P1300" s="20">
        <f t="shared" si="81"/>
        <v>28232.872132210716</v>
      </c>
      <c r="Q1300" s="20">
        <f t="shared" si="82"/>
        <v>13773.247867789287</v>
      </c>
      <c r="R1300" s="22">
        <f t="shared" si="83"/>
        <v>0.32788669526700598</v>
      </c>
    </row>
    <row r="1301" spans="1:18">
      <c r="A1301" s="18">
        <v>2300</v>
      </c>
      <c r="B1301" s="19" t="s">
        <v>484</v>
      </c>
      <c r="C1301" s="18">
        <v>2025</v>
      </c>
      <c r="D1301" s="18" t="s">
        <v>39</v>
      </c>
      <c r="E1301" s="18" t="s">
        <v>85</v>
      </c>
      <c r="F1301" s="18" t="s">
        <v>86</v>
      </c>
      <c r="G1301" s="18" t="s">
        <v>44</v>
      </c>
      <c r="H1301" s="18" t="s">
        <v>119</v>
      </c>
      <c r="I1301" s="18" t="s">
        <v>58</v>
      </c>
      <c r="J1301" s="18" t="s">
        <v>82</v>
      </c>
      <c r="K1301" s="18">
        <v>1</v>
      </c>
      <c r="L1301" s="20">
        <v>6797.86</v>
      </c>
      <c r="M1301" s="21">
        <v>0.1</v>
      </c>
      <c r="N1301" s="21">
        <v>0.56857007047472397</v>
      </c>
      <c r="O1301" s="20">
        <f t="shared" si="80"/>
        <v>6118.0739999999996</v>
      </c>
      <c r="P1301" s="20">
        <f t="shared" si="81"/>
        <v>3478.5537653495762</v>
      </c>
      <c r="Q1301" s="20">
        <f t="shared" si="82"/>
        <v>2639.5202346504234</v>
      </c>
      <c r="R1301" s="22">
        <f t="shared" si="83"/>
        <v>0.43142992952527603</v>
      </c>
    </row>
    <row r="1302" spans="1:18">
      <c r="A1302" s="18">
        <v>2301</v>
      </c>
      <c r="B1302" s="19" t="s">
        <v>484</v>
      </c>
      <c r="C1302" s="18">
        <v>2025</v>
      </c>
      <c r="D1302" s="18" t="s">
        <v>39</v>
      </c>
      <c r="E1302" s="18" t="s">
        <v>85</v>
      </c>
      <c r="F1302" s="18" t="s">
        <v>94</v>
      </c>
      <c r="G1302" s="18" t="s">
        <v>44</v>
      </c>
      <c r="H1302" s="18" t="s">
        <v>114</v>
      </c>
      <c r="I1302" s="18" t="s">
        <v>46</v>
      </c>
      <c r="J1302" s="18" t="s">
        <v>91</v>
      </c>
      <c r="K1302" s="18">
        <v>5</v>
      </c>
      <c r="L1302" s="20">
        <v>8898.1299999999992</v>
      </c>
      <c r="M1302" s="21">
        <v>0.1</v>
      </c>
      <c r="N1302" s="21">
        <v>0.55696533212217603</v>
      </c>
      <c r="O1302" s="20">
        <f t="shared" si="80"/>
        <v>40041.584999999999</v>
      </c>
      <c r="P1302" s="20">
        <f t="shared" si="81"/>
        <v>22301.77468822334</v>
      </c>
      <c r="Q1302" s="20">
        <f t="shared" si="82"/>
        <v>17739.810311776659</v>
      </c>
      <c r="R1302" s="22">
        <f t="shared" si="83"/>
        <v>0.44303466787782397</v>
      </c>
    </row>
    <row r="1303" spans="1:18">
      <c r="A1303" s="18">
        <v>2302</v>
      </c>
      <c r="B1303" s="19" t="s">
        <v>485</v>
      </c>
      <c r="C1303" s="18">
        <v>2025</v>
      </c>
      <c r="D1303" s="18" t="s">
        <v>39</v>
      </c>
      <c r="E1303" s="18" t="s">
        <v>88</v>
      </c>
      <c r="F1303" s="18" t="s">
        <v>110</v>
      </c>
      <c r="G1303" s="18" t="s">
        <v>50</v>
      </c>
      <c r="H1303" s="18" t="s">
        <v>87</v>
      </c>
      <c r="I1303" s="18" t="s">
        <v>60</v>
      </c>
      <c r="J1303" s="18" t="s">
        <v>82</v>
      </c>
      <c r="K1303" s="18">
        <v>8</v>
      </c>
      <c r="L1303" s="20">
        <v>9790.92</v>
      </c>
      <c r="M1303" s="21">
        <v>0.05</v>
      </c>
      <c r="N1303" s="21">
        <v>0.68721312393645995</v>
      </c>
      <c r="O1303" s="20">
        <f t="shared" si="80"/>
        <v>74410.991999999998</v>
      </c>
      <c r="P1303" s="20">
        <f t="shared" si="81"/>
        <v>51136.210267530929</v>
      </c>
      <c r="Q1303" s="20">
        <f t="shared" si="82"/>
        <v>23274.78173246907</v>
      </c>
      <c r="R1303" s="22">
        <f t="shared" si="83"/>
        <v>0.31278687606354005</v>
      </c>
    </row>
    <row r="1304" spans="1:18">
      <c r="A1304" s="18">
        <v>2303</v>
      </c>
      <c r="B1304" s="19" t="s">
        <v>485</v>
      </c>
      <c r="C1304" s="18">
        <v>2025</v>
      </c>
      <c r="D1304" s="18" t="s">
        <v>39</v>
      </c>
      <c r="E1304" s="18" t="s">
        <v>79</v>
      </c>
      <c r="F1304" s="18" t="s">
        <v>80</v>
      </c>
      <c r="G1304" s="18" t="s">
        <v>50</v>
      </c>
      <c r="H1304" s="18" t="s">
        <v>83</v>
      </c>
      <c r="I1304" s="18" t="s">
        <v>46</v>
      </c>
      <c r="J1304" s="18" t="s">
        <v>91</v>
      </c>
      <c r="K1304" s="18">
        <v>3</v>
      </c>
      <c r="L1304" s="20">
        <v>3526.14</v>
      </c>
      <c r="M1304" s="21">
        <v>0.1</v>
      </c>
      <c r="N1304" s="21">
        <v>0.687259729884106</v>
      </c>
      <c r="O1304" s="20">
        <f t="shared" si="80"/>
        <v>9520.5779999999995</v>
      </c>
      <c r="P1304" s="20">
        <f t="shared" si="81"/>
        <v>6543.1098646205619</v>
      </c>
      <c r="Q1304" s="20">
        <f t="shared" si="82"/>
        <v>2977.4681353794376</v>
      </c>
      <c r="R1304" s="22">
        <f t="shared" si="83"/>
        <v>0.312740270115894</v>
      </c>
    </row>
    <row r="1305" spans="1:18">
      <c r="A1305" s="18">
        <v>2304</v>
      </c>
      <c r="B1305" s="19" t="s">
        <v>485</v>
      </c>
      <c r="C1305" s="18">
        <v>2025</v>
      </c>
      <c r="D1305" s="18" t="s">
        <v>39</v>
      </c>
      <c r="E1305" s="18" t="s">
        <v>79</v>
      </c>
      <c r="F1305" s="18" t="s">
        <v>105</v>
      </c>
      <c r="G1305" s="18" t="s">
        <v>50</v>
      </c>
      <c r="H1305" s="18" t="s">
        <v>97</v>
      </c>
      <c r="I1305" s="18" t="s">
        <v>40</v>
      </c>
      <c r="J1305" s="18" t="s">
        <v>91</v>
      </c>
      <c r="K1305" s="18">
        <v>7</v>
      </c>
      <c r="L1305" s="20">
        <v>11710.38</v>
      </c>
      <c r="M1305" s="21">
        <v>0.2</v>
      </c>
      <c r="N1305" s="21">
        <v>0.573191683893854</v>
      </c>
      <c r="O1305" s="20">
        <f t="shared" si="80"/>
        <v>65578.127999999997</v>
      </c>
      <c r="P1305" s="20">
        <f t="shared" si="81"/>
        <v>37588.837614926691</v>
      </c>
      <c r="Q1305" s="20">
        <f t="shared" si="82"/>
        <v>27989.290385073306</v>
      </c>
      <c r="R1305" s="22">
        <f t="shared" si="83"/>
        <v>0.42680831610614606</v>
      </c>
    </row>
    <row r="1306" spans="1:18">
      <c r="A1306" s="18">
        <v>2305</v>
      </c>
      <c r="B1306" s="19" t="s">
        <v>485</v>
      </c>
      <c r="C1306" s="18">
        <v>2025</v>
      </c>
      <c r="D1306" s="18" t="s">
        <v>39</v>
      </c>
      <c r="E1306" s="18" t="s">
        <v>85</v>
      </c>
      <c r="F1306" s="18" t="s">
        <v>94</v>
      </c>
      <c r="G1306" s="18" t="s">
        <v>47</v>
      </c>
      <c r="H1306" s="18" t="s">
        <v>107</v>
      </c>
      <c r="I1306" s="18" t="s">
        <v>54</v>
      </c>
      <c r="J1306" s="18" t="s">
        <v>102</v>
      </c>
      <c r="K1306" s="18">
        <v>6</v>
      </c>
      <c r="L1306" s="20">
        <v>2114.5700000000002</v>
      </c>
      <c r="M1306" s="21">
        <v>0</v>
      </c>
      <c r="N1306" s="21">
        <v>0.74614690158376895</v>
      </c>
      <c r="O1306" s="20">
        <f t="shared" si="80"/>
        <v>12687.420000000002</v>
      </c>
      <c r="P1306" s="20">
        <f t="shared" si="81"/>
        <v>9466.679122091944</v>
      </c>
      <c r="Q1306" s="20">
        <f t="shared" si="82"/>
        <v>3220.7408779080579</v>
      </c>
      <c r="R1306" s="22">
        <f t="shared" si="83"/>
        <v>0.25385309841623099</v>
      </c>
    </row>
    <row r="1307" spans="1:18">
      <c r="A1307" s="18">
        <v>2306</v>
      </c>
      <c r="B1307" s="19" t="s">
        <v>485</v>
      </c>
      <c r="C1307" s="18">
        <v>2025</v>
      </c>
      <c r="D1307" s="18" t="s">
        <v>39</v>
      </c>
      <c r="E1307" s="18" t="s">
        <v>85</v>
      </c>
      <c r="F1307" s="18" t="s">
        <v>94</v>
      </c>
      <c r="G1307" s="18" t="s">
        <v>41</v>
      </c>
      <c r="H1307" s="18" t="s">
        <v>101</v>
      </c>
      <c r="I1307" s="18" t="s">
        <v>40</v>
      </c>
      <c r="J1307" s="18" t="s">
        <v>91</v>
      </c>
      <c r="K1307" s="18">
        <v>12</v>
      </c>
      <c r="L1307" s="20">
        <v>55495.839999999997</v>
      </c>
      <c r="M1307" s="21">
        <v>0</v>
      </c>
      <c r="N1307" s="21">
        <v>0.65297925742393004</v>
      </c>
      <c r="O1307" s="20">
        <f t="shared" si="80"/>
        <v>665950.07999999996</v>
      </c>
      <c r="P1307" s="20">
        <f t="shared" si="81"/>
        <v>434851.58871980675</v>
      </c>
      <c r="Q1307" s="20">
        <f t="shared" si="82"/>
        <v>231098.49128019321</v>
      </c>
      <c r="R1307" s="22">
        <f t="shared" si="83"/>
        <v>0.34702074257607002</v>
      </c>
    </row>
    <row r="1308" spans="1:18">
      <c r="A1308" s="18">
        <v>2307</v>
      </c>
      <c r="B1308" s="19" t="s">
        <v>486</v>
      </c>
      <c r="C1308" s="18">
        <v>2025</v>
      </c>
      <c r="D1308" s="18" t="s">
        <v>39</v>
      </c>
      <c r="E1308" s="18" t="s">
        <v>85</v>
      </c>
      <c r="F1308" s="18" t="s">
        <v>86</v>
      </c>
      <c r="G1308" s="18" t="s">
        <v>50</v>
      </c>
      <c r="H1308" s="18" t="s">
        <v>97</v>
      </c>
      <c r="I1308" s="18" t="s">
        <v>40</v>
      </c>
      <c r="J1308" s="18" t="s">
        <v>82</v>
      </c>
      <c r="K1308" s="18">
        <v>8</v>
      </c>
      <c r="L1308" s="20">
        <v>11952.3</v>
      </c>
      <c r="M1308" s="21">
        <v>0</v>
      </c>
      <c r="N1308" s="21">
        <v>0.72783318698306099</v>
      </c>
      <c r="O1308" s="20">
        <f t="shared" si="80"/>
        <v>95618.4</v>
      </c>
      <c r="P1308" s="20">
        <f t="shared" si="81"/>
        <v>69594.244806221119</v>
      </c>
      <c r="Q1308" s="20">
        <f t="shared" si="82"/>
        <v>26024.155193778875</v>
      </c>
      <c r="R1308" s="22">
        <f t="shared" si="83"/>
        <v>0.27216681301693896</v>
      </c>
    </row>
    <row r="1309" spans="1:18">
      <c r="A1309" s="18">
        <v>2308</v>
      </c>
      <c r="B1309" s="19" t="s">
        <v>486</v>
      </c>
      <c r="C1309" s="18">
        <v>2025</v>
      </c>
      <c r="D1309" s="18" t="s">
        <v>39</v>
      </c>
      <c r="E1309" s="18" t="s">
        <v>98</v>
      </c>
      <c r="F1309" s="18" t="s">
        <v>109</v>
      </c>
      <c r="G1309" s="18" t="s">
        <v>50</v>
      </c>
      <c r="H1309" s="18" t="s">
        <v>97</v>
      </c>
      <c r="I1309" s="18" t="s">
        <v>52</v>
      </c>
      <c r="J1309" s="18" t="s">
        <v>82</v>
      </c>
      <c r="K1309" s="18">
        <v>9</v>
      </c>
      <c r="L1309" s="20">
        <v>11720.68</v>
      </c>
      <c r="M1309" s="21">
        <v>0.05</v>
      </c>
      <c r="N1309" s="21">
        <v>0.62137707235971096</v>
      </c>
      <c r="O1309" s="20">
        <f t="shared" si="80"/>
        <v>100211.81399999998</v>
      </c>
      <c r="P1309" s="20">
        <f t="shared" si="81"/>
        <v>62269.323599175885</v>
      </c>
      <c r="Q1309" s="20">
        <f t="shared" si="82"/>
        <v>37942.490400824099</v>
      </c>
      <c r="R1309" s="22">
        <f t="shared" si="83"/>
        <v>0.37862292764028904</v>
      </c>
    </row>
    <row r="1310" spans="1:18">
      <c r="A1310" s="18">
        <v>2309</v>
      </c>
      <c r="B1310" s="19" t="s">
        <v>486</v>
      </c>
      <c r="C1310" s="18">
        <v>2025</v>
      </c>
      <c r="D1310" s="18" t="s">
        <v>39</v>
      </c>
      <c r="E1310" s="18" t="s">
        <v>79</v>
      </c>
      <c r="F1310" s="18" t="s">
        <v>105</v>
      </c>
      <c r="G1310" s="18" t="s">
        <v>47</v>
      </c>
      <c r="H1310" s="18" t="s">
        <v>107</v>
      </c>
      <c r="I1310" s="18" t="s">
        <v>40</v>
      </c>
      <c r="J1310" s="18" t="s">
        <v>102</v>
      </c>
      <c r="K1310" s="18">
        <v>2</v>
      </c>
      <c r="L1310" s="20">
        <v>2168.59</v>
      </c>
      <c r="M1310" s="21">
        <v>0</v>
      </c>
      <c r="N1310" s="21">
        <v>0.65625370701950803</v>
      </c>
      <c r="O1310" s="20">
        <f t="shared" si="80"/>
        <v>4337.18</v>
      </c>
      <c r="P1310" s="20">
        <f t="shared" si="81"/>
        <v>2846.2904530108699</v>
      </c>
      <c r="Q1310" s="20">
        <f t="shared" si="82"/>
        <v>1490.8895469891304</v>
      </c>
      <c r="R1310" s="22">
        <f t="shared" si="83"/>
        <v>0.34374629298049197</v>
      </c>
    </row>
    <row r="1311" spans="1:18">
      <c r="A1311" s="18">
        <v>2310</v>
      </c>
      <c r="B1311" s="19" t="s">
        <v>486</v>
      </c>
      <c r="C1311" s="18">
        <v>2025</v>
      </c>
      <c r="D1311" s="18" t="s">
        <v>39</v>
      </c>
      <c r="E1311" s="18" t="s">
        <v>85</v>
      </c>
      <c r="F1311" s="18" t="s">
        <v>86</v>
      </c>
      <c r="G1311" s="18" t="s">
        <v>44</v>
      </c>
      <c r="H1311" s="18" t="s">
        <v>119</v>
      </c>
      <c r="I1311" s="18" t="s">
        <v>60</v>
      </c>
      <c r="J1311" s="18" t="s">
        <v>82</v>
      </c>
      <c r="K1311" s="18">
        <v>3</v>
      </c>
      <c r="L1311" s="20">
        <v>7158.75</v>
      </c>
      <c r="M1311" s="21">
        <v>0.2</v>
      </c>
      <c r="N1311" s="21">
        <v>0.64869005893334797</v>
      </c>
      <c r="O1311" s="20">
        <f t="shared" si="80"/>
        <v>17181</v>
      </c>
      <c r="P1311" s="20">
        <f t="shared" si="81"/>
        <v>11145.143902533851</v>
      </c>
      <c r="Q1311" s="20">
        <f t="shared" si="82"/>
        <v>6035.8560974661486</v>
      </c>
      <c r="R1311" s="22">
        <f t="shared" si="83"/>
        <v>0.35130994106665203</v>
      </c>
    </row>
    <row r="1312" spans="1:18">
      <c r="A1312" s="18">
        <v>2311</v>
      </c>
      <c r="B1312" s="19" t="s">
        <v>486</v>
      </c>
      <c r="C1312" s="18">
        <v>2025</v>
      </c>
      <c r="D1312" s="18" t="s">
        <v>39</v>
      </c>
      <c r="E1312" s="18" t="s">
        <v>98</v>
      </c>
      <c r="F1312" s="18" t="s">
        <v>109</v>
      </c>
      <c r="G1312" s="18" t="s">
        <v>50</v>
      </c>
      <c r="H1312" s="18" t="s">
        <v>87</v>
      </c>
      <c r="I1312" s="18" t="s">
        <v>62</v>
      </c>
      <c r="J1312" s="18" t="s">
        <v>82</v>
      </c>
      <c r="K1312" s="18">
        <v>12</v>
      </c>
      <c r="L1312" s="20">
        <v>9804.4599999999991</v>
      </c>
      <c r="M1312" s="21">
        <v>0.15</v>
      </c>
      <c r="N1312" s="21">
        <v>0.64168391382789802</v>
      </c>
      <c r="O1312" s="20">
        <f t="shared" si="80"/>
        <v>100005.49199999998</v>
      </c>
      <c r="P1312" s="20">
        <f t="shared" si="81"/>
        <v>64171.915510844534</v>
      </c>
      <c r="Q1312" s="20">
        <f t="shared" si="82"/>
        <v>35833.57648915545</v>
      </c>
      <c r="R1312" s="22">
        <f t="shared" si="83"/>
        <v>0.35831608617210198</v>
      </c>
    </row>
    <row r="1313" spans="1:18">
      <c r="A1313" s="18">
        <v>2312</v>
      </c>
      <c r="B1313" s="19" t="s">
        <v>487</v>
      </c>
      <c r="C1313" s="18">
        <v>2025</v>
      </c>
      <c r="D1313" s="18" t="s">
        <v>39</v>
      </c>
      <c r="E1313" s="18" t="s">
        <v>98</v>
      </c>
      <c r="F1313" s="18" t="s">
        <v>109</v>
      </c>
      <c r="G1313" s="18" t="s">
        <v>41</v>
      </c>
      <c r="H1313" s="18" t="s">
        <v>101</v>
      </c>
      <c r="I1313" s="18" t="s">
        <v>62</v>
      </c>
      <c r="J1313" s="18" t="s">
        <v>102</v>
      </c>
      <c r="K1313" s="18">
        <v>11</v>
      </c>
      <c r="L1313" s="20">
        <v>56718.62</v>
      </c>
      <c r="M1313" s="21">
        <v>0</v>
      </c>
      <c r="N1313" s="21">
        <v>0.62638259904478799</v>
      </c>
      <c r="O1313" s="20">
        <f t="shared" si="80"/>
        <v>623904.82000000007</v>
      </c>
      <c r="P1313" s="20">
        <f t="shared" si="81"/>
        <v>390803.12270817067</v>
      </c>
      <c r="Q1313" s="20">
        <f t="shared" si="82"/>
        <v>233101.69729182939</v>
      </c>
      <c r="R1313" s="22">
        <f t="shared" si="83"/>
        <v>0.37361740095521201</v>
      </c>
    </row>
    <row r="1314" spans="1:18">
      <c r="A1314" s="18">
        <v>2313</v>
      </c>
      <c r="B1314" s="19" t="s">
        <v>487</v>
      </c>
      <c r="C1314" s="18">
        <v>2025</v>
      </c>
      <c r="D1314" s="18" t="s">
        <v>39</v>
      </c>
      <c r="E1314" s="18" t="s">
        <v>79</v>
      </c>
      <c r="F1314" s="18" t="s">
        <v>105</v>
      </c>
      <c r="G1314" s="18" t="s">
        <v>47</v>
      </c>
      <c r="H1314" s="18" t="s">
        <v>107</v>
      </c>
      <c r="I1314" s="18" t="s">
        <v>56</v>
      </c>
      <c r="J1314" s="18" t="s">
        <v>82</v>
      </c>
      <c r="K1314" s="18">
        <v>3</v>
      </c>
      <c r="L1314" s="20">
        <v>2299.08</v>
      </c>
      <c r="M1314" s="21">
        <v>0.05</v>
      </c>
      <c r="N1314" s="21">
        <v>0.69431879170670396</v>
      </c>
      <c r="O1314" s="20">
        <f t="shared" si="80"/>
        <v>6552.3779999999997</v>
      </c>
      <c r="P1314" s="20">
        <f t="shared" si="81"/>
        <v>4549.4391757655894</v>
      </c>
      <c r="Q1314" s="20">
        <f t="shared" si="82"/>
        <v>2002.9388242344103</v>
      </c>
      <c r="R1314" s="22">
        <f t="shared" si="83"/>
        <v>0.30568120829329604</v>
      </c>
    </row>
    <row r="1315" spans="1:18">
      <c r="A1315" s="18">
        <v>2314</v>
      </c>
      <c r="B1315" s="19" t="s">
        <v>488</v>
      </c>
      <c r="C1315" s="18">
        <v>2025</v>
      </c>
      <c r="D1315" s="18" t="s">
        <v>39</v>
      </c>
      <c r="E1315" s="18" t="s">
        <v>85</v>
      </c>
      <c r="F1315" s="18" t="s">
        <v>86</v>
      </c>
      <c r="G1315" s="18" t="s">
        <v>44</v>
      </c>
      <c r="H1315" s="18" t="s">
        <v>95</v>
      </c>
      <c r="I1315" s="18" t="s">
        <v>52</v>
      </c>
      <c r="J1315" s="18" t="s">
        <v>91</v>
      </c>
      <c r="K1315" s="18">
        <v>10</v>
      </c>
      <c r="L1315" s="20">
        <v>4506.32</v>
      </c>
      <c r="M1315" s="21">
        <v>0</v>
      </c>
      <c r="N1315" s="21">
        <v>0.68885142773233998</v>
      </c>
      <c r="O1315" s="20">
        <f t="shared" si="80"/>
        <v>45063.199999999997</v>
      </c>
      <c r="P1315" s="20">
        <f t="shared" si="81"/>
        <v>31041.849658187981</v>
      </c>
      <c r="Q1315" s="20">
        <f t="shared" si="82"/>
        <v>14021.350341812016</v>
      </c>
      <c r="R1315" s="22">
        <f t="shared" si="83"/>
        <v>0.31114857226766002</v>
      </c>
    </row>
    <row r="1316" spans="1:18">
      <c r="A1316" s="18">
        <v>2315</v>
      </c>
      <c r="B1316" s="19" t="s">
        <v>488</v>
      </c>
      <c r="C1316" s="18">
        <v>2025</v>
      </c>
      <c r="D1316" s="18" t="s">
        <v>39</v>
      </c>
      <c r="E1316" s="18" t="s">
        <v>79</v>
      </c>
      <c r="F1316" s="18" t="s">
        <v>105</v>
      </c>
      <c r="G1316" s="18" t="s">
        <v>50</v>
      </c>
      <c r="H1316" s="18" t="s">
        <v>83</v>
      </c>
      <c r="I1316" s="18" t="s">
        <v>56</v>
      </c>
      <c r="J1316" s="18" t="s">
        <v>91</v>
      </c>
      <c r="K1316" s="18">
        <v>12</v>
      </c>
      <c r="L1316" s="20">
        <v>3566.1</v>
      </c>
      <c r="M1316" s="21">
        <v>0</v>
      </c>
      <c r="N1316" s="21">
        <v>0.605370762201493</v>
      </c>
      <c r="O1316" s="20">
        <f t="shared" si="80"/>
        <v>42793.2</v>
      </c>
      <c r="P1316" s="20">
        <f t="shared" si="81"/>
        <v>25905.752101040929</v>
      </c>
      <c r="Q1316" s="20">
        <f t="shared" si="82"/>
        <v>16887.447898959068</v>
      </c>
      <c r="R1316" s="22">
        <f t="shared" si="83"/>
        <v>0.394629237798507</v>
      </c>
    </row>
    <row r="1317" spans="1:18">
      <c r="A1317" s="18">
        <v>2316</v>
      </c>
      <c r="B1317" s="19" t="s">
        <v>489</v>
      </c>
      <c r="C1317" s="18">
        <v>2025</v>
      </c>
      <c r="D1317" s="18" t="s">
        <v>39</v>
      </c>
      <c r="E1317" s="18" t="s">
        <v>85</v>
      </c>
      <c r="F1317" s="18" t="s">
        <v>86</v>
      </c>
      <c r="G1317" s="18" t="s">
        <v>47</v>
      </c>
      <c r="H1317" s="18" t="s">
        <v>107</v>
      </c>
      <c r="I1317" s="18" t="s">
        <v>40</v>
      </c>
      <c r="J1317" s="18" t="s">
        <v>91</v>
      </c>
      <c r="K1317" s="18">
        <v>4</v>
      </c>
      <c r="L1317" s="20">
        <v>2094.12</v>
      </c>
      <c r="M1317" s="21">
        <v>0.1</v>
      </c>
      <c r="N1317" s="21">
        <v>0.681442557468663</v>
      </c>
      <c r="O1317" s="20">
        <f t="shared" si="80"/>
        <v>7538.8319999999994</v>
      </c>
      <c r="P1317" s="20">
        <f t="shared" si="81"/>
        <v>5137.2809584065953</v>
      </c>
      <c r="Q1317" s="20">
        <f t="shared" si="82"/>
        <v>2401.5510415934041</v>
      </c>
      <c r="R1317" s="22">
        <f t="shared" si="83"/>
        <v>0.318557442531337</v>
      </c>
    </row>
    <row r="1318" spans="1:18">
      <c r="A1318" s="18">
        <v>2317</v>
      </c>
      <c r="B1318" s="19" t="s">
        <v>489</v>
      </c>
      <c r="C1318" s="18">
        <v>2025</v>
      </c>
      <c r="D1318" s="18" t="s">
        <v>39</v>
      </c>
      <c r="E1318" s="18" t="s">
        <v>98</v>
      </c>
      <c r="F1318" s="18" t="s">
        <v>109</v>
      </c>
      <c r="G1318" s="18" t="s">
        <v>50</v>
      </c>
      <c r="H1318" s="18" t="s">
        <v>87</v>
      </c>
      <c r="I1318" s="18" t="s">
        <v>54</v>
      </c>
      <c r="J1318" s="18" t="s">
        <v>82</v>
      </c>
      <c r="K1318" s="18">
        <v>4</v>
      </c>
      <c r="L1318" s="20">
        <v>9238.58</v>
      </c>
      <c r="M1318" s="21">
        <v>0.2</v>
      </c>
      <c r="N1318" s="21">
        <v>0.61492176684894795</v>
      </c>
      <c r="O1318" s="20">
        <f t="shared" si="80"/>
        <v>29563.456000000002</v>
      </c>
      <c r="P1318" s="20">
        <f t="shared" si="81"/>
        <v>18179.212597681133</v>
      </c>
      <c r="Q1318" s="20">
        <f t="shared" si="82"/>
        <v>11384.243402318869</v>
      </c>
      <c r="R1318" s="22">
        <f t="shared" si="83"/>
        <v>0.38507823315105205</v>
      </c>
    </row>
    <row r="1319" spans="1:18">
      <c r="A1319" s="18">
        <v>2318</v>
      </c>
      <c r="B1319" s="19" t="s">
        <v>490</v>
      </c>
      <c r="C1319" s="18">
        <v>2025</v>
      </c>
      <c r="D1319" s="18" t="s">
        <v>39</v>
      </c>
      <c r="E1319" s="18" t="s">
        <v>98</v>
      </c>
      <c r="F1319" s="18" t="s">
        <v>99</v>
      </c>
      <c r="G1319" s="18" t="s">
        <v>50</v>
      </c>
      <c r="H1319" s="18" t="s">
        <v>87</v>
      </c>
      <c r="I1319" s="18" t="s">
        <v>56</v>
      </c>
      <c r="J1319" s="18" t="s">
        <v>102</v>
      </c>
      <c r="K1319" s="18">
        <v>10</v>
      </c>
      <c r="L1319" s="20">
        <v>9337.31</v>
      </c>
      <c r="M1319" s="21">
        <v>0.1</v>
      </c>
      <c r="N1319" s="21">
        <v>0.64512057740967399</v>
      </c>
      <c r="O1319" s="20">
        <f t="shared" si="80"/>
        <v>84035.79</v>
      </c>
      <c r="P1319" s="20">
        <f t="shared" si="81"/>
        <v>54213.217367878104</v>
      </c>
      <c r="Q1319" s="20">
        <f t="shared" si="82"/>
        <v>29822.57263212189</v>
      </c>
      <c r="R1319" s="22">
        <f t="shared" si="83"/>
        <v>0.35487942259032601</v>
      </c>
    </row>
    <row r="1320" spans="1:18">
      <c r="A1320" s="18">
        <v>2319</v>
      </c>
      <c r="B1320" s="19" t="s">
        <v>490</v>
      </c>
      <c r="C1320" s="18">
        <v>2025</v>
      </c>
      <c r="D1320" s="18" t="s">
        <v>39</v>
      </c>
      <c r="E1320" s="18" t="s">
        <v>79</v>
      </c>
      <c r="F1320" s="18" t="s">
        <v>105</v>
      </c>
      <c r="G1320" s="18" t="s">
        <v>47</v>
      </c>
      <c r="H1320" s="18" t="s">
        <v>107</v>
      </c>
      <c r="I1320" s="18" t="s">
        <v>54</v>
      </c>
      <c r="J1320" s="18" t="s">
        <v>91</v>
      </c>
      <c r="K1320" s="18">
        <v>3</v>
      </c>
      <c r="L1320" s="20">
        <v>2191.63</v>
      </c>
      <c r="M1320" s="21">
        <v>0.2</v>
      </c>
      <c r="N1320" s="21">
        <v>0.64979492904340796</v>
      </c>
      <c r="O1320" s="20">
        <f t="shared" si="80"/>
        <v>5259.9120000000003</v>
      </c>
      <c r="P1320" s="20">
        <f t="shared" si="81"/>
        <v>3417.8641448145704</v>
      </c>
      <c r="Q1320" s="20">
        <f t="shared" si="82"/>
        <v>1842.0478551854299</v>
      </c>
      <c r="R1320" s="22">
        <f t="shared" si="83"/>
        <v>0.35020507095659198</v>
      </c>
    </row>
    <row r="1321" spans="1:18">
      <c r="A1321" s="18">
        <v>2320</v>
      </c>
      <c r="B1321" s="19" t="s">
        <v>491</v>
      </c>
      <c r="C1321" s="18">
        <v>2025</v>
      </c>
      <c r="D1321" s="18" t="s">
        <v>39</v>
      </c>
      <c r="E1321" s="18" t="s">
        <v>85</v>
      </c>
      <c r="F1321" s="18" t="s">
        <v>121</v>
      </c>
      <c r="G1321" s="18" t="s">
        <v>50</v>
      </c>
      <c r="H1321" s="18" t="s">
        <v>83</v>
      </c>
      <c r="I1321" s="18" t="s">
        <v>62</v>
      </c>
      <c r="J1321" s="18" t="s">
        <v>82</v>
      </c>
      <c r="K1321" s="18">
        <v>11</v>
      </c>
      <c r="L1321" s="20">
        <v>3495.29</v>
      </c>
      <c r="M1321" s="21">
        <v>0.05</v>
      </c>
      <c r="N1321" s="21">
        <v>0.566618399631308</v>
      </c>
      <c r="O1321" s="20">
        <f t="shared" si="80"/>
        <v>36525.780500000001</v>
      </c>
      <c r="P1321" s="20">
        <f t="shared" si="81"/>
        <v>20696.179292194436</v>
      </c>
      <c r="Q1321" s="20">
        <f t="shared" si="82"/>
        <v>15829.601207805565</v>
      </c>
      <c r="R1321" s="22">
        <f t="shared" si="83"/>
        <v>0.43338160036869205</v>
      </c>
    </row>
    <row r="1322" spans="1:18">
      <c r="A1322" s="18">
        <v>2321</v>
      </c>
      <c r="B1322" s="19" t="s">
        <v>491</v>
      </c>
      <c r="C1322" s="18">
        <v>2025</v>
      </c>
      <c r="D1322" s="18" t="s">
        <v>39</v>
      </c>
      <c r="E1322" s="18" t="s">
        <v>98</v>
      </c>
      <c r="F1322" s="18" t="s">
        <v>109</v>
      </c>
      <c r="G1322" s="18" t="s">
        <v>47</v>
      </c>
      <c r="H1322" s="18" t="s">
        <v>107</v>
      </c>
      <c r="I1322" s="18" t="s">
        <v>58</v>
      </c>
      <c r="J1322" s="18" t="s">
        <v>102</v>
      </c>
      <c r="K1322" s="18">
        <v>8</v>
      </c>
      <c r="L1322" s="20">
        <v>2096.5</v>
      </c>
      <c r="M1322" s="21">
        <v>0.15</v>
      </c>
      <c r="N1322" s="21">
        <v>0.66698737765362004</v>
      </c>
      <c r="O1322" s="20">
        <f t="shared" si="80"/>
        <v>14256.199999999999</v>
      </c>
      <c r="P1322" s="20">
        <f t="shared" si="81"/>
        <v>9508.705453305538</v>
      </c>
      <c r="Q1322" s="20">
        <f t="shared" si="82"/>
        <v>4747.494546694461</v>
      </c>
      <c r="R1322" s="22">
        <f t="shared" si="83"/>
        <v>0.33301262234637991</v>
      </c>
    </row>
    <row r="1323" spans="1:18">
      <c r="A1323" s="18">
        <v>2322</v>
      </c>
      <c r="B1323" s="19" t="s">
        <v>491</v>
      </c>
      <c r="C1323" s="18">
        <v>2025</v>
      </c>
      <c r="D1323" s="18" t="s">
        <v>39</v>
      </c>
      <c r="E1323" s="18" t="s">
        <v>98</v>
      </c>
      <c r="F1323" s="18" t="s">
        <v>99</v>
      </c>
      <c r="G1323" s="18" t="s">
        <v>50</v>
      </c>
      <c r="H1323" s="18" t="s">
        <v>97</v>
      </c>
      <c r="I1323" s="18" t="s">
        <v>40</v>
      </c>
      <c r="J1323" s="18" t="s">
        <v>91</v>
      </c>
      <c r="K1323" s="18">
        <v>9</v>
      </c>
      <c r="L1323" s="20">
        <v>12292.86</v>
      </c>
      <c r="M1323" s="21">
        <v>0</v>
      </c>
      <c r="N1323" s="21">
        <v>0.62505686718400799</v>
      </c>
      <c r="O1323" s="20">
        <f t="shared" si="80"/>
        <v>110635.74</v>
      </c>
      <c r="P1323" s="20">
        <f t="shared" si="81"/>
        <v>69153.629042984438</v>
      </c>
      <c r="Q1323" s="20">
        <f t="shared" si="82"/>
        <v>41482.110957015568</v>
      </c>
      <c r="R1323" s="22">
        <f t="shared" si="83"/>
        <v>0.37494313281599206</v>
      </c>
    </row>
    <row r="1324" spans="1:18">
      <c r="A1324" s="18">
        <v>2323</v>
      </c>
      <c r="B1324" s="19" t="s">
        <v>492</v>
      </c>
      <c r="C1324" s="18">
        <v>2025</v>
      </c>
      <c r="D1324" s="18" t="s">
        <v>39</v>
      </c>
      <c r="E1324" s="18" t="s">
        <v>85</v>
      </c>
      <c r="F1324" s="18" t="s">
        <v>94</v>
      </c>
      <c r="G1324" s="18" t="s">
        <v>41</v>
      </c>
      <c r="H1324" s="18" t="s">
        <v>90</v>
      </c>
      <c r="I1324" s="18" t="s">
        <v>56</v>
      </c>
      <c r="J1324" s="18" t="s">
        <v>82</v>
      </c>
      <c r="K1324" s="18">
        <v>4</v>
      </c>
      <c r="L1324" s="20">
        <v>18885.84</v>
      </c>
      <c r="M1324" s="21">
        <v>0.15</v>
      </c>
      <c r="N1324" s="21">
        <v>0.60786979523095896</v>
      </c>
      <c r="O1324" s="20">
        <f t="shared" si="80"/>
        <v>64211.856</v>
      </c>
      <c r="P1324" s="20">
        <f t="shared" si="81"/>
        <v>39032.447758119823</v>
      </c>
      <c r="Q1324" s="20">
        <f t="shared" si="82"/>
        <v>25179.408241880177</v>
      </c>
      <c r="R1324" s="22">
        <f t="shared" si="83"/>
        <v>0.39213020476904104</v>
      </c>
    </row>
    <row r="1325" spans="1:18">
      <c r="A1325" s="18">
        <v>2324</v>
      </c>
      <c r="B1325" s="19" t="s">
        <v>492</v>
      </c>
      <c r="C1325" s="18">
        <v>2025</v>
      </c>
      <c r="D1325" s="18" t="s">
        <v>39</v>
      </c>
      <c r="E1325" s="18" t="s">
        <v>88</v>
      </c>
      <c r="F1325" s="18" t="s">
        <v>93</v>
      </c>
      <c r="G1325" s="18" t="s">
        <v>50</v>
      </c>
      <c r="H1325" s="18" t="s">
        <v>87</v>
      </c>
      <c r="I1325" s="18" t="s">
        <v>56</v>
      </c>
      <c r="J1325" s="18" t="s">
        <v>91</v>
      </c>
      <c r="K1325" s="18">
        <v>4</v>
      </c>
      <c r="L1325" s="20">
        <v>9422.27</v>
      </c>
      <c r="M1325" s="21">
        <v>0.15</v>
      </c>
      <c r="N1325" s="21">
        <v>0.60577594387442402</v>
      </c>
      <c r="O1325" s="20">
        <f t="shared" si="80"/>
        <v>32035.718000000001</v>
      </c>
      <c r="P1325" s="20">
        <f t="shared" si="81"/>
        <v>19406.467309144875</v>
      </c>
      <c r="Q1325" s="20">
        <f t="shared" si="82"/>
        <v>12629.250690855126</v>
      </c>
      <c r="R1325" s="22">
        <f t="shared" si="83"/>
        <v>0.39422405612557598</v>
      </c>
    </row>
    <row r="1326" spans="1:18">
      <c r="A1326" s="18">
        <v>2325</v>
      </c>
      <c r="B1326" s="19" t="s">
        <v>492</v>
      </c>
      <c r="C1326" s="18">
        <v>2025</v>
      </c>
      <c r="D1326" s="18" t="s">
        <v>39</v>
      </c>
      <c r="E1326" s="18" t="s">
        <v>98</v>
      </c>
      <c r="F1326" s="18" t="s">
        <v>99</v>
      </c>
      <c r="G1326" s="18" t="s">
        <v>41</v>
      </c>
      <c r="H1326" s="18" t="s">
        <v>106</v>
      </c>
      <c r="I1326" s="18" t="s">
        <v>60</v>
      </c>
      <c r="J1326" s="18" t="s">
        <v>102</v>
      </c>
      <c r="K1326" s="18">
        <v>9</v>
      </c>
      <c r="L1326" s="20">
        <v>2473.04</v>
      </c>
      <c r="M1326" s="21">
        <v>0.1</v>
      </c>
      <c r="N1326" s="21">
        <v>0.648966642851872</v>
      </c>
      <c r="O1326" s="20">
        <f t="shared" si="80"/>
        <v>20031.624</v>
      </c>
      <c r="P1326" s="20">
        <f t="shared" si="81"/>
        <v>12999.855778150988</v>
      </c>
      <c r="Q1326" s="20">
        <f t="shared" si="82"/>
        <v>7031.7682218490118</v>
      </c>
      <c r="R1326" s="22">
        <f t="shared" si="83"/>
        <v>0.35103335714812794</v>
      </c>
    </row>
    <row r="1327" spans="1:18">
      <c r="A1327" s="18">
        <v>2326</v>
      </c>
      <c r="B1327" s="19" t="s">
        <v>493</v>
      </c>
      <c r="C1327" s="18">
        <v>2025</v>
      </c>
      <c r="D1327" s="18" t="s">
        <v>39</v>
      </c>
      <c r="E1327" s="18" t="s">
        <v>98</v>
      </c>
      <c r="F1327" s="18" t="s">
        <v>109</v>
      </c>
      <c r="G1327" s="18" t="s">
        <v>44</v>
      </c>
      <c r="H1327" s="18" t="s">
        <v>119</v>
      </c>
      <c r="I1327" s="18" t="s">
        <v>56</v>
      </c>
      <c r="J1327" s="18" t="s">
        <v>91</v>
      </c>
      <c r="K1327" s="18">
        <v>1</v>
      </c>
      <c r="L1327" s="20">
        <v>7022.87</v>
      </c>
      <c r="M1327" s="21">
        <v>0.05</v>
      </c>
      <c r="N1327" s="21">
        <v>0.70258698085549698</v>
      </c>
      <c r="O1327" s="20">
        <f t="shared" si="80"/>
        <v>6671.7264999999998</v>
      </c>
      <c r="P1327" s="20">
        <f t="shared" si="81"/>
        <v>4687.4681787286117</v>
      </c>
      <c r="Q1327" s="20">
        <f t="shared" si="82"/>
        <v>1984.258321271388</v>
      </c>
      <c r="R1327" s="22">
        <f t="shared" si="83"/>
        <v>0.29741301914450302</v>
      </c>
    </row>
    <row r="1328" spans="1:18">
      <c r="A1328" s="18">
        <v>2327</v>
      </c>
      <c r="B1328" s="19" t="s">
        <v>493</v>
      </c>
      <c r="C1328" s="18">
        <v>2025</v>
      </c>
      <c r="D1328" s="18" t="s">
        <v>39</v>
      </c>
      <c r="E1328" s="18" t="s">
        <v>88</v>
      </c>
      <c r="F1328" s="18" t="s">
        <v>93</v>
      </c>
      <c r="G1328" s="18" t="s">
        <v>41</v>
      </c>
      <c r="H1328" s="18" t="s">
        <v>112</v>
      </c>
      <c r="I1328" s="18" t="s">
        <v>62</v>
      </c>
      <c r="J1328" s="18" t="s">
        <v>102</v>
      </c>
      <c r="K1328" s="18">
        <v>7</v>
      </c>
      <c r="L1328" s="20">
        <v>6284.55</v>
      </c>
      <c r="M1328" s="21">
        <v>0.1</v>
      </c>
      <c r="N1328" s="21">
        <v>0.58777499144735501</v>
      </c>
      <c r="O1328" s="20">
        <f t="shared" si="80"/>
        <v>39592.665000000001</v>
      </c>
      <c r="P1328" s="20">
        <f t="shared" si="81"/>
        <v>23271.578331752993</v>
      </c>
      <c r="Q1328" s="20">
        <f t="shared" si="82"/>
        <v>16321.086668247008</v>
      </c>
      <c r="R1328" s="22">
        <f t="shared" si="83"/>
        <v>0.41222500855264499</v>
      </c>
    </row>
    <row r="1329" spans="1:18">
      <c r="A1329" s="18">
        <v>2328</v>
      </c>
      <c r="B1329" s="19" t="s">
        <v>493</v>
      </c>
      <c r="C1329" s="18">
        <v>2025</v>
      </c>
      <c r="D1329" s="18" t="s">
        <v>39</v>
      </c>
      <c r="E1329" s="18" t="s">
        <v>79</v>
      </c>
      <c r="F1329" s="18" t="s">
        <v>80</v>
      </c>
      <c r="G1329" s="18" t="s">
        <v>44</v>
      </c>
      <c r="H1329" s="18" t="s">
        <v>119</v>
      </c>
      <c r="I1329" s="18" t="s">
        <v>62</v>
      </c>
      <c r="J1329" s="18" t="s">
        <v>102</v>
      </c>
      <c r="K1329" s="18">
        <v>9</v>
      </c>
      <c r="L1329" s="20">
        <v>7349.24</v>
      </c>
      <c r="M1329" s="21">
        <v>0.15</v>
      </c>
      <c r="N1329" s="21">
        <v>0.66411694099329099</v>
      </c>
      <c r="O1329" s="20">
        <f t="shared" si="80"/>
        <v>56221.686000000002</v>
      </c>
      <c r="P1329" s="20">
        <f t="shared" si="81"/>
        <v>37337.774123805335</v>
      </c>
      <c r="Q1329" s="20">
        <f t="shared" si="82"/>
        <v>18883.911876194667</v>
      </c>
      <c r="R1329" s="22">
        <f t="shared" si="83"/>
        <v>0.33588305900670901</v>
      </c>
    </row>
    <row r="1330" spans="1:18">
      <c r="A1330" s="18">
        <v>2329</v>
      </c>
      <c r="B1330" s="19" t="s">
        <v>493</v>
      </c>
      <c r="C1330" s="18">
        <v>2025</v>
      </c>
      <c r="D1330" s="18" t="s">
        <v>39</v>
      </c>
      <c r="E1330" s="18" t="s">
        <v>85</v>
      </c>
      <c r="F1330" s="18" t="s">
        <v>86</v>
      </c>
      <c r="G1330" s="18" t="s">
        <v>47</v>
      </c>
      <c r="H1330" s="18" t="s">
        <v>103</v>
      </c>
      <c r="I1330" s="18" t="s">
        <v>49</v>
      </c>
      <c r="J1330" s="18" t="s">
        <v>82</v>
      </c>
      <c r="K1330" s="18">
        <v>10</v>
      </c>
      <c r="L1330" s="20">
        <v>3240.16</v>
      </c>
      <c r="M1330" s="21">
        <v>0.2</v>
      </c>
      <c r="N1330" s="21">
        <v>0.56819328807569502</v>
      </c>
      <c r="O1330" s="20">
        <f t="shared" si="80"/>
        <v>25921.279999999999</v>
      </c>
      <c r="P1330" s="20">
        <f t="shared" si="81"/>
        <v>14728.297314330752</v>
      </c>
      <c r="Q1330" s="20">
        <f t="shared" si="82"/>
        <v>11192.982685669247</v>
      </c>
      <c r="R1330" s="22">
        <f t="shared" si="83"/>
        <v>0.43180671192430498</v>
      </c>
    </row>
    <row r="1331" spans="1:18">
      <c r="A1331" s="18">
        <v>2330</v>
      </c>
      <c r="B1331" s="19" t="s">
        <v>493</v>
      </c>
      <c r="C1331" s="18">
        <v>2025</v>
      </c>
      <c r="D1331" s="18" t="s">
        <v>39</v>
      </c>
      <c r="E1331" s="18" t="s">
        <v>98</v>
      </c>
      <c r="F1331" s="18" t="s">
        <v>117</v>
      </c>
      <c r="G1331" s="18" t="s">
        <v>50</v>
      </c>
      <c r="H1331" s="18" t="s">
        <v>87</v>
      </c>
      <c r="I1331" s="18" t="s">
        <v>60</v>
      </c>
      <c r="J1331" s="18" t="s">
        <v>82</v>
      </c>
      <c r="K1331" s="18">
        <v>3</v>
      </c>
      <c r="L1331" s="20">
        <v>9459.8799999999992</v>
      </c>
      <c r="M1331" s="21">
        <v>0.2</v>
      </c>
      <c r="N1331" s="21">
        <v>0.72493003940480305</v>
      </c>
      <c r="O1331" s="20">
        <f t="shared" si="80"/>
        <v>22703.712</v>
      </c>
      <c r="P1331" s="20">
        <f t="shared" si="81"/>
        <v>16458.6028347953</v>
      </c>
      <c r="Q1331" s="20">
        <f t="shared" si="82"/>
        <v>6245.1091652046998</v>
      </c>
      <c r="R1331" s="22">
        <f t="shared" si="83"/>
        <v>0.27506996059519695</v>
      </c>
    </row>
    <row r="1332" spans="1:18">
      <c r="A1332" s="18">
        <v>2331</v>
      </c>
      <c r="B1332" s="19" t="s">
        <v>494</v>
      </c>
      <c r="C1332" s="18">
        <v>2025</v>
      </c>
      <c r="D1332" s="18" t="s">
        <v>39</v>
      </c>
      <c r="E1332" s="18" t="s">
        <v>85</v>
      </c>
      <c r="F1332" s="18" t="s">
        <v>94</v>
      </c>
      <c r="G1332" s="18" t="s">
        <v>44</v>
      </c>
      <c r="H1332" s="18" t="s">
        <v>114</v>
      </c>
      <c r="I1332" s="18" t="s">
        <v>46</v>
      </c>
      <c r="J1332" s="18" t="s">
        <v>91</v>
      </c>
      <c r="K1332" s="18">
        <v>2</v>
      </c>
      <c r="L1332" s="20">
        <v>9355</v>
      </c>
      <c r="M1332" s="21">
        <v>0</v>
      </c>
      <c r="N1332" s="21">
        <v>0.66552044966992696</v>
      </c>
      <c r="O1332" s="20">
        <f t="shared" si="80"/>
        <v>18710</v>
      </c>
      <c r="P1332" s="20">
        <f t="shared" si="81"/>
        <v>12451.887613324334</v>
      </c>
      <c r="Q1332" s="20">
        <f t="shared" si="82"/>
        <v>6258.1123866756661</v>
      </c>
      <c r="R1332" s="22">
        <f t="shared" si="83"/>
        <v>0.33447955033007304</v>
      </c>
    </row>
    <row r="1333" spans="1:18">
      <c r="A1333" s="18">
        <v>2332</v>
      </c>
      <c r="B1333" s="19" t="s">
        <v>494</v>
      </c>
      <c r="C1333" s="18">
        <v>2025</v>
      </c>
      <c r="D1333" s="18" t="s">
        <v>39</v>
      </c>
      <c r="E1333" s="18" t="s">
        <v>85</v>
      </c>
      <c r="F1333" s="18" t="s">
        <v>86</v>
      </c>
      <c r="G1333" s="18" t="s">
        <v>50</v>
      </c>
      <c r="H1333" s="18" t="s">
        <v>83</v>
      </c>
      <c r="I1333" s="18" t="s">
        <v>46</v>
      </c>
      <c r="J1333" s="18" t="s">
        <v>91</v>
      </c>
      <c r="K1333" s="18">
        <v>9</v>
      </c>
      <c r="L1333" s="20">
        <v>3549.48</v>
      </c>
      <c r="M1333" s="21">
        <v>0.15</v>
      </c>
      <c r="N1333" s="21">
        <v>0.71757509012707998</v>
      </c>
      <c r="O1333" s="20">
        <f t="shared" si="80"/>
        <v>27153.522000000001</v>
      </c>
      <c r="P1333" s="20">
        <f t="shared" si="81"/>
        <v>19484.690996417648</v>
      </c>
      <c r="Q1333" s="20">
        <f t="shared" si="82"/>
        <v>7668.8310035823524</v>
      </c>
      <c r="R1333" s="22">
        <f t="shared" si="83"/>
        <v>0.28242490987292007</v>
      </c>
    </row>
    <row r="1334" spans="1:18">
      <c r="A1334" s="18">
        <v>2333</v>
      </c>
      <c r="B1334" s="19" t="s">
        <v>494</v>
      </c>
      <c r="C1334" s="18">
        <v>2025</v>
      </c>
      <c r="D1334" s="18" t="s">
        <v>39</v>
      </c>
      <c r="E1334" s="18" t="s">
        <v>88</v>
      </c>
      <c r="F1334" s="18" t="s">
        <v>110</v>
      </c>
      <c r="G1334" s="18" t="s">
        <v>50</v>
      </c>
      <c r="H1334" s="18" t="s">
        <v>87</v>
      </c>
      <c r="I1334" s="18" t="s">
        <v>43</v>
      </c>
      <c r="J1334" s="18" t="s">
        <v>82</v>
      </c>
      <c r="K1334" s="18">
        <v>12</v>
      </c>
      <c r="L1334" s="20">
        <v>9055.7099999999991</v>
      </c>
      <c r="M1334" s="21">
        <v>0.2</v>
      </c>
      <c r="N1334" s="21">
        <v>0.63126934150913805</v>
      </c>
      <c r="O1334" s="20">
        <f t="shared" si="80"/>
        <v>86934.815999999992</v>
      </c>
      <c r="P1334" s="20">
        <f t="shared" si="81"/>
        <v>54879.284050538074</v>
      </c>
      <c r="Q1334" s="20">
        <f t="shared" si="82"/>
        <v>32055.531949461918</v>
      </c>
      <c r="R1334" s="22">
        <f t="shared" si="83"/>
        <v>0.36873065849086195</v>
      </c>
    </row>
    <row r="1335" spans="1:18">
      <c r="A1335" s="18">
        <v>2334</v>
      </c>
      <c r="B1335" s="19" t="s">
        <v>495</v>
      </c>
      <c r="C1335" s="18">
        <v>2025</v>
      </c>
      <c r="D1335" s="18" t="s">
        <v>39</v>
      </c>
      <c r="E1335" s="18" t="s">
        <v>85</v>
      </c>
      <c r="F1335" s="18" t="s">
        <v>86</v>
      </c>
      <c r="G1335" s="18" t="s">
        <v>50</v>
      </c>
      <c r="H1335" s="18" t="s">
        <v>97</v>
      </c>
      <c r="I1335" s="18" t="s">
        <v>60</v>
      </c>
      <c r="J1335" s="18" t="s">
        <v>82</v>
      </c>
      <c r="K1335" s="18">
        <v>12</v>
      </c>
      <c r="L1335" s="20">
        <v>12331.92</v>
      </c>
      <c r="M1335" s="21">
        <v>0.2</v>
      </c>
      <c r="N1335" s="21">
        <v>0.747841762802259</v>
      </c>
      <c r="O1335" s="20">
        <f t="shared" si="80"/>
        <v>118386.43200000002</v>
      </c>
      <c r="P1335" s="20">
        <f t="shared" si="81"/>
        <v>88534.317998749772</v>
      </c>
      <c r="Q1335" s="20">
        <f t="shared" si="82"/>
        <v>29852.114001250244</v>
      </c>
      <c r="R1335" s="22">
        <f t="shared" si="83"/>
        <v>0.25215823719774105</v>
      </c>
    </row>
    <row r="1336" spans="1:18">
      <c r="A1336" s="18">
        <v>2335</v>
      </c>
      <c r="B1336" s="19" t="s">
        <v>495</v>
      </c>
      <c r="C1336" s="18">
        <v>2025</v>
      </c>
      <c r="D1336" s="18" t="s">
        <v>39</v>
      </c>
      <c r="E1336" s="18" t="s">
        <v>79</v>
      </c>
      <c r="F1336" s="18" t="s">
        <v>105</v>
      </c>
      <c r="G1336" s="18" t="s">
        <v>50</v>
      </c>
      <c r="H1336" s="18" t="s">
        <v>87</v>
      </c>
      <c r="I1336" s="18" t="s">
        <v>40</v>
      </c>
      <c r="J1336" s="18" t="s">
        <v>91</v>
      </c>
      <c r="K1336" s="18">
        <v>7</v>
      </c>
      <c r="L1336" s="20">
        <v>9811.89</v>
      </c>
      <c r="M1336" s="21">
        <v>0.2</v>
      </c>
      <c r="N1336" s="21">
        <v>0.70375230318293902</v>
      </c>
      <c r="O1336" s="20">
        <f t="shared" si="80"/>
        <v>54946.584000000003</v>
      </c>
      <c r="P1336" s="20">
        <f t="shared" si="81"/>
        <v>38668.785042034826</v>
      </c>
      <c r="Q1336" s="20">
        <f t="shared" si="82"/>
        <v>16277.798957965177</v>
      </c>
      <c r="R1336" s="22">
        <f t="shared" si="83"/>
        <v>0.29624769681706103</v>
      </c>
    </row>
    <row r="1337" spans="1:18">
      <c r="A1337" s="18">
        <v>2336</v>
      </c>
      <c r="B1337" s="19" t="s">
        <v>495</v>
      </c>
      <c r="C1337" s="18">
        <v>2025</v>
      </c>
      <c r="D1337" s="18" t="s">
        <v>39</v>
      </c>
      <c r="E1337" s="18" t="s">
        <v>98</v>
      </c>
      <c r="F1337" s="18" t="s">
        <v>109</v>
      </c>
      <c r="G1337" s="18" t="s">
        <v>50</v>
      </c>
      <c r="H1337" s="18" t="s">
        <v>97</v>
      </c>
      <c r="I1337" s="18" t="s">
        <v>43</v>
      </c>
      <c r="J1337" s="18" t="s">
        <v>82</v>
      </c>
      <c r="K1337" s="18">
        <v>3</v>
      </c>
      <c r="L1337" s="20">
        <v>12416.48</v>
      </c>
      <c r="M1337" s="21">
        <v>0.15</v>
      </c>
      <c r="N1337" s="21">
        <v>0.70071557133141005</v>
      </c>
      <c r="O1337" s="20">
        <f t="shared" si="80"/>
        <v>31662.024000000001</v>
      </c>
      <c r="P1337" s="20">
        <f t="shared" si="81"/>
        <v>22186.073236668817</v>
      </c>
      <c r="Q1337" s="20">
        <f t="shared" si="82"/>
        <v>9475.9507633311841</v>
      </c>
      <c r="R1337" s="22">
        <f t="shared" si="83"/>
        <v>0.29928442866858995</v>
      </c>
    </row>
    <row r="1338" spans="1:18">
      <c r="A1338" s="18">
        <v>2337</v>
      </c>
      <c r="B1338" s="19" t="s">
        <v>495</v>
      </c>
      <c r="C1338" s="18">
        <v>2025</v>
      </c>
      <c r="D1338" s="18" t="s">
        <v>39</v>
      </c>
      <c r="E1338" s="18" t="s">
        <v>79</v>
      </c>
      <c r="F1338" s="18" t="s">
        <v>80</v>
      </c>
      <c r="G1338" s="18" t="s">
        <v>44</v>
      </c>
      <c r="H1338" s="18" t="s">
        <v>114</v>
      </c>
      <c r="I1338" s="18" t="s">
        <v>56</v>
      </c>
      <c r="J1338" s="18" t="s">
        <v>102</v>
      </c>
      <c r="K1338" s="18">
        <v>6</v>
      </c>
      <c r="L1338" s="20">
        <v>8677.76</v>
      </c>
      <c r="M1338" s="21">
        <v>0</v>
      </c>
      <c r="N1338" s="21">
        <v>0.70911061984686696</v>
      </c>
      <c r="O1338" s="20">
        <f t="shared" si="80"/>
        <v>52066.559999999998</v>
      </c>
      <c r="P1338" s="20">
        <f t="shared" si="81"/>
        <v>36920.950634894085</v>
      </c>
      <c r="Q1338" s="20">
        <f t="shared" si="82"/>
        <v>15145.609365105913</v>
      </c>
      <c r="R1338" s="22">
        <f t="shared" si="83"/>
        <v>0.29088938015313309</v>
      </c>
    </row>
    <row r="1339" spans="1:18">
      <c r="A1339" s="18">
        <v>2338</v>
      </c>
      <c r="B1339" s="19" t="s">
        <v>495</v>
      </c>
      <c r="C1339" s="18">
        <v>2025</v>
      </c>
      <c r="D1339" s="18" t="s">
        <v>39</v>
      </c>
      <c r="E1339" s="18" t="s">
        <v>88</v>
      </c>
      <c r="F1339" s="18" t="s">
        <v>89</v>
      </c>
      <c r="G1339" s="18" t="s">
        <v>41</v>
      </c>
      <c r="H1339" s="18" t="s">
        <v>106</v>
      </c>
      <c r="I1339" s="18" t="s">
        <v>43</v>
      </c>
      <c r="J1339" s="18" t="s">
        <v>91</v>
      </c>
      <c r="K1339" s="18">
        <v>12</v>
      </c>
      <c r="L1339" s="20">
        <v>2497.89</v>
      </c>
      <c r="M1339" s="21">
        <v>0</v>
      </c>
      <c r="N1339" s="21">
        <v>0.70139611551165504</v>
      </c>
      <c r="O1339" s="20">
        <f t="shared" si="80"/>
        <v>29974.68</v>
      </c>
      <c r="P1339" s="20">
        <f t="shared" si="81"/>
        <v>21024.124115704897</v>
      </c>
      <c r="Q1339" s="20">
        <f t="shared" si="82"/>
        <v>8950.5558842951032</v>
      </c>
      <c r="R1339" s="22">
        <f t="shared" si="83"/>
        <v>0.29860388448834491</v>
      </c>
    </row>
    <row r="1340" spans="1:18">
      <c r="A1340" s="18">
        <v>2339</v>
      </c>
      <c r="B1340" s="19" t="s">
        <v>496</v>
      </c>
      <c r="C1340" s="18">
        <v>2025</v>
      </c>
      <c r="D1340" s="18" t="s">
        <v>39</v>
      </c>
      <c r="E1340" s="18" t="s">
        <v>98</v>
      </c>
      <c r="F1340" s="18" t="s">
        <v>99</v>
      </c>
      <c r="G1340" s="18" t="s">
        <v>50</v>
      </c>
      <c r="H1340" s="18" t="s">
        <v>97</v>
      </c>
      <c r="I1340" s="18" t="s">
        <v>58</v>
      </c>
      <c r="J1340" s="18" t="s">
        <v>102</v>
      </c>
      <c r="K1340" s="18">
        <v>5</v>
      </c>
      <c r="L1340" s="20">
        <v>12081.88</v>
      </c>
      <c r="M1340" s="21">
        <v>0.15</v>
      </c>
      <c r="N1340" s="21">
        <v>0.55714892858463905</v>
      </c>
      <c r="O1340" s="20">
        <f t="shared" si="80"/>
        <v>51347.989999999991</v>
      </c>
      <c r="P1340" s="20">
        <f t="shared" si="81"/>
        <v>28608.477613474755</v>
      </c>
      <c r="Q1340" s="20">
        <f t="shared" si="82"/>
        <v>22739.512386525235</v>
      </c>
      <c r="R1340" s="22">
        <f t="shared" si="83"/>
        <v>0.44285107141536095</v>
      </c>
    </row>
    <row r="1341" spans="1:18">
      <c r="A1341" s="18">
        <v>2340</v>
      </c>
      <c r="B1341" s="19" t="s">
        <v>496</v>
      </c>
      <c r="C1341" s="18">
        <v>2025</v>
      </c>
      <c r="D1341" s="18" t="s">
        <v>39</v>
      </c>
      <c r="E1341" s="18" t="s">
        <v>88</v>
      </c>
      <c r="F1341" s="18" t="s">
        <v>110</v>
      </c>
      <c r="G1341" s="18" t="s">
        <v>47</v>
      </c>
      <c r="H1341" s="18" t="s">
        <v>81</v>
      </c>
      <c r="I1341" s="18" t="s">
        <v>49</v>
      </c>
      <c r="J1341" s="18" t="s">
        <v>91</v>
      </c>
      <c r="K1341" s="18">
        <v>10</v>
      </c>
      <c r="L1341" s="20">
        <v>789.02</v>
      </c>
      <c r="M1341" s="21">
        <v>0.05</v>
      </c>
      <c r="N1341" s="21">
        <v>0.61133254609225995</v>
      </c>
      <c r="O1341" s="20">
        <f t="shared" si="80"/>
        <v>7495.69</v>
      </c>
      <c r="P1341" s="20">
        <f t="shared" si="81"/>
        <v>4582.3592524182914</v>
      </c>
      <c r="Q1341" s="20">
        <f t="shared" si="82"/>
        <v>2913.3307475817082</v>
      </c>
      <c r="R1341" s="22">
        <f t="shared" si="83"/>
        <v>0.3886674539077401</v>
      </c>
    </row>
    <row r="1342" spans="1:18">
      <c r="A1342" s="18">
        <v>2341</v>
      </c>
      <c r="B1342" s="19" t="s">
        <v>496</v>
      </c>
      <c r="C1342" s="18">
        <v>2025</v>
      </c>
      <c r="D1342" s="18" t="s">
        <v>39</v>
      </c>
      <c r="E1342" s="18" t="s">
        <v>88</v>
      </c>
      <c r="F1342" s="18" t="s">
        <v>93</v>
      </c>
      <c r="G1342" s="18" t="s">
        <v>47</v>
      </c>
      <c r="H1342" s="18" t="s">
        <v>107</v>
      </c>
      <c r="I1342" s="18" t="s">
        <v>58</v>
      </c>
      <c r="J1342" s="18" t="s">
        <v>102</v>
      </c>
      <c r="K1342" s="18">
        <v>5</v>
      </c>
      <c r="L1342" s="20">
        <v>2123.98</v>
      </c>
      <c r="M1342" s="21">
        <v>0.2</v>
      </c>
      <c r="N1342" s="21">
        <v>0.57571061722416605</v>
      </c>
      <c r="O1342" s="20">
        <f t="shared" si="80"/>
        <v>8495.92</v>
      </c>
      <c r="P1342" s="20">
        <f t="shared" si="81"/>
        <v>4891.1913470871368</v>
      </c>
      <c r="Q1342" s="20">
        <f t="shared" si="82"/>
        <v>3604.7286529128633</v>
      </c>
      <c r="R1342" s="22">
        <f t="shared" si="83"/>
        <v>0.42428938277583395</v>
      </c>
    </row>
    <row r="1343" spans="1:18">
      <c r="A1343" s="18">
        <v>2342</v>
      </c>
      <c r="B1343" s="19" t="s">
        <v>496</v>
      </c>
      <c r="C1343" s="18">
        <v>2025</v>
      </c>
      <c r="D1343" s="18" t="s">
        <v>39</v>
      </c>
      <c r="E1343" s="18" t="s">
        <v>98</v>
      </c>
      <c r="F1343" s="18" t="s">
        <v>109</v>
      </c>
      <c r="G1343" s="18" t="s">
        <v>47</v>
      </c>
      <c r="H1343" s="18" t="s">
        <v>103</v>
      </c>
      <c r="I1343" s="18" t="s">
        <v>49</v>
      </c>
      <c r="J1343" s="18" t="s">
        <v>82</v>
      </c>
      <c r="K1343" s="18">
        <v>4</v>
      </c>
      <c r="L1343" s="20">
        <v>3226.63</v>
      </c>
      <c r="M1343" s="21">
        <v>0</v>
      </c>
      <c r="N1343" s="21">
        <v>0.66684695484052103</v>
      </c>
      <c r="O1343" s="20">
        <f t="shared" si="80"/>
        <v>12906.52</v>
      </c>
      <c r="P1343" s="20">
        <f t="shared" si="81"/>
        <v>8606.6735595882819</v>
      </c>
      <c r="Q1343" s="20">
        <f t="shared" si="82"/>
        <v>4299.8464404117185</v>
      </c>
      <c r="R1343" s="22">
        <f t="shared" si="83"/>
        <v>0.33315304515947897</v>
      </c>
    </row>
    <row r="1344" spans="1:18">
      <c r="A1344" s="18">
        <v>2343</v>
      </c>
      <c r="B1344" s="19" t="s">
        <v>497</v>
      </c>
      <c r="C1344" s="18">
        <v>2025</v>
      </c>
      <c r="D1344" s="18" t="s">
        <v>39</v>
      </c>
      <c r="E1344" s="18" t="s">
        <v>98</v>
      </c>
      <c r="F1344" s="18" t="s">
        <v>99</v>
      </c>
      <c r="G1344" s="18" t="s">
        <v>50</v>
      </c>
      <c r="H1344" s="18" t="s">
        <v>97</v>
      </c>
      <c r="I1344" s="18" t="s">
        <v>62</v>
      </c>
      <c r="J1344" s="18" t="s">
        <v>82</v>
      </c>
      <c r="K1344" s="18">
        <v>6</v>
      </c>
      <c r="L1344" s="20">
        <v>12172.62</v>
      </c>
      <c r="M1344" s="21">
        <v>0.15</v>
      </c>
      <c r="N1344" s="21">
        <v>0.72052209451957805</v>
      </c>
      <c r="O1344" s="20">
        <f t="shared" si="80"/>
        <v>62080.362000000001</v>
      </c>
      <c r="P1344" s="20">
        <f t="shared" si="81"/>
        <v>44730.272456773622</v>
      </c>
      <c r="Q1344" s="20">
        <f t="shared" si="82"/>
        <v>17350.089543226379</v>
      </c>
      <c r="R1344" s="22">
        <f t="shared" si="83"/>
        <v>0.27947790548042195</v>
      </c>
    </row>
    <row r="1345" spans="1:18">
      <c r="A1345" s="18">
        <v>2344</v>
      </c>
      <c r="B1345" s="19" t="s">
        <v>497</v>
      </c>
      <c r="C1345" s="18">
        <v>2025</v>
      </c>
      <c r="D1345" s="18" t="s">
        <v>39</v>
      </c>
      <c r="E1345" s="18" t="s">
        <v>98</v>
      </c>
      <c r="F1345" s="18" t="s">
        <v>99</v>
      </c>
      <c r="G1345" s="18" t="s">
        <v>47</v>
      </c>
      <c r="H1345" s="18" t="s">
        <v>107</v>
      </c>
      <c r="I1345" s="18" t="s">
        <v>58</v>
      </c>
      <c r="J1345" s="18" t="s">
        <v>102</v>
      </c>
      <c r="K1345" s="18">
        <v>3</v>
      </c>
      <c r="L1345" s="20">
        <v>2281.5700000000002</v>
      </c>
      <c r="M1345" s="21">
        <v>0.1</v>
      </c>
      <c r="N1345" s="21">
        <v>0.58507747126221399</v>
      </c>
      <c r="O1345" s="20">
        <f t="shared" si="80"/>
        <v>6160.2390000000014</v>
      </c>
      <c r="P1345" s="20">
        <f t="shared" si="81"/>
        <v>3604.2170564908706</v>
      </c>
      <c r="Q1345" s="20">
        <f t="shared" si="82"/>
        <v>2556.0219435091308</v>
      </c>
      <c r="R1345" s="22">
        <f t="shared" si="83"/>
        <v>0.41492252873778601</v>
      </c>
    </row>
    <row r="1346" spans="1:18">
      <c r="A1346" s="18">
        <v>2345</v>
      </c>
      <c r="B1346" s="19" t="s">
        <v>497</v>
      </c>
      <c r="C1346" s="18">
        <v>2025</v>
      </c>
      <c r="D1346" s="18" t="s">
        <v>39</v>
      </c>
      <c r="E1346" s="18" t="s">
        <v>85</v>
      </c>
      <c r="F1346" s="18" t="s">
        <v>86</v>
      </c>
      <c r="G1346" s="18" t="s">
        <v>41</v>
      </c>
      <c r="H1346" s="18" t="s">
        <v>106</v>
      </c>
      <c r="I1346" s="18" t="s">
        <v>49</v>
      </c>
      <c r="J1346" s="18" t="s">
        <v>91</v>
      </c>
      <c r="K1346" s="18">
        <v>4</v>
      </c>
      <c r="L1346" s="20">
        <v>2431.08</v>
      </c>
      <c r="M1346" s="21">
        <v>0.05</v>
      </c>
      <c r="N1346" s="21">
        <v>0.67172824707331402</v>
      </c>
      <c r="O1346" s="20">
        <f t="shared" ref="O1346:O1409" si="84">K1346*L1346*(1-M1346)</f>
        <v>9238.1039999999994</v>
      </c>
      <c r="P1346" s="20">
        <f t="shared" ref="P1346:P1409" si="85">O1346*N1346</f>
        <v>6205.4954062009701</v>
      </c>
      <c r="Q1346" s="20">
        <f t="shared" ref="Q1346:Q1409" si="86">O1346-P1346</f>
        <v>3032.6085937990292</v>
      </c>
      <c r="R1346" s="22">
        <f t="shared" ref="R1346:R1409" si="87">IF(O1346=0,0,Q1346/O1346)</f>
        <v>0.32827175292668598</v>
      </c>
    </row>
    <row r="1347" spans="1:18">
      <c r="A1347" s="18">
        <v>2346</v>
      </c>
      <c r="B1347" s="19" t="s">
        <v>497</v>
      </c>
      <c r="C1347" s="18">
        <v>2025</v>
      </c>
      <c r="D1347" s="18" t="s">
        <v>39</v>
      </c>
      <c r="E1347" s="18" t="s">
        <v>79</v>
      </c>
      <c r="F1347" s="18" t="s">
        <v>80</v>
      </c>
      <c r="G1347" s="18" t="s">
        <v>44</v>
      </c>
      <c r="H1347" s="18" t="s">
        <v>114</v>
      </c>
      <c r="I1347" s="18" t="s">
        <v>58</v>
      </c>
      <c r="J1347" s="18" t="s">
        <v>91</v>
      </c>
      <c r="K1347" s="18">
        <v>10</v>
      </c>
      <c r="L1347" s="20">
        <v>9371.43</v>
      </c>
      <c r="M1347" s="21">
        <v>0</v>
      </c>
      <c r="N1347" s="21">
        <v>0.71799542717077802</v>
      </c>
      <c r="O1347" s="20">
        <f t="shared" si="84"/>
        <v>93714.3</v>
      </c>
      <c r="P1347" s="20">
        <f t="shared" si="85"/>
        <v>67286.438860510447</v>
      </c>
      <c r="Q1347" s="20">
        <f t="shared" si="86"/>
        <v>26427.861139489556</v>
      </c>
      <c r="R1347" s="22">
        <f t="shared" si="87"/>
        <v>0.28200457282922198</v>
      </c>
    </row>
    <row r="1348" spans="1:18">
      <c r="A1348" s="18">
        <v>2347</v>
      </c>
      <c r="B1348" s="19" t="s">
        <v>498</v>
      </c>
      <c r="C1348" s="18">
        <v>2025</v>
      </c>
      <c r="D1348" s="18" t="s">
        <v>39</v>
      </c>
      <c r="E1348" s="18" t="s">
        <v>88</v>
      </c>
      <c r="F1348" s="18" t="s">
        <v>89</v>
      </c>
      <c r="G1348" s="18" t="s">
        <v>41</v>
      </c>
      <c r="H1348" s="18" t="s">
        <v>112</v>
      </c>
      <c r="I1348" s="18" t="s">
        <v>43</v>
      </c>
      <c r="J1348" s="18" t="s">
        <v>91</v>
      </c>
      <c r="K1348" s="18">
        <v>9</v>
      </c>
      <c r="L1348" s="20">
        <v>5740.32</v>
      </c>
      <c r="M1348" s="21">
        <v>0.15</v>
      </c>
      <c r="N1348" s="21">
        <v>0.74233123590760497</v>
      </c>
      <c r="O1348" s="20">
        <f t="shared" si="84"/>
        <v>43913.447999999997</v>
      </c>
      <c r="P1348" s="20">
        <f t="shared" si="85"/>
        <v>32598.324126804342</v>
      </c>
      <c r="Q1348" s="20">
        <f t="shared" si="86"/>
        <v>11315.123873195655</v>
      </c>
      <c r="R1348" s="22">
        <f t="shared" si="87"/>
        <v>0.25766876409239503</v>
      </c>
    </row>
    <row r="1349" spans="1:18">
      <c r="A1349" s="18">
        <v>2348</v>
      </c>
      <c r="B1349" s="19" t="s">
        <v>498</v>
      </c>
      <c r="C1349" s="18">
        <v>2025</v>
      </c>
      <c r="D1349" s="18" t="s">
        <v>39</v>
      </c>
      <c r="E1349" s="18" t="s">
        <v>79</v>
      </c>
      <c r="F1349" s="18" t="s">
        <v>100</v>
      </c>
      <c r="G1349" s="18" t="s">
        <v>50</v>
      </c>
      <c r="H1349" s="18" t="s">
        <v>87</v>
      </c>
      <c r="I1349" s="18" t="s">
        <v>60</v>
      </c>
      <c r="J1349" s="18" t="s">
        <v>82</v>
      </c>
      <c r="K1349" s="18">
        <v>4</v>
      </c>
      <c r="L1349" s="20">
        <v>9268.27</v>
      </c>
      <c r="M1349" s="21">
        <v>0.2</v>
      </c>
      <c r="N1349" s="21">
        <v>0.58653693152919295</v>
      </c>
      <c r="O1349" s="20">
        <f t="shared" si="84"/>
        <v>29658.464000000004</v>
      </c>
      <c r="P1349" s="20">
        <f t="shared" si="85"/>
        <v>17395.784468429036</v>
      </c>
      <c r="Q1349" s="20">
        <f t="shared" si="86"/>
        <v>12262.679531570968</v>
      </c>
      <c r="R1349" s="22">
        <f t="shared" si="87"/>
        <v>0.41346306847080705</v>
      </c>
    </row>
    <row r="1350" spans="1:18">
      <c r="A1350" s="18">
        <v>2349</v>
      </c>
      <c r="B1350" s="19" t="s">
        <v>498</v>
      </c>
      <c r="C1350" s="18">
        <v>2025</v>
      </c>
      <c r="D1350" s="18" t="s">
        <v>39</v>
      </c>
      <c r="E1350" s="18" t="s">
        <v>88</v>
      </c>
      <c r="F1350" s="18" t="s">
        <v>110</v>
      </c>
      <c r="G1350" s="18" t="s">
        <v>50</v>
      </c>
      <c r="H1350" s="18" t="s">
        <v>83</v>
      </c>
      <c r="I1350" s="18" t="s">
        <v>40</v>
      </c>
      <c r="J1350" s="18" t="s">
        <v>102</v>
      </c>
      <c r="K1350" s="18">
        <v>5</v>
      </c>
      <c r="L1350" s="20">
        <v>3518.19</v>
      </c>
      <c r="M1350" s="21">
        <v>0</v>
      </c>
      <c r="N1350" s="21">
        <v>0.69862208990754804</v>
      </c>
      <c r="O1350" s="20">
        <f t="shared" si="84"/>
        <v>17590.95</v>
      </c>
      <c r="P1350" s="20">
        <f t="shared" si="85"/>
        <v>12289.426252459183</v>
      </c>
      <c r="Q1350" s="20">
        <f t="shared" si="86"/>
        <v>5301.5237475408176</v>
      </c>
      <c r="R1350" s="22">
        <f t="shared" si="87"/>
        <v>0.30137791009245196</v>
      </c>
    </row>
    <row r="1351" spans="1:18">
      <c r="A1351" s="18">
        <v>2350</v>
      </c>
      <c r="B1351" s="19" t="s">
        <v>499</v>
      </c>
      <c r="C1351" s="18">
        <v>2025</v>
      </c>
      <c r="D1351" s="18" t="s">
        <v>39</v>
      </c>
      <c r="E1351" s="18" t="s">
        <v>88</v>
      </c>
      <c r="F1351" s="18" t="s">
        <v>93</v>
      </c>
      <c r="G1351" s="18" t="s">
        <v>47</v>
      </c>
      <c r="H1351" s="18" t="s">
        <v>81</v>
      </c>
      <c r="I1351" s="18" t="s">
        <v>49</v>
      </c>
      <c r="J1351" s="18" t="s">
        <v>82</v>
      </c>
      <c r="K1351" s="18">
        <v>4</v>
      </c>
      <c r="L1351" s="20">
        <v>806.85</v>
      </c>
      <c r="M1351" s="21">
        <v>0.15</v>
      </c>
      <c r="N1351" s="21">
        <v>0.64545646081011199</v>
      </c>
      <c r="O1351" s="20">
        <f t="shared" si="84"/>
        <v>2743.29</v>
      </c>
      <c r="P1351" s="20">
        <f t="shared" si="85"/>
        <v>1770.6742543757721</v>
      </c>
      <c r="Q1351" s="20">
        <f t="shared" si="86"/>
        <v>972.61574562422788</v>
      </c>
      <c r="R1351" s="22">
        <f t="shared" si="87"/>
        <v>0.35454353918988801</v>
      </c>
    </row>
    <row r="1352" spans="1:18">
      <c r="A1352" s="18">
        <v>2351</v>
      </c>
      <c r="B1352" s="19" t="s">
        <v>499</v>
      </c>
      <c r="C1352" s="18">
        <v>2025</v>
      </c>
      <c r="D1352" s="18" t="s">
        <v>39</v>
      </c>
      <c r="E1352" s="18" t="s">
        <v>79</v>
      </c>
      <c r="F1352" s="18" t="s">
        <v>80</v>
      </c>
      <c r="G1352" s="18" t="s">
        <v>41</v>
      </c>
      <c r="H1352" s="18" t="s">
        <v>106</v>
      </c>
      <c r="I1352" s="18" t="s">
        <v>43</v>
      </c>
      <c r="J1352" s="18" t="s">
        <v>82</v>
      </c>
      <c r="K1352" s="18">
        <v>8</v>
      </c>
      <c r="L1352" s="20">
        <v>2404.1</v>
      </c>
      <c r="M1352" s="21">
        <v>0</v>
      </c>
      <c r="N1352" s="21">
        <v>0.64520716100543196</v>
      </c>
      <c r="O1352" s="20">
        <f t="shared" si="84"/>
        <v>19232.8</v>
      </c>
      <c r="P1352" s="20">
        <f t="shared" si="85"/>
        <v>12409.140286185271</v>
      </c>
      <c r="Q1352" s="20">
        <f t="shared" si="86"/>
        <v>6823.6597138147281</v>
      </c>
      <c r="R1352" s="22">
        <f t="shared" si="87"/>
        <v>0.35479283899456804</v>
      </c>
    </row>
    <row r="1353" spans="1:18">
      <c r="A1353" s="18">
        <v>2352</v>
      </c>
      <c r="B1353" s="19" t="s">
        <v>500</v>
      </c>
      <c r="C1353" s="18">
        <v>2025</v>
      </c>
      <c r="D1353" s="18" t="s">
        <v>39</v>
      </c>
      <c r="E1353" s="18" t="s">
        <v>88</v>
      </c>
      <c r="F1353" s="18" t="s">
        <v>93</v>
      </c>
      <c r="G1353" s="18" t="s">
        <v>50</v>
      </c>
      <c r="H1353" s="18" t="s">
        <v>97</v>
      </c>
      <c r="I1353" s="18" t="s">
        <v>62</v>
      </c>
      <c r="J1353" s="18" t="s">
        <v>82</v>
      </c>
      <c r="K1353" s="18">
        <v>10</v>
      </c>
      <c r="L1353" s="20">
        <v>11915.71</v>
      </c>
      <c r="M1353" s="21">
        <v>0</v>
      </c>
      <c r="N1353" s="21">
        <v>0.69399629069345803</v>
      </c>
      <c r="O1353" s="20">
        <f t="shared" si="84"/>
        <v>119157.09999999999</v>
      </c>
      <c r="P1353" s="20">
        <f t="shared" si="85"/>
        <v>82694.585409789448</v>
      </c>
      <c r="Q1353" s="20">
        <f t="shared" si="86"/>
        <v>36462.514590210543</v>
      </c>
      <c r="R1353" s="22">
        <f t="shared" si="87"/>
        <v>0.30600370930654192</v>
      </c>
    </row>
    <row r="1354" spans="1:18">
      <c r="A1354" s="18">
        <v>2353</v>
      </c>
      <c r="B1354" s="19" t="s">
        <v>500</v>
      </c>
      <c r="C1354" s="18">
        <v>2025</v>
      </c>
      <c r="D1354" s="18" t="s">
        <v>39</v>
      </c>
      <c r="E1354" s="18" t="s">
        <v>85</v>
      </c>
      <c r="F1354" s="18" t="s">
        <v>94</v>
      </c>
      <c r="G1354" s="18" t="s">
        <v>44</v>
      </c>
      <c r="H1354" s="18" t="s">
        <v>95</v>
      </c>
      <c r="I1354" s="18" t="s">
        <v>62</v>
      </c>
      <c r="J1354" s="18" t="s">
        <v>91</v>
      </c>
      <c r="K1354" s="18">
        <v>1</v>
      </c>
      <c r="L1354" s="20">
        <v>4388.29</v>
      </c>
      <c r="M1354" s="21">
        <v>0.1</v>
      </c>
      <c r="N1354" s="21">
        <v>0.67027082930616</v>
      </c>
      <c r="O1354" s="20">
        <f t="shared" si="84"/>
        <v>3949.4610000000002</v>
      </c>
      <c r="P1354" s="20">
        <f t="shared" si="85"/>
        <v>2647.2084997823363</v>
      </c>
      <c r="Q1354" s="20">
        <f t="shared" si="86"/>
        <v>1302.252500217664</v>
      </c>
      <c r="R1354" s="22">
        <f t="shared" si="87"/>
        <v>0.32972917069383995</v>
      </c>
    </row>
    <row r="1355" spans="1:18">
      <c r="A1355" s="18">
        <v>2354</v>
      </c>
      <c r="B1355" s="19" t="s">
        <v>501</v>
      </c>
      <c r="C1355" s="18">
        <v>2025</v>
      </c>
      <c r="D1355" s="18" t="s">
        <v>39</v>
      </c>
      <c r="E1355" s="18" t="s">
        <v>88</v>
      </c>
      <c r="F1355" s="18" t="s">
        <v>89</v>
      </c>
      <c r="G1355" s="18" t="s">
        <v>50</v>
      </c>
      <c r="H1355" s="18" t="s">
        <v>87</v>
      </c>
      <c r="I1355" s="18" t="s">
        <v>52</v>
      </c>
      <c r="J1355" s="18" t="s">
        <v>102</v>
      </c>
      <c r="K1355" s="18">
        <v>5</v>
      </c>
      <c r="L1355" s="20">
        <v>9275.99</v>
      </c>
      <c r="M1355" s="21">
        <v>0.15</v>
      </c>
      <c r="N1355" s="21">
        <v>0.59980440041593097</v>
      </c>
      <c r="O1355" s="20">
        <f t="shared" si="84"/>
        <v>39422.957499999997</v>
      </c>
      <c r="P1355" s="20">
        <f t="shared" si="85"/>
        <v>23646.063385910227</v>
      </c>
      <c r="Q1355" s="20">
        <f t="shared" si="86"/>
        <v>15776.89411408977</v>
      </c>
      <c r="R1355" s="22">
        <f t="shared" si="87"/>
        <v>0.40019559958406903</v>
      </c>
    </row>
    <row r="1356" spans="1:18">
      <c r="A1356" s="18">
        <v>2355</v>
      </c>
      <c r="B1356" s="19" t="s">
        <v>501</v>
      </c>
      <c r="C1356" s="18">
        <v>2025</v>
      </c>
      <c r="D1356" s="18" t="s">
        <v>39</v>
      </c>
      <c r="E1356" s="18" t="s">
        <v>98</v>
      </c>
      <c r="F1356" s="18" t="s">
        <v>99</v>
      </c>
      <c r="G1356" s="18" t="s">
        <v>47</v>
      </c>
      <c r="H1356" s="18" t="s">
        <v>103</v>
      </c>
      <c r="I1356" s="18" t="s">
        <v>58</v>
      </c>
      <c r="J1356" s="18" t="s">
        <v>82</v>
      </c>
      <c r="K1356" s="18">
        <v>3</v>
      </c>
      <c r="L1356" s="20">
        <v>3196.03</v>
      </c>
      <c r="M1356" s="21">
        <v>0.05</v>
      </c>
      <c r="N1356" s="21">
        <v>0.72867344017975699</v>
      </c>
      <c r="O1356" s="20">
        <f t="shared" si="84"/>
        <v>9108.6854999999996</v>
      </c>
      <c r="P1356" s="20">
        <f t="shared" si="85"/>
        <v>6637.2571988004693</v>
      </c>
      <c r="Q1356" s="20">
        <f t="shared" si="86"/>
        <v>2471.4283011995303</v>
      </c>
      <c r="R1356" s="22">
        <f t="shared" si="87"/>
        <v>0.27132655982024306</v>
      </c>
    </row>
    <row r="1357" spans="1:18">
      <c r="A1357" s="18">
        <v>2356</v>
      </c>
      <c r="B1357" s="19" t="s">
        <v>501</v>
      </c>
      <c r="C1357" s="18">
        <v>2025</v>
      </c>
      <c r="D1357" s="18" t="s">
        <v>39</v>
      </c>
      <c r="E1357" s="18" t="s">
        <v>85</v>
      </c>
      <c r="F1357" s="18" t="s">
        <v>121</v>
      </c>
      <c r="G1357" s="18" t="s">
        <v>44</v>
      </c>
      <c r="H1357" s="18" t="s">
        <v>119</v>
      </c>
      <c r="I1357" s="18" t="s">
        <v>43</v>
      </c>
      <c r="J1357" s="18" t="s">
        <v>91</v>
      </c>
      <c r="K1357" s="18">
        <v>11</v>
      </c>
      <c r="L1357" s="20">
        <v>6863.25</v>
      </c>
      <c r="M1357" s="21">
        <v>0.1</v>
      </c>
      <c r="N1357" s="21">
        <v>0.61848634427470395</v>
      </c>
      <c r="O1357" s="20">
        <f t="shared" si="84"/>
        <v>67946.175000000003</v>
      </c>
      <c r="P1357" s="20">
        <f t="shared" si="85"/>
        <v>42023.781383199283</v>
      </c>
      <c r="Q1357" s="20">
        <f t="shared" si="86"/>
        <v>25922.39361680072</v>
      </c>
      <c r="R1357" s="22">
        <f t="shared" si="87"/>
        <v>0.38151365572529605</v>
      </c>
    </row>
    <row r="1358" spans="1:18">
      <c r="A1358" s="18">
        <v>2357</v>
      </c>
      <c r="B1358" s="19" t="s">
        <v>501</v>
      </c>
      <c r="C1358" s="18">
        <v>2025</v>
      </c>
      <c r="D1358" s="18" t="s">
        <v>39</v>
      </c>
      <c r="E1358" s="18" t="s">
        <v>88</v>
      </c>
      <c r="F1358" s="18" t="s">
        <v>110</v>
      </c>
      <c r="G1358" s="18" t="s">
        <v>41</v>
      </c>
      <c r="H1358" s="18" t="s">
        <v>101</v>
      </c>
      <c r="I1358" s="18" t="s">
        <v>49</v>
      </c>
      <c r="J1358" s="18" t="s">
        <v>91</v>
      </c>
      <c r="K1358" s="18">
        <v>9</v>
      </c>
      <c r="L1358" s="20">
        <v>53929.61</v>
      </c>
      <c r="M1358" s="21">
        <v>0.15</v>
      </c>
      <c r="N1358" s="21">
        <v>0.64437512770729799</v>
      </c>
      <c r="O1358" s="20">
        <f t="shared" si="84"/>
        <v>412561.51649999997</v>
      </c>
      <c r="P1358" s="20">
        <f t="shared" si="85"/>
        <v>265844.37988180399</v>
      </c>
      <c r="Q1358" s="20">
        <f t="shared" si="86"/>
        <v>146717.13661819597</v>
      </c>
      <c r="R1358" s="22">
        <f t="shared" si="87"/>
        <v>0.35562487229270207</v>
      </c>
    </row>
    <row r="1359" spans="1:18">
      <c r="A1359" s="18">
        <v>2358</v>
      </c>
      <c r="B1359" s="19" t="s">
        <v>501</v>
      </c>
      <c r="C1359" s="18">
        <v>2025</v>
      </c>
      <c r="D1359" s="18" t="s">
        <v>39</v>
      </c>
      <c r="E1359" s="18" t="s">
        <v>98</v>
      </c>
      <c r="F1359" s="18" t="s">
        <v>99</v>
      </c>
      <c r="G1359" s="18" t="s">
        <v>44</v>
      </c>
      <c r="H1359" s="18" t="s">
        <v>95</v>
      </c>
      <c r="I1359" s="18" t="s">
        <v>46</v>
      </c>
      <c r="J1359" s="18" t="s">
        <v>91</v>
      </c>
      <c r="K1359" s="18">
        <v>3</v>
      </c>
      <c r="L1359" s="20">
        <v>4361.3599999999997</v>
      </c>
      <c r="M1359" s="21">
        <v>0.1</v>
      </c>
      <c r="N1359" s="21">
        <v>0.70716222550239805</v>
      </c>
      <c r="O1359" s="20">
        <f t="shared" si="84"/>
        <v>11775.671999999999</v>
      </c>
      <c r="P1359" s="20">
        <f t="shared" si="85"/>
        <v>8327.3104183062733</v>
      </c>
      <c r="Q1359" s="20">
        <f t="shared" si="86"/>
        <v>3448.3615816937254</v>
      </c>
      <c r="R1359" s="22">
        <f t="shared" si="87"/>
        <v>0.29283777449760201</v>
      </c>
    </row>
    <row r="1360" spans="1:18">
      <c r="A1360" s="18">
        <v>2359</v>
      </c>
      <c r="B1360" s="19" t="s">
        <v>502</v>
      </c>
      <c r="C1360" s="18">
        <v>2025</v>
      </c>
      <c r="D1360" s="18" t="s">
        <v>39</v>
      </c>
      <c r="E1360" s="18" t="s">
        <v>88</v>
      </c>
      <c r="F1360" s="18" t="s">
        <v>89</v>
      </c>
      <c r="G1360" s="18" t="s">
        <v>50</v>
      </c>
      <c r="H1360" s="18" t="s">
        <v>87</v>
      </c>
      <c r="I1360" s="18" t="s">
        <v>62</v>
      </c>
      <c r="J1360" s="18" t="s">
        <v>91</v>
      </c>
      <c r="K1360" s="18">
        <v>12</v>
      </c>
      <c r="L1360" s="20">
        <v>9280.91</v>
      </c>
      <c r="M1360" s="21">
        <v>0.05</v>
      </c>
      <c r="N1360" s="21">
        <v>0.64439633478869496</v>
      </c>
      <c r="O1360" s="20">
        <f t="shared" si="84"/>
        <v>105802.374</v>
      </c>
      <c r="P1360" s="20">
        <f t="shared" si="85"/>
        <v>68178.662017542709</v>
      </c>
      <c r="Q1360" s="20">
        <f t="shared" si="86"/>
        <v>37623.711982457287</v>
      </c>
      <c r="R1360" s="22">
        <f t="shared" si="87"/>
        <v>0.3556036652113051</v>
      </c>
    </row>
    <row r="1361" spans="1:18">
      <c r="A1361" s="18">
        <v>2360</v>
      </c>
      <c r="B1361" s="19" t="s">
        <v>502</v>
      </c>
      <c r="C1361" s="18">
        <v>2025</v>
      </c>
      <c r="D1361" s="18" t="s">
        <v>39</v>
      </c>
      <c r="E1361" s="18" t="s">
        <v>98</v>
      </c>
      <c r="F1361" s="18" t="s">
        <v>109</v>
      </c>
      <c r="G1361" s="18" t="s">
        <v>44</v>
      </c>
      <c r="H1361" s="18" t="s">
        <v>114</v>
      </c>
      <c r="I1361" s="18" t="s">
        <v>54</v>
      </c>
      <c r="J1361" s="18" t="s">
        <v>102</v>
      </c>
      <c r="K1361" s="18">
        <v>6</v>
      </c>
      <c r="L1361" s="20">
        <v>9296.31</v>
      </c>
      <c r="M1361" s="21">
        <v>0.05</v>
      </c>
      <c r="N1361" s="21">
        <v>0.63994157509210303</v>
      </c>
      <c r="O1361" s="20">
        <f t="shared" si="84"/>
        <v>52988.966999999997</v>
      </c>
      <c r="P1361" s="20">
        <f t="shared" si="85"/>
        <v>33909.843004483468</v>
      </c>
      <c r="Q1361" s="20">
        <f t="shared" si="86"/>
        <v>19079.123995516529</v>
      </c>
      <c r="R1361" s="22">
        <f t="shared" si="87"/>
        <v>0.36005842490789697</v>
      </c>
    </row>
    <row r="1362" spans="1:18">
      <c r="A1362" s="18">
        <v>2361</v>
      </c>
      <c r="B1362" s="19" t="s">
        <v>502</v>
      </c>
      <c r="C1362" s="18">
        <v>2025</v>
      </c>
      <c r="D1362" s="18" t="s">
        <v>39</v>
      </c>
      <c r="E1362" s="18" t="s">
        <v>85</v>
      </c>
      <c r="F1362" s="18" t="s">
        <v>94</v>
      </c>
      <c r="G1362" s="18" t="s">
        <v>50</v>
      </c>
      <c r="H1362" s="18" t="s">
        <v>97</v>
      </c>
      <c r="I1362" s="18" t="s">
        <v>40</v>
      </c>
      <c r="J1362" s="18" t="s">
        <v>91</v>
      </c>
      <c r="K1362" s="18">
        <v>1</v>
      </c>
      <c r="L1362" s="20">
        <v>12562.42</v>
      </c>
      <c r="M1362" s="21">
        <v>0.05</v>
      </c>
      <c r="N1362" s="21">
        <v>0.67915854276026899</v>
      </c>
      <c r="O1362" s="20">
        <f t="shared" si="84"/>
        <v>11934.298999999999</v>
      </c>
      <c r="P1362" s="20">
        <f t="shared" si="85"/>
        <v>8105.2811177053345</v>
      </c>
      <c r="Q1362" s="20">
        <f t="shared" si="86"/>
        <v>3829.0178822946646</v>
      </c>
      <c r="R1362" s="22">
        <f t="shared" si="87"/>
        <v>0.32084145723973101</v>
      </c>
    </row>
    <row r="1363" spans="1:18">
      <c r="A1363" s="18">
        <v>2362</v>
      </c>
      <c r="B1363" s="19" t="s">
        <v>503</v>
      </c>
      <c r="C1363" s="18">
        <v>2025</v>
      </c>
      <c r="D1363" s="18" t="s">
        <v>39</v>
      </c>
      <c r="E1363" s="18" t="s">
        <v>85</v>
      </c>
      <c r="F1363" s="18" t="s">
        <v>121</v>
      </c>
      <c r="G1363" s="18" t="s">
        <v>41</v>
      </c>
      <c r="H1363" s="18" t="s">
        <v>101</v>
      </c>
      <c r="I1363" s="18" t="s">
        <v>49</v>
      </c>
      <c r="J1363" s="18" t="s">
        <v>102</v>
      </c>
      <c r="K1363" s="18">
        <v>12</v>
      </c>
      <c r="L1363" s="20">
        <v>53657.61</v>
      </c>
      <c r="M1363" s="21">
        <v>0.05</v>
      </c>
      <c r="N1363" s="21">
        <v>0.55473579961336505</v>
      </c>
      <c r="O1363" s="20">
        <f t="shared" si="84"/>
        <v>611696.75400000007</v>
      </c>
      <c r="P1363" s="20">
        <f t="shared" si="85"/>
        <v>339330.0879510899</v>
      </c>
      <c r="Q1363" s="20">
        <f t="shared" si="86"/>
        <v>272366.66604891018</v>
      </c>
      <c r="R1363" s="22">
        <f t="shared" si="87"/>
        <v>0.44526420038663495</v>
      </c>
    </row>
    <row r="1364" spans="1:18">
      <c r="A1364" s="18">
        <v>2363</v>
      </c>
      <c r="B1364" s="19" t="s">
        <v>503</v>
      </c>
      <c r="C1364" s="18">
        <v>2025</v>
      </c>
      <c r="D1364" s="18" t="s">
        <v>39</v>
      </c>
      <c r="E1364" s="18" t="s">
        <v>85</v>
      </c>
      <c r="F1364" s="18" t="s">
        <v>121</v>
      </c>
      <c r="G1364" s="18" t="s">
        <v>47</v>
      </c>
      <c r="H1364" s="18" t="s">
        <v>103</v>
      </c>
      <c r="I1364" s="18" t="s">
        <v>60</v>
      </c>
      <c r="J1364" s="18" t="s">
        <v>102</v>
      </c>
      <c r="K1364" s="18">
        <v>4</v>
      </c>
      <c r="L1364" s="20">
        <v>3295.19</v>
      </c>
      <c r="M1364" s="21">
        <v>0.15</v>
      </c>
      <c r="N1364" s="21">
        <v>0.65058868443981299</v>
      </c>
      <c r="O1364" s="20">
        <f t="shared" si="84"/>
        <v>11203.646000000001</v>
      </c>
      <c r="P1364" s="20">
        <f t="shared" si="85"/>
        <v>7288.9653120693738</v>
      </c>
      <c r="Q1364" s="20">
        <f t="shared" si="86"/>
        <v>3914.6806879306268</v>
      </c>
      <c r="R1364" s="22">
        <f t="shared" si="87"/>
        <v>0.34941131556018701</v>
      </c>
    </row>
    <row r="1365" spans="1:18">
      <c r="A1365" s="18">
        <v>2364</v>
      </c>
      <c r="B1365" s="19" t="s">
        <v>503</v>
      </c>
      <c r="C1365" s="18">
        <v>2025</v>
      </c>
      <c r="D1365" s="18" t="s">
        <v>39</v>
      </c>
      <c r="E1365" s="18" t="s">
        <v>98</v>
      </c>
      <c r="F1365" s="18" t="s">
        <v>117</v>
      </c>
      <c r="G1365" s="18" t="s">
        <v>41</v>
      </c>
      <c r="H1365" s="18" t="s">
        <v>101</v>
      </c>
      <c r="I1365" s="18" t="s">
        <v>46</v>
      </c>
      <c r="J1365" s="18" t="s">
        <v>91</v>
      </c>
      <c r="K1365" s="18">
        <v>12</v>
      </c>
      <c r="L1365" s="20">
        <v>54888.25</v>
      </c>
      <c r="M1365" s="21">
        <v>0.2</v>
      </c>
      <c r="N1365" s="21">
        <v>0.668588053390193</v>
      </c>
      <c r="O1365" s="20">
        <f t="shared" si="84"/>
        <v>526927.20000000007</v>
      </c>
      <c r="P1365" s="20">
        <f t="shared" si="85"/>
        <v>352297.23092634493</v>
      </c>
      <c r="Q1365" s="20">
        <f t="shared" si="86"/>
        <v>174629.96907365514</v>
      </c>
      <c r="R1365" s="22">
        <f t="shared" si="87"/>
        <v>0.33141194660980705</v>
      </c>
    </row>
    <row r="1366" spans="1:18">
      <c r="A1366" s="18">
        <v>2365</v>
      </c>
      <c r="B1366" s="19" t="s">
        <v>504</v>
      </c>
      <c r="C1366" s="18">
        <v>2025</v>
      </c>
      <c r="D1366" s="18" t="s">
        <v>39</v>
      </c>
      <c r="E1366" s="18" t="s">
        <v>85</v>
      </c>
      <c r="F1366" s="18" t="s">
        <v>94</v>
      </c>
      <c r="G1366" s="18" t="s">
        <v>50</v>
      </c>
      <c r="H1366" s="18" t="s">
        <v>83</v>
      </c>
      <c r="I1366" s="18" t="s">
        <v>52</v>
      </c>
      <c r="J1366" s="18" t="s">
        <v>102</v>
      </c>
      <c r="K1366" s="18">
        <v>10</v>
      </c>
      <c r="L1366" s="20">
        <v>3456.26</v>
      </c>
      <c r="M1366" s="21">
        <v>0</v>
      </c>
      <c r="N1366" s="21">
        <v>0.56122291332427998</v>
      </c>
      <c r="O1366" s="20">
        <f t="shared" si="84"/>
        <v>34562.600000000006</v>
      </c>
      <c r="P1366" s="20">
        <f t="shared" si="85"/>
        <v>19397.323064061762</v>
      </c>
      <c r="Q1366" s="20">
        <f t="shared" si="86"/>
        <v>15165.276935938244</v>
      </c>
      <c r="R1366" s="22">
        <f t="shared" si="87"/>
        <v>0.43877708667572002</v>
      </c>
    </row>
    <row r="1367" spans="1:18">
      <c r="A1367" s="18">
        <v>2366</v>
      </c>
      <c r="B1367" s="19" t="s">
        <v>504</v>
      </c>
      <c r="C1367" s="18">
        <v>2025</v>
      </c>
      <c r="D1367" s="18" t="s">
        <v>39</v>
      </c>
      <c r="E1367" s="18" t="s">
        <v>98</v>
      </c>
      <c r="F1367" s="18" t="s">
        <v>109</v>
      </c>
      <c r="G1367" s="18" t="s">
        <v>47</v>
      </c>
      <c r="H1367" s="18" t="s">
        <v>107</v>
      </c>
      <c r="I1367" s="18" t="s">
        <v>52</v>
      </c>
      <c r="J1367" s="18" t="s">
        <v>82</v>
      </c>
      <c r="K1367" s="18">
        <v>8</v>
      </c>
      <c r="L1367" s="20">
        <v>2119.54</v>
      </c>
      <c r="M1367" s="21">
        <v>0.2</v>
      </c>
      <c r="N1367" s="21">
        <v>0.56479775208912097</v>
      </c>
      <c r="O1367" s="20">
        <f t="shared" si="84"/>
        <v>13565.056</v>
      </c>
      <c r="P1367" s="20">
        <f t="shared" si="85"/>
        <v>7661.5131357630435</v>
      </c>
      <c r="Q1367" s="20">
        <f t="shared" si="86"/>
        <v>5903.542864236957</v>
      </c>
      <c r="R1367" s="22">
        <f t="shared" si="87"/>
        <v>0.43520224791087903</v>
      </c>
    </row>
    <row r="1368" spans="1:18">
      <c r="A1368" s="18">
        <v>2367</v>
      </c>
      <c r="B1368" s="19" t="s">
        <v>505</v>
      </c>
      <c r="C1368" s="18">
        <v>2025</v>
      </c>
      <c r="D1368" s="18" t="s">
        <v>39</v>
      </c>
      <c r="E1368" s="18" t="s">
        <v>88</v>
      </c>
      <c r="F1368" s="18" t="s">
        <v>110</v>
      </c>
      <c r="G1368" s="18" t="s">
        <v>47</v>
      </c>
      <c r="H1368" s="18" t="s">
        <v>103</v>
      </c>
      <c r="I1368" s="18" t="s">
        <v>49</v>
      </c>
      <c r="J1368" s="18" t="s">
        <v>102</v>
      </c>
      <c r="K1368" s="18">
        <v>2</v>
      </c>
      <c r="L1368" s="20">
        <v>3180.24</v>
      </c>
      <c r="M1368" s="21">
        <v>0.05</v>
      </c>
      <c r="N1368" s="21">
        <v>0.66454663358119903</v>
      </c>
      <c r="O1368" s="20">
        <f t="shared" si="84"/>
        <v>6042.4559999999992</v>
      </c>
      <c r="P1368" s="20">
        <f t="shared" si="85"/>
        <v>4015.493793362517</v>
      </c>
      <c r="Q1368" s="20">
        <f t="shared" si="86"/>
        <v>2026.9622066374823</v>
      </c>
      <c r="R1368" s="22">
        <f t="shared" si="87"/>
        <v>0.33545336641880097</v>
      </c>
    </row>
    <row r="1369" spans="1:18">
      <c r="A1369" s="18">
        <v>2368</v>
      </c>
      <c r="B1369" s="19" t="s">
        <v>505</v>
      </c>
      <c r="C1369" s="18">
        <v>2025</v>
      </c>
      <c r="D1369" s="18" t="s">
        <v>39</v>
      </c>
      <c r="E1369" s="18" t="s">
        <v>98</v>
      </c>
      <c r="F1369" s="18" t="s">
        <v>99</v>
      </c>
      <c r="G1369" s="18" t="s">
        <v>47</v>
      </c>
      <c r="H1369" s="18" t="s">
        <v>103</v>
      </c>
      <c r="I1369" s="18" t="s">
        <v>40</v>
      </c>
      <c r="J1369" s="18" t="s">
        <v>82</v>
      </c>
      <c r="K1369" s="18">
        <v>2</v>
      </c>
      <c r="L1369" s="20">
        <v>3318.63</v>
      </c>
      <c r="M1369" s="21">
        <v>0.2</v>
      </c>
      <c r="N1369" s="21">
        <v>0.69228053799131295</v>
      </c>
      <c r="O1369" s="20">
        <f t="shared" si="84"/>
        <v>5309.8080000000009</v>
      </c>
      <c r="P1369" s="20">
        <f t="shared" si="85"/>
        <v>3675.8767388705783</v>
      </c>
      <c r="Q1369" s="20">
        <f t="shared" si="86"/>
        <v>1633.9312611294226</v>
      </c>
      <c r="R1369" s="22">
        <f t="shared" si="87"/>
        <v>0.30771946200868699</v>
      </c>
    </row>
    <row r="1370" spans="1:18">
      <c r="A1370" s="18">
        <v>2369</v>
      </c>
      <c r="B1370" s="19" t="s">
        <v>505</v>
      </c>
      <c r="C1370" s="18">
        <v>2025</v>
      </c>
      <c r="D1370" s="18" t="s">
        <v>39</v>
      </c>
      <c r="E1370" s="18" t="s">
        <v>98</v>
      </c>
      <c r="F1370" s="18" t="s">
        <v>109</v>
      </c>
      <c r="G1370" s="18" t="s">
        <v>50</v>
      </c>
      <c r="H1370" s="18" t="s">
        <v>87</v>
      </c>
      <c r="I1370" s="18" t="s">
        <v>49</v>
      </c>
      <c r="J1370" s="18" t="s">
        <v>82</v>
      </c>
      <c r="K1370" s="18">
        <v>6</v>
      </c>
      <c r="L1370" s="20">
        <v>9469.91</v>
      </c>
      <c r="M1370" s="21">
        <v>0.1</v>
      </c>
      <c r="N1370" s="21">
        <v>0.62244075884373795</v>
      </c>
      <c r="O1370" s="20">
        <f t="shared" si="84"/>
        <v>51137.514000000003</v>
      </c>
      <c r="P1370" s="20">
        <f t="shared" si="85"/>
        <v>31830.073019542277</v>
      </c>
      <c r="Q1370" s="20">
        <f t="shared" si="86"/>
        <v>19307.440980457726</v>
      </c>
      <c r="R1370" s="22">
        <f t="shared" si="87"/>
        <v>0.37755924115626199</v>
      </c>
    </row>
    <row r="1371" spans="1:18">
      <c r="A1371" s="18">
        <v>2370</v>
      </c>
      <c r="B1371" s="19" t="s">
        <v>505</v>
      </c>
      <c r="C1371" s="18">
        <v>2025</v>
      </c>
      <c r="D1371" s="18" t="s">
        <v>39</v>
      </c>
      <c r="E1371" s="18" t="s">
        <v>88</v>
      </c>
      <c r="F1371" s="18" t="s">
        <v>93</v>
      </c>
      <c r="G1371" s="18" t="s">
        <v>47</v>
      </c>
      <c r="H1371" s="18" t="s">
        <v>107</v>
      </c>
      <c r="I1371" s="18" t="s">
        <v>62</v>
      </c>
      <c r="J1371" s="18" t="s">
        <v>102</v>
      </c>
      <c r="K1371" s="18">
        <v>1</v>
      </c>
      <c r="L1371" s="20">
        <v>2120.86</v>
      </c>
      <c r="M1371" s="21">
        <v>0.2</v>
      </c>
      <c r="N1371" s="21">
        <v>0.63215579007168299</v>
      </c>
      <c r="O1371" s="20">
        <f t="shared" si="84"/>
        <v>1696.6880000000001</v>
      </c>
      <c r="P1371" s="20">
        <f t="shared" si="85"/>
        <v>1072.5711431451437</v>
      </c>
      <c r="Q1371" s="20">
        <f t="shared" si="86"/>
        <v>624.11685685485645</v>
      </c>
      <c r="R1371" s="22">
        <f t="shared" si="87"/>
        <v>0.36784420992831707</v>
      </c>
    </row>
    <row r="1372" spans="1:18">
      <c r="A1372" s="18">
        <v>2371</v>
      </c>
      <c r="B1372" s="19" t="s">
        <v>505</v>
      </c>
      <c r="C1372" s="18">
        <v>2025</v>
      </c>
      <c r="D1372" s="18" t="s">
        <v>39</v>
      </c>
      <c r="E1372" s="18" t="s">
        <v>85</v>
      </c>
      <c r="F1372" s="18" t="s">
        <v>121</v>
      </c>
      <c r="G1372" s="18" t="s">
        <v>41</v>
      </c>
      <c r="H1372" s="18" t="s">
        <v>90</v>
      </c>
      <c r="I1372" s="18" t="s">
        <v>60</v>
      </c>
      <c r="J1372" s="18" t="s">
        <v>91</v>
      </c>
      <c r="K1372" s="18">
        <v>1</v>
      </c>
      <c r="L1372" s="20">
        <v>18118.29</v>
      </c>
      <c r="M1372" s="21">
        <v>0</v>
      </c>
      <c r="N1372" s="21">
        <v>0.74195765183003504</v>
      </c>
      <c r="O1372" s="20">
        <f t="shared" si="84"/>
        <v>18118.29</v>
      </c>
      <c r="P1372" s="20">
        <f t="shared" si="85"/>
        <v>13443.003903575605</v>
      </c>
      <c r="Q1372" s="20">
        <f t="shared" si="86"/>
        <v>4675.2860964243955</v>
      </c>
      <c r="R1372" s="22">
        <f t="shared" si="87"/>
        <v>0.25804234816996502</v>
      </c>
    </row>
    <row r="1373" spans="1:18">
      <c r="A1373" s="18">
        <v>2372</v>
      </c>
      <c r="B1373" s="19" t="s">
        <v>506</v>
      </c>
      <c r="C1373" s="18">
        <v>2025</v>
      </c>
      <c r="D1373" s="18" t="s">
        <v>39</v>
      </c>
      <c r="E1373" s="18" t="s">
        <v>85</v>
      </c>
      <c r="F1373" s="18" t="s">
        <v>121</v>
      </c>
      <c r="G1373" s="18" t="s">
        <v>47</v>
      </c>
      <c r="H1373" s="18" t="s">
        <v>103</v>
      </c>
      <c r="I1373" s="18" t="s">
        <v>43</v>
      </c>
      <c r="J1373" s="18" t="s">
        <v>102</v>
      </c>
      <c r="K1373" s="18">
        <v>2</v>
      </c>
      <c r="L1373" s="20">
        <v>3220.9</v>
      </c>
      <c r="M1373" s="21">
        <v>0.15</v>
      </c>
      <c r="N1373" s="21">
        <v>0.70611764209320405</v>
      </c>
      <c r="O1373" s="20">
        <f t="shared" si="84"/>
        <v>5475.53</v>
      </c>
      <c r="P1373" s="20">
        <f t="shared" si="85"/>
        <v>3866.3683328106013</v>
      </c>
      <c r="Q1373" s="20">
        <f t="shared" si="86"/>
        <v>1609.1616671893985</v>
      </c>
      <c r="R1373" s="22">
        <f t="shared" si="87"/>
        <v>0.29388235790679595</v>
      </c>
    </row>
    <row r="1374" spans="1:18">
      <c r="A1374" s="18">
        <v>2373</v>
      </c>
      <c r="B1374" s="19" t="s">
        <v>506</v>
      </c>
      <c r="C1374" s="18">
        <v>2025</v>
      </c>
      <c r="D1374" s="18" t="s">
        <v>39</v>
      </c>
      <c r="E1374" s="18" t="s">
        <v>88</v>
      </c>
      <c r="F1374" s="18" t="s">
        <v>93</v>
      </c>
      <c r="G1374" s="18" t="s">
        <v>41</v>
      </c>
      <c r="H1374" s="18" t="s">
        <v>112</v>
      </c>
      <c r="I1374" s="18" t="s">
        <v>62</v>
      </c>
      <c r="J1374" s="18" t="s">
        <v>102</v>
      </c>
      <c r="K1374" s="18">
        <v>4</v>
      </c>
      <c r="L1374" s="20">
        <v>6151.14</v>
      </c>
      <c r="M1374" s="21">
        <v>0.2</v>
      </c>
      <c r="N1374" s="21">
        <v>0.63618934574388797</v>
      </c>
      <c r="O1374" s="20">
        <f t="shared" si="84"/>
        <v>19683.648000000001</v>
      </c>
      <c r="P1374" s="20">
        <f t="shared" si="85"/>
        <v>12522.527142972989</v>
      </c>
      <c r="Q1374" s="20">
        <f t="shared" si="86"/>
        <v>7161.1208570270119</v>
      </c>
      <c r="R1374" s="22">
        <f t="shared" si="87"/>
        <v>0.36381065425611203</v>
      </c>
    </row>
    <row r="1375" spans="1:18">
      <c r="A1375" s="18">
        <v>2374</v>
      </c>
      <c r="B1375" s="19" t="s">
        <v>506</v>
      </c>
      <c r="C1375" s="18">
        <v>2025</v>
      </c>
      <c r="D1375" s="18" t="s">
        <v>39</v>
      </c>
      <c r="E1375" s="18" t="s">
        <v>98</v>
      </c>
      <c r="F1375" s="18" t="s">
        <v>109</v>
      </c>
      <c r="G1375" s="18" t="s">
        <v>50</v>
      </c>
      <c r="H1375" s="18" t="s">
        <v>87</v>
      </c>
      <c r="I1375" s="18" t="s">
        <v>46</v>
      </c>
      <c r="J1375" s="18" t="s">
        <v>102</v>
      </c>
      <c r="K1375" s="18">
        <v>6</v>
      </c>
      <c r="L1375" s="20">
        <v>9094.3700000000008</v>
      </c>
      <c r="M1375" s="21">
        <v>0.2</v>
      </c>
      <c r="N1375" s="21">
        <v>0.66504475375981598</v>
      </c>
      <c r="O1375" s="20">
        <f t="shared" si="84"/>
        <v>43652.976000000002</v>
      </c>
      <c r="P1375" s="20">
        <f t="shared" si="85"/>
        <v>29031.18267480316</v>
      </c>
      <c r="Q1375" s="20">
        <f t="shared" si="86"/>
        <v>14621.793325196842</v>
      </c>
      <c r="R1375" s="22">
        <f t="shared" si="87"/>
        <v>0.33495524624018397</v>
      </c>
    </row>
    <row r="1376" spans="1:18">
      <c r="A1376" s="18">
        <v>2375</v>
      </c>
      <c r="B1376" s="19" t="s">
        <v>506</v>
      </c>
      <c r="C1376" s="18">
        <v>2025</v>
      </c>
      <c r="D1376" s="18" t="s">
        <v>39</v>
      </c>
      <c r="E1376" s="18" t="s">
        <v>85</v>
      </c>
      <c r="F1376" s="18" t="s">
        <v>94</v>
      </c>
      <c r="G1376" s="18" t="s">
        <v>50</v>
      </c>
      <c r="H1376" s="18" t="s">
        <v>83</v>
      </c>
      <c r="I1376" s="18" t="s">
        <v>56</v>
      </c>
      <c r="J1376" s="18" t="s">
        <v>102</v>
      </c>
      <c r="K1376" s="18">
        <v>5</v>
      </c>
      <c r="L1376" s="20">
        <v>3327.22</v>
      </c>
      <c r="M1376" s="21">
        <v>0.1</v>
      </c>
      <c r="N1376" s="21">
        <v>0.55377433003267296</v>
      </c>
      <c r="O1376" s="20">
        <f t="shared" si="84"/>
        <v>14972.49</v>
      </c>
      <c r="P1376" s="20">
        <f t="shared" si="85"/>
        <v>8291.3806186708953</v>
      </c>
      <c r="Q1376" s="20">
        <f t="shared" si="86"/>
        <v>6681.1093813291045</v>
      </c>
      <c r="R1376" s="22">
        <f t="shared" si="87"/>
        <v>0.44622566996732704</v>
      </c>
    </row>
    <row r="1377" spans="1:18">
      <c r="A1377" s="18">
        <v>2376</v>
      </c>
      <c r="B1377" s="19" t="s">
        <v>507</v>
      </c>
      <c r="C1377" s="18">
        <v>2025</v>
      </c>
      <c r="D1377" s="18" t="s">
        <v>42</v>
      </c>
      <c r="E1377" s="18" t="s">
        <v>98</v>
      </c>
      <c r="F1377" s="18" t="s">
        <v>109</v>
      </c>
      <c r="G1377" s="18" t="s">
        <v>44</v>
      </c>
      <c r="H1377" s="18" t="s">
        <v>114</v>
      </c>
      <c r="I1377" s="18" t="s">
        <v>49</v>
      </c>
      <c r="J1377" s="18" t="s">
        <v>102</v>
      </c>
      <c r="K1377" s="18">
        <v>11</v>
      </c>
      <c r="L1377" s="20">
        <v>9241</v>
      </c>
      <c r="M1377" s="21">
        <v>0.15</v>
      </c>
      <c r="N1377" s="21">
        <v>0.64155066408755301</v>
      </c>
      <c r="O1377" s="20">
        <f t="shared" si="84"/>
        <v>86403.349999999991</v>
      </c>
      <c r="P1377" s="20">
        <f t="shared" si="85"/>
        <v>55432.126571889268</v>
      </c>
      <c r="Q1377" s="20">
        <f t="shared" si="86"/>
        <v>30971.223428110723</v>
      </c>
      <c r="R1377" s="22">
        <f t="shared" si="87"/>
        <v>0.35844933591244699</v>
      </c>
    </row>
    <row r="1378" spans="1:18">
      <c r="A1378" s="18">
        <v>2377</v>
      </c>
      <c r="B1378" s="19" t="s">
        <v>507</v>
      </c>
      <c r="C1378" s="18">
        <v>2025</v>
      </c>
      <c r="D1378" s="18" t="s">
        <v>42</v>
      </c>
      <c r="E1378" s="18" t="s">
        <v>88</v>
      </c>
      <c r="F1378" s="18" t="s">
        <v>93</v>
      </c>
      <c r="G1378" s="18" t="s">
        <v>47</v>
      </c>
      <c r="H1378" s="18" t="s">
        <v>103</v>
      </c>
      <c r="I1378" s="18" t="s">
        <v>62</v>
      </c>
      <c r="J1378" s="18" t="s">
        <v>82</v>
      </c>
      <c r="K1378" s="18">
        <v>4</v>
      </c>
      <c r="L1378" s="20">
        <v>3287.36</v>
      </c>
      <c r="M1378" s="21">
        <v>0</v>
      </c>
      <c r="N1378" s="21">
        <v>0.61169633296368497</v>
      </c>
      <c r="O1378" s="20">
        <f t="shared" si="84"/>
        <v>13149.44</v>
      </c>
      <c r="P1378" s="20">
        <f t="shared" si="85"/>
        <v>8043.4642285259979</v>
      </c>
      <c r="Q1378" s="20">
        <f t="shared" si="86"/>
        <v>5105.9757714740026</v>
      </c>
      <c r="R1378" s="22">
        <f t="shared" si="87"/>
        <v>0.38830366703631503</v>
      </c>
    </row>
    <row r="1379" spans="1:18">
      <c r="A1379" s="18">
        <v>2378</v>
      </c>
      <c r="B1379" s="19" t="s">
        <v>507</v>
      </c>
      <c r="C1379" s="18">
        <v>2025</v>
      </c>
      <c r="D1379" s="18" t="s">
        <v>42</v>
      </c>
      <c r="E1379" s="18" t="s">
        <v>79</v>
      </c>
      <c r="F1379" s="18" t="s">
        <v>100</v>
      </c>
      <c r="G1379" s="18" t="s">
        <v>41</v>
      </c>
      <c r="H1379" s="18" t="s">
        <v>101</v>
      </c>
      <c r="I1379" s="18" t="s">
        <v>60</v>
      </c>
      <c r="J1379" s="18" t="s">
        <v>91</v>
      </c>
      <c r="K1379" s="18">
        <v>2</v>
      </c>
      <c r="L1379" s="20">
        <v>54051.040000000001</v>
      </c>
      <c r="M1379" s="21">
        <v>0.05</v>
      </c>
      <c r="N1379" s="21">
        <v>0.73569310043767699</v>
      </c>
      <c r="O1379" s="20">
        <f t="shared" si="84"/>
        <v>102696.976</v>
      </c>
      <c r="P1379" s="20">
        <f t="shared" si="85"/>
        <v>75553.456679013703</v>
      </c>
      <c r="Q1379" s="20">
        <f t="shared" si="86"/>
        <v>27143.519320986292</v>
      </c>
      <c r="R1379" s="22">
        <f t="shared" si="87"/>
        <v>0.26430689956232295</v>
      </c>
    </row>
    <row r="1380" spans="1:18">
      <c r="A1380" s="18">
        <v>2379</v>
      </c>
      <c r="B1380" s="19" t="s">
        <v>508</v>
      </c>
      <c r="C1380" s="18">
        <v>2025</v>
      </c>
      <c r="D1380" s="18" t="s">
        <v>42</v>
      </c>
      <c r="E1380" s="18" t="s">
        <v>88</v>
      </c>
      <c r="F1380" s="18" t="s">
        <v>89</v>
      </c>
      <c r="G1380" s="18" t="s">
        <v>44</v>
      </c>
      <c r="H1380" s="18" t="s">
        <v>114</v>
      </c>
      <c r="I1380" s="18" t="s">
        <v>52</v>
      </c>
      <c r="J1380" s="18" t="s">
        <v>82</v>
      </c>
      <c r="K1380" s="18">
        <v>4</v>
      </c>
      <c r="L1380" s="20">
        <v>9245.11</v>
      </c>
      <c r="M1380" s="21">
        <v>0</v>
      </c>
      <c r="N1380" s="21">
        <v>0.57746243309622702</v>
      </c>
      <c r="O1380" s="20">
        <f t="shared" si="84"/>
        <v>36980.44</v>
      </c>
      <c r="P1380" s="20">
        <f t="shared" si="85"/>
        <v>21354.814859369038</v>
      </c>
      <c r="Q1380" s="20">
        <f t="shared" si="86"/>
        <v>15625.625140630964</v>
      </c>
      <c r="R1380" s="22">
        <f t="shared" si="87"/>
        <v>0.42253756690377298</v>
      </c>
    </row>
    <row r="1381" spans="1:18">
      <c r="A1381" s="18">
        <v>2380</v>
      </c>
      <c r="B1381" s="19" t="s">
        <v>508</v>
      </c>
      <c r="C1381" s="18">
        <v>2025</v>
      </c>
      <c r="D1381" s="18" t="s">
        <v>42</v>
      </c>
      <c r="E1381" s="18" t="s">
        <v>85</v>
      </c>
      <c r="F1381" s="18" t="s">
        <v>86</v>
      </c>
      <c r="G1381" s="18" t="s">
        <v>50</v>
      </c>
      <c r="H1381" s="18" t="s">
        <v>83</v>
      </c>
      <c r="I1381" s="18" t="s">
        <v>58</v>
      </c>
      <c r="J1381" s="18" t="s">
        <v>102</v>
      </c>
      <c r="K1381" s="18">
        <v>12</v>
      </c>
      <c r="L1381" s="20">
        <v>3398</v>
      </c>
      <c r="M1381" s="21">
        <v>0</v>
      </c>
      <c r="N1381" s="21">
        <v>0.63936247741959495</v>
      </c>
      <c r="O1381" s="20">
        <f t="shared" si="84"/>
        <v>40776</v>
      </c>
      <c r="P1381" s="20">
        <f t="shared" si="85"/>
        <v>26070.644379261405</v>
      </c>
      <c r="Q1381" s="20">
        <f t="shared" si="86"/>
        <v>14705.355620738595</v>
      </c>
      <c r="R1381" s="22">
        <f t="shared" si="87"/>
        <v>0.36063752258040505</v>
      </c>
    </row>
    <row r="1382" spans="1:18">
      <c r="A1382" s="18">
        <v>2381</v>
      </c>
      <c r="B1382" s="19" t="s">
        <v>508</v>
      </c>
      <c r="C1382" s="18">
        <v>2025</v>
      </c>
      <c r="D1382" s="18" t="s">
        <v>42</v>
      </c>
      <c r="E1382" s="18" t="s">
        <v>85</v>
      </c>
      <c r="F1382" s="18" t="s">
        <v>86</v>
      </c>
      <c r="G1382" s="18" t="s">
        <v>44</v>
      </c>
      <c r="H1382" s="18" t="s">
        <v>114</v>
      </c>
      <c r="I1382" s="18" t="s">
        <v>62</v>
      </c>
      <c r="J1382" s="18" t="s">
        <v>82</v>
      </c>
      <c r="K1382" s="18">
        <v>2</v>
      </c>
      <c r="L1382" s="20">
        <v>9422.32</v>
      </c>
      <c r="M1382" s="21">
        <v>0.15</v>
      </c>
      <c r="N1382" s="21">
        <v>0.73265664216623205</v>
      </c>
      <c r="O1382" s="20">
        <f t="shared" si="84"/>
        <v>16017.944</v>
      </c>
      <c r="P1382" s="20">
        <f t="shared" si="85"/>
        <v>11735.653065446744</v>
      </c>
      <c r="Q1382" s="20">
        <f t="shared" si="86"/>
        <v>4282.2909345532553</v>
      </c>
      <c r="R1382" s="22">
        <f t="shared" si="87"/>
        <v>0.26734335783376789</v>
      </c>
    </row>
    <row r="1383" spans="1:18">
      <c r="A1383" s="18">
        <v>2382</v>
      </c>
      <c r="B1383" s="19" t="s">
        <v>509</v>
      </c>
      <c r="C1383" s="18">
        <v>2025</v>
      </c>
      <c r="D1383" s="18" t="s">
        <v>42</v>
      </c>
      <c r="E1383" s="18" t="s">
        <v>88</v>
      </c>
      <c r="F1383" s="18" t="s">
        <v>110</v>
      </c>
      <c r="G1383" s="18" t="s">
        <v>41</v>
      </c>
      <c r="H1383" s="18" t="s">
        <v>112</v>
      </c>
      <c r="I1383" s="18" t="s">
        <v>62</v>
      </c>
      <c r="J1383" s="18" t="s">
        <v>91</v>
      </c>
      <c r="K1383" s="18">
        <v>12</v>
      </c>
      <c r="L1383" s="20">
        <v>6297.21</v>
      </c>
      <c r="M1383" s="21">
        <v>0.1</v>
      </c>
      <c r="N1383" s="21">
        <v>0.58819622875798905</v>
      </c>
      <c r="O1383" s="20">
        <f t="shared" si="84"/>
        <v>68009.868000000002</v>
      </c>
      <c r="P1383" s="20">
        <f t="shared" si="85"/>
        <v>40003.14787592864</v>
      </c>
      <c r="Q1383" s="20">
        <f t="shared" si="86"/>
        <v>28006.720124071362</v>
      </c>
      <c r="R1383" s="22">
        <f t="shared" si="87"/>
        <v>0.41180377124201095</v>
      </c>
    </row>
    <row r="1384" spans="1:18">
      <c r="A1384" s="18">
        <v>2383</v>
      </c>
      <c r="B1384" s="19" t="s">
        <v>509</v>
      </c>
      <c r="C1384" s="18">
        <v>2025</v>
      </c>
      <c r="D1384" s="18" t="s">
        <v>42</v>
      </c>
      <c r="E1384" s="18" t="s">
        <v>79</v>
      </c>
      <c r="F1384" s="18" t="s">
        <v>80</v>
      </c>
      <c r="G1384" s="18" t="s">
        <v>47</v>
      </c>
      <c r="H1384" s="18" t="s">
        <v>107</v>
      </c>
      <c r="I1384" s="18" t="s">
        <v>52</v>
      </c>
      <c r="J1384" s="18" t="s">
        <v>102</v>
      </c>
      <c r="K1384" s="18">
        <v>2</v>
      </c>
      <c r="L1384" s="20">
        <v>2297.88</v>
      </c>
      <c r="M1384" s="21">
        <v>0</v>
      </c>
      <c r="N1384" s="21">
        <v>0.55145111885671205</v>
      </c>
      <c r="O1384" s="20">
        <f t="shared" si="84"/>
        <v>4595.76</v>
      </c>
      <c r="P1384" s="20">
        <f t="shared" si="85"/>
        <v>2534.336993996923</v>
      </c>
      <c r="Q1384" s="20">
        <f t="shared" si="86"/>
        <v>2061.4230060030773</v>
      </c>
      <c r="R1384" s="22">
        <f t="shared" si="87"/>
        <v>0.448548881143288</v>
      </c>
    </row>
    <row r="1385" spans="1:18">
      <c r="A1385" s="18">
        <v>2384</v>
      </c>
      <c r="B1385" s="19" t="s">
        <v>510</v>
      </c>
      <c r="C1385" s="18">
        <v>2025</v>
      </c>
      <c r="D1385" s="18" t="s">
        <v>42</v>
      </c>
      <c r="E1385" s="18" t="s">
        <v>85</v>
      </c>
      <c r="F1385" s="18" t="s">
        <v>86</v>
      </c>
      <c r="G1385" s="18" t="s">
        <v>47</v>
      </c>
      <c r="H1385" s="18" t="s">
        <v>107</v>
      </c>
      <c r="I1385" s="18" t="s">
        <v>52</v>
      </c>
      <c r="J1385" s="18" t="s">
        <v>82</v>
      </c>
      <c r="K1385" s="18">
        <v>7</v>
      </c>
      <c r="L1385" s="20">
        <v>2298.11</v>
      </c>
      <c r="M1385" s="21">
        <v>0.2</v>
      </c>
      <c r="N1385" s="21">
        <v>0.61013888750874801</v>
      </c>
      <c r="O1385" s="20">
        <f t="shared" si="84"/>
        <v>12869.416000000001</v>
      </c>
      <c r="P1385" s="20">
        <f t="shared" si="85"/>
        <v>7852.1311611272822</v>
      </c>
      <c r="Q1385" s="20">
        <f t="shared" si="86"/>
        <v>5017.2848388727189</v>
      </c>
      <c r="R1385" s="22">
        <f t="shared" si="87"/>
        <v>0.38986111249125199</v>
      </c>
    </row>
    <row r="1386" spans="1:18">
      <c r="A1386" s="18">
        <v>2385</v>
      </c>
      <c r="B1386" s="19" t="s">
        <v>510</v>
      </c>
      <c r="C1386" s="18">
        <v>2025</v>
      </c>
      <c r="D1386" s="18" t="s">
        <v>42</v>
      </c>
      <c r="E1386" s="18" t="s">
        <v>79</v>
      </c>
      <c r="F1386" s="18" t="s">
        <v>80</v>
      </c>
      <c r="G1386" s="18" t="s">
        <v>50</v>
      </c>
      <c r="H1386" s="18" t="s">
        <v>97</v>
      </c>
      <c r="I1386" s="18" t="s">
        <v>40</v>
      </c>
      <c r="J1386" s="18" t="s">
        <v>91</v>
      </c>
      <c r="K1386" s="18">
        <v>12</v>
      </c>
      <c r="L1386" s="20">
        <v>12176.83</v>
      </c>
      <c r="M1386" s="21">
        <v>0.05</v>
      </c>
      <c r="N1386" s="21">
        <v>0.55907389840593302</v>
      </c>
      <c r="O1386" s="20">
        <f t="shared" si="84"/>
        <v>138815.86199999999</v>
      </c>
      <c r="P1386" s="20">
        <f t="shared" si="85"/>
        <v>77608.325128920013</v>
      </c>
      <c r="Q1386" s="20">
        <f t="shared" si="86"/>
        <v>61207.536871079981</v>
      </c>
      <c r="R1386" s="22">
        <f t="shared" si="87"/>
        <v>0.44092610159406698</v>
      </c>
    </row>
    <row r="1387" spans="1:18">
      <c r="A1387" s="18">
        <v>2386</v>
      </c>
      <c r="B1387" s="19" t="s">
        <v>510</v>
      </c>
      <c r="C1387" s="18">
        <v>2025</v>
      </c>
      <c r="D1387" s="18" t="s">
        <v>42</v>
      </c>
      <c r="E1387" s="18" t="s">
        <v>88</v>
      </c>
      <c r="F1387" s="18" t="s">
        <v>110</v>
      </c>
      <c r="G1387" s="18" t="s">
        <v>41</v>
      </c>
      <c r="H1387" s="18" t="s">
        <v>101</v>
      </c>
      <c r="I1387" s="18" t="s">
        <v>60</v>
      </c>
      <c r="J1387" s="18" t="s">
        <v>82</v>
      </c>
      <c r="K1387" s="18">
        <v>3</v>
      </c>
      <c r="L1387" s="20">
        <v>56072.89</v>
      </c>
      <c r="M1387" s="21">
        <v>0</v>
      </c>
      <c r="N1387" s="21">
        <v>0.56223629205853398</v>
      </c>
      <c r="O1387" s="20">
        <f t="shared" si="84"/>
        <v>168218.66999999998</v>
      </c>
      <c r="P1387" s="20">
        <f t="shared" si="85"/>
        <v>94578.64127581814</v>
      </c>
      <c r="Q1387" s="20">
        <f t="shared" si="86"/>
        <v>73640.028724181844</v>
      </c>
      <c r="R1387" s="22">
        <f t="shared" si="87"/>
        <v>0.43776370794146602</v>
      </c>
    </row>
    <row r="1388" spans="1:18">
      <c r="A1388" s="18">
        <v>2387</v>
      </c>
      <c r="B1388" s="19" t="s">
        <v>510</v>
      </c>
      <c r="C1388" s="18">
        <v>2025</v>
      </c>
      <c r="D1388" s="18" t="s">
        <v>42</v>
      </c>
      <c r="E1388" s="18" t="s">
        <v>88</v>
      </c>
      <c r="F1388" s="18" t="s">
        <v>93</v>
      </c>
      <c r="G1388" s="18" t="s">
        <v>47</v>
      </c>
      <c r="H1388" s="18" t="s">
        <v>107</v>
      </c>
      <c r="I1388" s="18" t="s">
        <v>62</v>
      </c>
      <c r="J1388" s="18" t="s">
        <v>91</v>
      </c>
      <c r="K1388" s="18">
        <v>3</v>
      </c>
      <c r="L1388" s="20">
        <v>2182.23</v>
      </c>
      <c r="M1388" s="21">
        <v>0</v>
      </c>
      <c r="N1388" s="21">
        <v>0.73725831734925495</v>
      </c>
      <c r="O1388" s="20">
        <f t="shared" si="84"/>
        <v>6546.6900000000005</v>
      </c>
      <c r="P1388" s="20">
        <f t="shared" si="85"/>
        <v>4826.6016536071947</v>
      </c>
      <c r="Q1388" s="20">
        <f t="shared" si="86"/>
        <v>1720.0883463928058</v>
      </c>
      <c r="R1388" s="22">
        <f t="shared" si="87"/>
        <v>0.26274168265074499</v>
      </c>
    </row>
    <row r="1389" spans="1:18">
      <c r="A1389" s="18">
        <v>2388</v>
      </c>
      <c r="B1389" s="19" t="s">
        <v>510</v>
      </c>
      <c r="C1389" s="18">
        <v>2025</v>
      </c>
      <c r="D1389" s="18" t="s">
        <v>42</v>
      </c>
      <c r="E1389" s="18" t="s">
        <v>88</v>
      </c>
      <c r="F1389" s="18" t="s">
        <v>93</v>
      </c>
      <c r="G1389" s="18" t="s">
        <v>44</v>
      </c>
      <c r="H1389" s="18" t="s">
        <v>114</v>
      </c>
      <c r="I1389" s="18" t="s">
        <v>43</v>
      </c>
      <c r="J1389" s="18" t="s">
        <v>82</v>
      </c>
      <c r="K1389" s="18">
        <v>1</v>
      </c>
      <c r="L1389" s="20">
        <v>8997.7999999999993</v>
      </c>
      <c r="M1389" s="21">
        <v>0.05</v>
      </c>
      <c r="N1389" s="21">
        <v>0.63073085937695605</v>
      </c>
      <c r="O1389" s="20">
        <f t="shared" si="84"/>
        <v>8547.909999999998</v>
      </c>
      <c r="P1389" s="20">
        <f t="shared" si="85"/>
        <v>5391.430620176875</v>
      </c>
      <c r="Q1389" s="20">
        <f t="shared" si="86"/>
        <v>3156.4793798231231</v>
      </c>
      <c r="R1389" s="22">
        <f t="shared" si="87"/>
        <v>0.36926914062304395</v>
      </c>
    </row>
    <row r="1390" spans="1:18">
      <c r="A1390" s="18">
        <v>2389</v>
      </c>
      <c r="B1390" s="19" t="s">
        <v>511</v>
      </c>
      <c r="C1390" s="18">
        <v>2025</v>
      </c>
      <c r="D1390" s="18" t="s">
        <v>42</v>
      </c>
      <c r="E1390" s="18" t="s">
        <v>98</v>
      </c>
      <c r="F1390" s="18" t="s">
        <v>99</v>
      </c>
      <c r="G1390" s="18" t="s">
        <v>47</v>
      </c>
      <c r="H1390" s="18" t="s">
        <v>81</v>
      </c>
      <c r="I1390" s="18" t="s">
        <v>40</v>
      </c>
      <c r="J1390" s="18" t="s">
        <v>91</v>
      </c>
      <c r="K1390" s="18">
        <v>1</v>
      </c>
      <c r="L1390" s="20">
        <v>831.11</v>
      </c>
      <c r="M1390" s="21">
        <v>0</v>
      </c>
      <c r="N1390" s="21">
        <v>0.69699016790394197</v>
      </c>
      <c r="O1390" s="20">
        <f t="shared" si="84"/>
        <v>831.11</v>
      </c>
      <c r="P1390" s="20">
        <f t="shared" si="85"/>
        <v>579.2754984466452</v>
      </c>
      <c r="Q1390" s="20">
        <f t="shared" si="86"/>
        <v>251.83450155335481</v>
      </c>
      <c r="R1390" s="22">
        <f t="shared" si="87"/>
        <v>0.30300983209605803</v>
      </c>
    </row>
    <row r="1391" spans="1:18">
      <c r="A1391" s="18">
        <v>2390</v>
      </c>
      <c r="B1391" s="19" t="s">
        <v>511</v>
      </c>
      <c r="C1391" s="18">
        <v>2025</v>
      </c>
      <c r="D1391" s="18" t="s">
        <v>42</v>
      </c>
      <c r="E1391" s="18" t="s">
        <v>88</v>
      </c>
      <c r="F1391" s="18" t="s">
        <v>89</v>
      </c>
      <c r="G1391" s="18" t="s">
        <v>41</v>
      </c>
      <c r="H1391" s="18" t="s">
        <v>112</v>
      </c>
      <c r="I1391" s="18" t="s">
        <v>62</v>
      </c>
      <c r="J1391" s="18" t="s">
        <v>102</v>
      </c>
      <c r="K1391" s="18">
        <v>9</v>
      </c>
      <c r="L1391" s="20">
        <v>5801.84</v>
      </c>
      <c r="M1391" s="21">
        <v>0</v>
      </c>
      <c r="N1391" s="21">
        <v>0.55298769227961697</v>
      </c>
      <c r="O1391" s="20">
        <f t="shared" si="84"/>
        <v>52216.56</v>
      </c>
      <c r="P1391" s="20">
        <f t="shared" si="85"/>
        <v>28875.115013180155</v>
      </c>
      <c r="Q1391" s="20">
        <f t="shared" si="86"/>
        <v>23341.444986819843</v>
      </c>
      <c r="R1391" s="22">
        <f t="shared" si="87"/>
        <v>0.44701230772038303</v>
      </c>
    </row>
    <row r="1392" spans="1:18">
      <c r="A1392" s="18">
        <v>2391</v>
      </c>
      <c r="B1392" s="19" t="s">
        <v>511</v>
      </c>
      <c r="C1392" s="18">
        <v>2025</v>
      </c>
      <c r="D1392" s="18" t="s">
        <v>42</v>
      </c>
      <c r="E1392" s="18" t="s">
        <v>88</v>
      </c>
      <c r="F1392" s="18" t="s">
        <v>110</v>
      </c>
      <c r="G1392" s="18" t="s">
        <v>50</v>
      </c>
      <c r="H1392" s="18" t="s">
        <v>83</v>
      </c>
      <c r="I1392" s="18" t="s">
        <v>43</v>
      </c>
      <c r="J1392" s="18" t="s">
        <v>91</v>
      </c>
      <c r="K1392" s="18">
        <v>8</v>
      </c>
      <c r="L1392" s="20">
        <v>3669.18</v>
      </c>
      <c r="M1392" s="21">
        <v>0.15</v>
      </c>
      <c r="N1392" s="21">
        <v>0.63808316608429805</v>
      </c>
      <c r="O1392" s="20">
        <f t="shared" si="84"/>
        <v>24950.423999999999</v>
      </c>
      <c r="P1392" s="20">
        <f t="shared" si="85"/>
        <v>15920.445541065656</v>
      </c>
      <c r="Q1392" s="20">
        <f t="shared" si="86"/>
        <v>9029.9784589343435</v>
      </c>
      <c r="R1392" s="22">
        <f t="shared" si="87"/>
        <v>0.36191683391570195</v>
      </c>
    </row>
    <row r="1393" spans="1:18">
      <c r="A1393" s="18">
        <v>2392</v>
      </c>
      <c r="B1393" s="19" t="s">
        <v>511</v>
      </c>
      <c r="C1393" s="18">
        <v>2025</v>
      </c>
      <c r="D1393" s="18" t="s">
        <v>42</v>
      </c>
      <c r="E1393" s="18" t="s">
        <v>79</v>
      </c>
      <c r="F1393" s="18" t="s">
        <v>105</v>
      </c>
      <c r="G1393" s="18" t="s">
        <v>50</v>
      </c>
      <c r="H1393" s="18" t="s">
        <v>97</v>
      </c>
      <c r="I1393" s="18" t="s">
        <v>52</v>
      </c>
      <c r="J1393" s="18" t="s">
        <v>82</v>
      </c>
      <c r="K1393" s="18">
        <v>6</v>
      </c>
      <c r="L1393" s="20">
        <v>12187.65</v>
      </c>
      <c r="M1393" s="21">
        <v>0.05</v>
      </c>
      <c r="N1393" s="21">
        <v>0.74138107093216399</v>
      </c>
      <c r="O1393" s="20">
        <f t="shared" si="84"/>
        <v>69469.604999999996</v>
      </c>
      <c r="P1393" s="20">
        <f t="shared" si="85"/>
        <v>51503.450152134414</v>
      </c>
      <c r="Q1393" s="20">
        <f t="shared" si="86"/>
        <v>17966.154847865582</v>
      </c>
      <c r="R1393" s="22">
        <f t="shared" si="87"/>
        <v>0.25861892906783596</v>
      </c>
    </row>
    <row r="1394" spans="1:18">
      <c r="A1394" s="18">
        <v>2393</v>
      </c>
      <c r="B1394" s="19" t="s">
        <v>512</v>
      </c>
      <c r="C1394" s="18">
        <v>2025</v>
      </c>
      <c r="D1394" s="18" t="s">
        <v>42</v>
      </c>
      <c r="E1394" s="18" t="s">
        <v>85</v>
      </c>
      <c r="F1394" s="18" t="s">
        <v>121</v>
      </c>
      <c r="G1394" s="18" t="s">
        <v>44</v>
      </c>
      <c r="H1394" s="18" t="s">
        <v>119</v>
      </c>
      <c r="I1394" s="18" t="s">
        <v>49</v>
      </c>
      <c r="J1394" s="18" t="s">
        <v>102</v>
      </c>
      <c r="K1394" s="18">
        <v>3</v>
      </c>
      <c r="L1394" s="20">
        <v>7213.81</v>
      </c>
      <c r="M1394" s="21">
        <v>0</v>
      </c>
      <c r="N1394" s="21">
        <v>0.59511036822082097</v>
      </c>
      <c r="O1394" s="20">
        <f t="shared" si="84"/>
        <v>21641.43</v>
      </c>
      <c r="P1394" s="20">
        <f t="shared" si="85"/>
        <v>12879.039376125122</v>
      </c>
      <c r="Q1394" s="20">
        <f t="shared" si="86"/>
        <v>8762.3906238748787</v>
      </c>
      <c r="R1394" s="22">
        <f t="shared" si="87"/>
        <v>0.40488963177917903</v>
      </c>
    </row>
    <row r="1395" spans="1:18">
      <c r="A1395" s="18">
        <v>2394</v>
      </c>
      <c r="B1395" s="19" t="s">
        <v>512</v>
      </c>
      <c r="C1395" s="18">
        <v>2025</v>
      </c>
      <c r="D1395" s="18" t="s">
        <v>42</v>
      </c>
      <c r="E1395" s="18" t="s">
        <v>79</v>
      </c>
      <c r="F1395" s="18" t="s">
        <v>80</v>
      </c>
      <c r="G1395" s="18" t="s">
        <v>41</v>
      </c>
      <c r="H1395" s="18" t="s">
        <v>112</v>
      </c>
      <c r="I1395" s="18" t="s">
        <v>52</v>
      </c>
      <c r="J1395" s="18" t="s">
        <v>102</v>
      </c>
      <c r="K1395" s="18">
        <v>2</v>
      </c>
      <c r="L1395" s="20">
        <v>5849.87</v>
      </c>
      <c r="M1395" s="21">
        <v>0.05</v>
      </c>
      <c r="N1395" s="21">
        <v>0.58692535121743405</v>
      </c>
      <c r="O1395" s="20">
        <f t="shared" si="84"/>
        <v>11114.752999999999</v>
      </c>
      <c r="P1395" s="20">
        <f t="shared" si="85"/>
        <v>6523.530308220028</v>
      </c>
      <c r="Q1395" s="20">
        <f t="shared" si="86"/>
        <v>4591.2226917799708</v>
      </c>
      <c r="R1395" s="22">
        <f t="shared" si="87"/>
        <v>0.41307464878256595</v>
      </c>
    </row>
    <row r="1396" spans="1:18">
      <c r="A1396" s="18">
        <v>2395</v>
      </c>
      <c r="B1396" s="19" t="s">
        <v>513</v>
      </c>
      <c r="C1396" s="18">
        <v>2025</v>
      </c>
      <c r="D1396" s="18" t="s">
        <v>42</v>
      </c>
      <c r="E1396" s="18" t="s">
        <v>98</v>
      </c>
      <c r="F1396" s="18" t="s">
        <v>99</v>
      </c>
      <c r="G1396" s="18" t="s">
        <v>50</v>
      </c>
      <c r="H1396" s="18" t="s">
        <v>87</v>
      </c>
      <c r="I1396" s="18" t="s">
        <v>62</v>
      </c>
      <c r="J1396" s="18" t="s">
        <v>102</v>
      </c>
      <c r="K1396" s="18">
        <v>9</v>
      </c>
      <c r="L1396" s="20">
        <v>9573.31</v>
      </c>
      <c r="M1396" s="21">
        <v>0.05</v>
      </c>
      <c r="N1396" s="21">
        <v>0.70197872355510604</v>
      </c>
      <c r="O1396" s="20">
        <f t="shared" si="84"/>
        <v>81851.800499999983</v>
      </c>
      <c r="P1396" s="20">
        <f t="shared" si="85"/>
        <v>57458.222435677177</v>
      </c>
      <c r="Q1396" s="20">
        <f t="shared" si="86"/>
        <v>24393.578064322806</v>
      </c>
      <c r="R1396" s="22">
        <f t="shared" si="87"/>
        <v>0.29802127644489396</v>
      </c>
    </row>
    <row r="1397" spans="1:18">
      <c r="A1397" s="18">
        <v>2396</v>
      </c>
      <c r="B1397" s="19" t="s">
        <v>513</v>
      </c>
      <c r="C1397" s="18">
        <v>2025</v>
      </c>
      <c r="D1397" s="18" t="s">
        <v>42</v>
      </c>
      <c r="E1397" s="18" t="s">
        <v>88</v>
      </c>
      <c r="F1397" s="18" t="s">
        <v>89</v>
      </c>
      <c r="G1397" s="18" t="s">
        <v>50</v>
      </c>
      <c r="H1397" s="18" t="s">
        <v>97</v>
      </c>
      <c r="I1397" s="18" t="s">
        <v>46</v>
      </c>
      <c r="J1397" s="18" t="s">
        <v>102</v>
      </c>
      <c r="K1397" s="18">
        <v>12</v>
      </c>
      <c r="L1397" s="20">
        <v>12521.55</v>
      </c>
      <c r="M1397" s="21">
        <v>0</v>
      </c>
      <c r="N1397" s="21">
        <v>0.69958718852104895</v>
      </c>
      <c r="O1397" s="20">
        <f t="shared" si="84"/>
        <v>150258.59999999998</v>
      </c>
      <c r="P1397" s="20">
        <f t="shared" si="85"/>
        <v>105118.99152510887</v>
      </c>
      <c r="Q1397" s="20">
        <f t="shared" si="86"/>
        <v>45139.608474891109</v>
      </c>
      <c r="R1397" s="22">
        <f t="shared" si="87"/>
        <v>0.30041281147895105</v>
      </c>
    </row>
    <row r="1398" spans="1:18">
      <c r="A1398" s="18">
        <v>2397</v>
      </c>
      <c r="B1398" s="19" t="s">
        <v>513</v>
      </c>
      <c r="C1398" s="18">
        <v>2025</v>
      </c>
      <c r="D1398" s="18" t="s">
        <v>42</v>
      </c>
      <c r="E1398" s="18" t="s">
        <v>85</v>
      </c>
      <c r="F1398" s="18" t="s">
        <v>94</v>
      </c>
      <c r="G1398" s="18" t="s">
        <v>41</v>
      </c>
      <c r="H1398" s="18" t="s">
        <v>101</v>
      </c>
      <c r="I1398" s="18" t="s">
        <v>46</v>
      </c>
      <c r="J1398" s="18" t="s">
        <v>82</v>
      </c>
      <c r="K1398" s="18">
        <v>3</v>
      </c>
      <c r="L1398" s="20">
        <v>55740.47</v>
      </c>
      <c r="M1398" s="21">
        <v>0</v>
      </c>
      <c r="N1398" s="21">
        <v>0.58237704097742404</v>
      </c>
      <c r="O1398" s="20">
        <f t="shared" si="84"/>
        <v>167221.41</v>
      </c>
      <c r="P1398" s="20">
        <f t="shared" si="85"/>
        <v>97385.909943872626</v>
      </c>
      <c r="Q1398" s="20">
        <f t="shared" si="86"/>
        <v>69835.500056127377</v>
      </c>
      <c r="R1398" s="22">
        <f t="shared" si="87"/>
        <v>0.41762295902257596</v>
      </c>
    </row>
    <row r="1399" spans="1:18">
      <c r="A1399" s="18">
        <v>2398</v>
      </c>
      <c r="B1399" s="19" t="s">
        <v>513</v>
      </c>
      <c r="C1399" s="18">
        <v>2025</v>
      </c>
      <c r="D1399" s="18" t="s">
        <v>42</v>
      </c>
      <c r="E1399" s="18" t="s">
        <v>98</v>
      </c>
      <c r="F1399" s="18" t="s">
        <v>117</v>
      </c>
      <c r="G1399" s="18" t="s">
        <v>50</v>
      </c>
      <c r="H1399" s="18" t="s">
        <v>97</v>
      </c>
      <c r="I1399" s="18" t="s">
        <v>54</v>
      </c>
      <c r="J1399" s="18" t="s">
        <v>82</v>
      </c>
      <c r="K1399" s="18">
        <v>11</v>
      </c>
      <c r="L1399" s="20">
        <v>12443.43</v>
      </c>
      <c r="M1399" s="21">
        <v>0.15</v>
      </c>
      <c r="N1399" s="21">
        <v>0.63113137103930705</v>
      </c>
      <c r="O1399" s="20">
        <f t="shared" si="84"/>
        <v>116346.0705</v>
      </c>
      <c r="P1399" s="20">
        <f t="shared" si="85"/>
        <v>73429.654989700881</v>
      </c>
      <c r="Q1399" s="20">
        <f t="shared" si="86"/>
        <v>42916.415510299121</v>
      </c>
      <c r="R1399" s="22">
        <f t="shared" si="87"/>
        <v>0.36886862896069295</v>
      </c>
    </row>
    <row r="1400" spans="1:18">
      <c r="A1400" s="18">
        <v>2399</v>
      </c>
      <c r="B1400" s="19" t="s">
        <v>514</v>
      </c>
      <c r="C1400" s="18">
        <v>2025</v>
      </c>
      <c r="D1400" s="18" t="s">
        <v>42</v>
      </c>
      <c r="E1400" s="18" t="s">
        <v>85</v>
      </c>
      <c r="F1400" s="18" t="s">
        <v>94</v>
      </c>
      <c r="G1400" s="18" t="s">
        <v>47</v>
      </c>
      <c r="H1400" s="18" t="s">
        <v>103</v>
      </c>
      <c r="I1400" s="18" t="s">
        <v>58</v>
      </c>
      <c r="J1400" s="18" t="s">
        <v>82</v>
      </c>
      <c r="K1400" s="18">
        <v>12</v>
      </c>
      <c r="L1400" s="20">
        <v>3129.38</v>
      </c>
      <c r="M1400" s="21">
        <v>0.15</v>
      </c>
      <c r="N1400" s="21">
        <v>0.73477712621890101</v>
      </c>
      <c r="O1400" s="20">
        <f t="shared" si="84"/>
        <v>31919.675999999996</v>
      </c>
      <c r="P1400" s="20">
        <f t="shared" si="85"/>
        <v>23453.847801118423</v>
      </c>
      <c r="Q1400" s="20">
        <f t="shared" si="86"/>
        <v>8465.8281988815725</v>
      </c>
      <c r="R1400" s="22">
        <f t="shared" si="87"/>
        <v>0.26522287378109893</v>
      </c>
    </row>
    <row r="1401" spans="1:18">
      <c r="A1401" s="18">
        <v>2400</v>
      </c>
      <c r="B1401" s="19" t="s">
        <v>514</v>
      </c>
      <c r="C1401" s="18">
        <v>2025</v>
      </c>
      <c r="D1401" s="18" t="s">
        <v>42</v>
      </c>
      <c r="E1401" s="18" t="s">
        <v>98</v>
      </c>
      <c r="F1401" s="18" t="s">
        <v>117</v>
      </c>
      <c r="G1401" s="18" t="s">
        <v>47</v>
      </c>
      <c r="H1401" s="18" t="s">
        <v>107</v>
      </c>
      <c r="I1401" s="18" t="s">
        <v>58</v>
      </c>
      <c r="J1401" s="18" t="s">
        <v>102</v>
      </c>
      <c r="K1401" s="18">
        <v>8</v>
      </c>
      <c r="L1401" s="20">
        <v>2235.91</v>
      </c>
      <c r="M1401" s="21">
        <v>0.2</v>
      </c>
      <c r="N1401" s="21">
        <v>0.72124287686105804</v>
      </c>
      <c r="O1401" s="20">
        <f t="shared" si="84"/>
        <v>14309.824000000001</v>
      </c>
      <c r="P1401" s="20">
        <f t="shared" si="85"/>
        <v>10320.858629135413</v>
      </c>
      <c r="Q1401" s="20">
        <f t="shared" si="86"/>
        <v>3988.9653708645874</v>
      </c>
      <c r="R1401" s="22">
        <f t="shared" si="87"/>
        <v>0.27875712313894196</v>
      </c>
    </row>
    <row r="1402" spans="1:18">
      <c r="A1402" s="18">
        <v>2401</v>
      </c>
      <c r="B1402" s="19" t="s">
        <v>514</v>
      </c>
      <c r="C1402" s="18">
        <v>2025</v>
      </c>
      <c r="D1402" s="18" t="s">
        <v>42</v>
      </c>
      <c r="E1402" s="18" t="s">
        <v>98</v>
      </c>
      <c r="F1402" s="18" t="s">
        <v>117</v>
      </c>
      <c r="G1402" s="18" t="s">
        <v>47</v>
      </c>
      <c r="H1402" s="18" t="s">
        <v>107</v>
      </c>
      <c r="I1402" s="18" t="s">
        <v>40</v>
      </c>
      <c r="J1402" s="18" t="s">
        <v>102</v>
      </c>
      <c r="K1402" s="18">
        <v>3</v>
      </c>
      <c r="L1402" s="20">
        <v>2110.81</v>
      </c>
      <c r="M1402" s="21">
        <v>0.1</v>
      </c>
      <c r="N1402" s="21">
        <v>0.71601559089293598</v>
      </c>
      <c r="O1402" s="20">
        <f t="shared" si="84"/>
        <v>5699.1870000000008</v>
      </c>
      <c r="P1402" s="20">
        <f t="shared" si="85"/>
        <v>4080.7067474143396</v>
      </c>
      <c r="Q1402" s="20">
        <f t="shared" si="86"/>
        <v>1618.4802525856612</v>
      </c>
      <c r="R1402" s="22">
        <f t="shared" si="87"/>
        <v>0.28398440910706402</v>
      </c>
    </row>
    <row r="1403" spans="1:18">
      <c r="A1403" s="18">
        <v>2402</v>
      </c>
      <c r="B1403" s="19" t="s">
        <v>515</v>
      </c>
      <c r="C1403" s="18">
        <v>2025</v>
      </c>
      <c r="D1403" s="18" t="s">
        <v>42</v>
      </c>
      <c r="E1403" s="18" t="s">
        <v>98</v>
      </c>
      <c r="F1403" s="18" t="s">
        <v>117</v>
      </c>
      <c r="G1403" s="18" t="s">
        <v>47</v>
      </c>
      <c r="H1403" s="18" t="s">
        <v>107</v>
      </c>
      <c r="I1403" s="18" t="s">
        <v>58</v>
      </c>
      <c r="J1403" s="18" t="s">
        <v>91</v>
      </c>
      <c r="K1403" s="18">
        <v>9</v>
      </c>
      <c r="L1403" s="20">
        <v>2306.5500000000002</v>
      </c>
      <c r="M1403" s="21">
        <v>0</v>
      </c>
      <c r="N1403" s="21">
        <v>0.74325851033176105</v>
      </c>
      <c r="O1403" s="20">
        <f t="shared" si="84"/>
        <v>20758.95</v>
      </c>
      <c r="P1403" s="20">
        <f t="shared" si="85"/>
        <v>15429.266253051512</v>
      </c>
      <c r="Q1403" s="20">
        <f t="shared" si="86"/>
        <v>5329.683746948489</v>
      </c>
      <c r="R1403" s="22">
        <f t="shared" si="87"/>
        <v>0.25674148966823895</v>
      </c>
    </row>
    <row r="1404" spans="1:18">
      <c r="A1404" s="18">
        <v>2403</v>
      </c>
      <c r="B1404" s="19" t="s">
        <v>515</v>
      </c>
      <c r="C1404" s="18">
        <v>2025</v>
      </c>
      <c r="D1404" s="18" t="s">
        <v>42</v>
      </c>
      <c r="E1404" s="18" t="s">
        <v>88</v>
      </c>
      <c r="F1404" s="18" t="s">
        <v>89</v>
      </c>
      <c r="G1404" s="18" t="s">
        <v>44</v>
      </c>
      <c r="H1404" s="18" t="s">
        <v>119</v>
      </c>
      <c r="I1404" s="18" t="s">
        <v>49</v>
      </c>
      <c r="J1404" s="18" t="s">
        <v>82</v>
      </c>
      <c r="K1404" s="18">
        <v>4</v>
      </c>
      <c r="L1404" s="20">
        <v>7163.39</v>
      </c>
      <c r="M1404" s="21">
        <v>0.05</v>
      </c>
      <c r="N1404" s="21">
        <v>0.65511493772407803</v>
      </c>
      <c r="O1404" s="20">
        <f t="shared" si="84"/>
        <v>27220.882000000001</v>
      </c>
      <c r="P1404" s="20">
        <f t="shared" si="85"/>
        <v>17832.806416224477</v>
      </c>
      <c r="Q1404" s="20">
        <f t="shared" si="86"/>
        <v>9388.0755837755241</v>
      </c>
      <c r="R1404" s="22">
        <f t="shared" si="87"/>
        <v>0.34488506227592197</v>
      </c>
    </row>
    <row r="1405" spans="1:18">
      <c r="A1405" s="18">
        <v>2404</v>
      </c>
      <c r="B1405" s="19" t="s">
        <v>516</v>
      </c>
      <c r="C1405" s="18">
        <v>2025</v>
      </c>
      <c r="D1405" s="18" t="s">
        <v>42</v>
      </c>
      <c r="E1405" s="18" t="s">
        <v>79</v>
      </c>
      <c r="F1405" s="18" t="s">
        <v>80</v>
      </c>
      <c r="G1405" s="18" t="s">
        <v>47</v>
      </c>
      <c r="H1405" s="18" t="s">
        <v>103</v>
      </c>
      <c r="I1405" s="18" t="s">
        <v>49</v>
      </c>
      <c r="J1405" s="18" t="s">
        <v>102</v>
      </c>
      <c r="K1405" s="18">
        <v>9</v>
      </c>
      <c r="L1405" s="20">
        <v>3093.36</v>
      </c>
      <c r="M1405" s="21">
        <v>0</v>
      </c>
      <c r="N1405" s="21">
        <v>0.570027614653702</v>
      </c>
      <c r="O1405" s="20">
        <f t="shared" si="84"/>
        <v>27840.240000000002</v>
      </c>
      <c r="P1405" s="20">
        <f t="shared" si="85"/>
        <v>15869.705598586581</v>
      </c>
      <c r="Q1405" s="20">
        <f t="shared" si="86"/>
        <v>11970.534401413421</v>
      </c>
      <c r="R1405" s="22">
        <f t="shared" si="87"/>
        <v>0.429972385346298</v>
      </c>
    </row>
    <row r="1406" spans="1:18">
      <c r="A1406" s="18">
        <v>2405</v>
      </c>
      <c r="B1406" s="19" t="s">
        <v>516</v>
      </c>
      <c r="C1406" s="18">
        <v>2025</v>
      </c>
      <c r="D1406" s="18" t="s">
        <v>42</v>
      </c>
      <c r="E1406" s="18" t="s">
        <v>88</v>
      </c>
      <c r="F1406" s="18" t="s">
        <v>93</v>
      </c>
      <c r="G1406" s="18" t="s">
        <v>44</v>
      </c>
      <c r="H1406" s="18" t="s">
        <v>95</v>
      </c>
      <c r="I1406" s="18" t="s">
        <v>46</v>
      </c>
      <c r="J1406" s="18" t="s">
        <v>102</v>
      </c>
      <c r="K1406" s="18">
        <v>10</v>
      </c>
      <c r="L1406" s="20">
        <v>4465.8100000000004</v>
      </c>
      <c r="M1406" s="21">
        <v>0</v>
      </c>
      <c r="N1406" s="21">
        <v>0.60568427599804397</v>
      </c>
      <c r="O1406" s="20">
        <f t="shared" si="84"/>
        <v>44658.100000000006</v>
      </c>
      <c r="P1406" s="20">
        <f t="shared" si="85"/>
        <v>27048.708965948252</v>
      </c>
      <c r="Q1406" s="20">
        <f t="shared" si="86"/>
        <v>17609.391034051754</v>
      </c>
      <c r="R1406" s="22">
        <f t="shared" si="87"/>
        <v>0.39431572400195603</v>
      </c>
    </row>
    <row r="1407" spans="1:18">
      <c r="A1407" s="18">
        <v>2406</v>
      </c>
      <c r="B1407" s="19" t="s">
        <v>516</v>
      </c>
      <c r="C1407" s="18">
        <v>2025</v>
      </c>
      <c r="D1407" s="18" t="s">
        <v>42</v>
      </c>
      <c r="E1407" s="18" t="s">
        <v>85</v>
      </c>
      <c r="F1407" s="18" t="s">
        <v>121</v>
      </c>
      <c r="G1407" s="18" t="s">
        <v>50</v>
      </c>
      <c r="H1407" s="18" t="s">
        <v>87</v>
      </c>
      <c r="I1407" s="18" t="s">
        <v>56</v>
      </c>
      <c r="J1407" s="18" t="s">
        <v>91</v>
      </c>
      <c r="K1407" s="18">
        <v>8</v>
      </c>
      <c r="L1407" s="20">
        <v>9330.83</v>
      </c>
      <c r="M1407" s="21">
        <v>0.2</v>
      </c>
      <c r="N1407" s="21">
        <v>0.73762866601346899</v>
      </c>
      <c r="O1407" s="20">
        <f t="shared" si="84"/>
        <v>59717.312000000005</v>
      </c>
      <c r="P1407" s="20">
        <f t="shared" si="85"/>
        <v>44049.201188470128</v>
      </c>
      <c r="Q1407" s="20">
        <f t="shared" si="86"/>
        <v>15668.110811529878</v>
      </c>
      <c r="R1407" s="22">
        <f t="shared" si="87"/>
        <v>0.26237133398653101</v>
      </c>
    </row>
    <row r="1408" spans="1:18">
      <c r="A1408" s="18">
        <v>2407</v>
      </c>
      <c r="B1408" s="19" t="s">
        <v>517</v>
      </c>
      <c r="C1408" s="18">
        <v>2025</v>
      </c>
      <c r="D1408" s="18" t="s">
        <v>42</v>
      </c>
      <c r="E1408" s="18" t="s">
        <v>79</v>
      </c>
      <c r="F1408" s="18" t="s">
        <v>105</v>
      </c>
      <c r="G1408" s="18" t="s">
        <v>47</v>
      </c>
      <c r="H1408" s="18" t="s">
        <v>81</v>
      </c>
      <c r="I1408" s="18" t="s">
        <v>62</v>
      </c>
      <c r="J1408" s="18" t="s">
        <v>102</v>
      </c>
      <c r="K1408" s="18">
        <v>2</v>
      </c>
      <c r="L1408" s="20">
        <v>764.74</v>
      </c>
      <c r="M1408" s="21">
        <v>0.1</v>
      </c>
      <c r="N1408" s="21">
        <v>0.57806065401999895</v>
      </c>
      <c r="O1408" s="20">
        <f t="shared" si="84"/>
        <v>1376.5320000000002</v>
      </c>
      <c r="P1408" s="20">
        <f t="shared" si="85"/>
        <v>795.71898819945727</v>
      </c>
      <c r="Q1408" s="20">
        <f t="shared" si="86"/>
        <v>580.81301180054288</v>
      </c>
      <c r="R1408" s="22">
        <f t="shared" si="87"/>
        <v>0.42193934598000105</v>
      </c>
    </row>
    <row r="1409" spans="1:18">
      <c r="A1409" s="18">
        <v>2408</v>
      </c>
      <c r="B1409" s="19" t="s">
        <v>517</v>
      </c>
      <c r="C1409" s="18">
        <v>2025</v>
      </c>
      <c r="D1409" s="18" t="s">
        <v>42</v>
      </c>
      <c r="E1409" s="18" t="s">
        <v>85</v>
      </c>
      <c r="F1409" s="18" t="s">
        <v>86</v>
      </c>
      <c r="G1409" s="18" t="s">
        <v>44</v>
      </c>
      <c r="H1409" s="18" t="s">
        <v>114</v>
      </c>
      <c r="I1409" s="18" t="s">
        <v>46</v>
      </c>
      <c r="J1409" s="18" t="s">
        <v>102</v>
      </c>
      <c r="K1409" s="18">
        <v>7</v>
      </c>
      <c r="L1409" s="20">
        <v>8901.9</v>
      </c>
      <c r="M1409" s="21">
        <v>0</v>
      </c>
      <c r="N1409" s="21">
        <v>0.59971466039766197</v>
      </c>
      <c r="O1409" s="20">
        <f t="shared" si="84"/>
        <v>62313.299999999996</v>
      </c>
      <c r="P1409" s="20">
        <f t="shared" si="85"/>
        <v>37370.199547757627</v>
      </c>
      <c r="Q1409" s="20">
        <f t="shared" si="86"/>
        <v>24943.100452242368</v>
      </c>
      <c r="R1409" s="22">
        <f t="shared" si="87"/>
        <v>0.40028533960233803</v>
      </c>
    </row>
    <row r="1410" spans="1:18">
      <c r="A1410" s="18">
        <v>2409</v>
      </c>
      <c r="B1410" s="19" t="s">
        <v>518</v>
      </c>
      <c r="C1410" s="18">
        <v>2025</v>
      </c>
      <c r="D1410" s="18" t="s">
        <v>42</v>
      </c>
      <c r="E1410" s="18" t="s">
        <v>79</v>
      </c>
      <c r="F1410" s="18" t="s">
        <v>100</v>
      </c>
      <c r="G1410" s="18" t="s">
        <v>47</v>
      </c>
      <c r="H1410" s="18" t="s">
        <v>81</v>
      </c>
      <c r="I1410" s="18" t="s">
        <v>56</v>
      </c>
      <c r="J1410" s="18" t="s">
        <v>82</v>
      </c>
      <c r="K1410" s="18">
        <v>12</v>
      </c>
      <c r="L1410" s="20">
        <v>819.17</v>
      </c>
      <c r="M1410" s="21">
        <v>0.2</v>
      </c>
      <c r="N1410" s="21">
        <v>0.58036924035226001</v>
      </c>
      <c r="O1410" s="20">
        <f t="shared" ref="O1410:O1473" si="88">K1410*L1410*(1-M1410)</f>
        <v>7864.0319999999992</v>
      </c>
      <c r="P1410" s="20">
        <f t="shared" ref="P1410:P1473" si="89">O1410*N1410</f>
        <v>4564.0422779458631</v>
      </c>
      <c r="Q1410" s="20">
        <f t="shared" ref="Q1410:Q1473" si="90">O1410-P1410</f>
        <v>3299.9897220541361</v>
      </c>
      <c r="R1410" s="22">
        <f t="shared" ref="R1410:R1473" si="91">IF(O1410=0,0,Q1410/O1410)</f>
        <v>0.41963075964774005</v>
      </c>
    </row>
    <row r="1411" spans="1:18">
      <c r="A1411" s="18">
        <v>2410</v>
      </c>
      <c r="B1411" s="19" t="s">
        <v>518</v>
      </c>
      <c r="C1411" s="18">
        <v>2025</v>
      </c>
      <c r="D1411" s="18" t="s">
        <v>42</v>
      </c>
      <c r="E1411" s="18" t="s">
        <v>85</v>
      </c>
      <c r="F1411" s="18" t="s">
        <v>86</v>
      </c>
      <c r="G1411" s="18" t="s">
        <v>47</v>
      </c>
      <c r="H1411" s="18" t="s">
        <v>107</v>
      </c>
      <c r="I1411" s="18" t="s">
        <v>40</v>
      </c>
      <c r="J1411" s="18" t="s">
        <v>102</v>
      </c>
      <c r="K1411" s="18">
        <v>2</v>
      </c>
      <c r="L1411" s="20">
        <v>2204.54</v>
      </c>
      <c r="M1411" s="21">
        <v>0.15</v>
      </c>
      <c r="N1411" s="21">
        <v>0.57052244211980396</v>
      </c>
      <c r="O1411" s="20">
        <f t="shared" si="88"/>
        <v>3747.7179999999998</v>
      </c>
      <c r="P1411" s="20">
        <f t="shared" si="89"/>
        <v>2138.1572257363473</v>
      </c>
      <c r="Q1411" s="20">
        <f t="shared" si="90"/>
        <v>1609.5607742636525</v>
      </c>
      <c r="R1411" s="22">
        <f t="shared" si="91"/>
        <v>0.42947755788019604</v>
      </c>
    </row>
    <row r="1412" spans="1:18">
      <c r="A1412" s="18">
        <v>2411</v>
      </c>
      <c r="B1412" s="19" t="s">
        <v>518</v>
      </c>
      <c r="C1412" s="18">
        <v>2025</v>
      </c>
      <c r="D1412" s="18" t="s">
        <v>42</v>
      </c>
      <c r="E1412" s="18" t="s">
        <v>85</v>
      </c>
      <c r="F1412" s="18" t="s">
        <v>86</v>
      </c>
      <c r="G1412" s="18" t="s">
        <v>50</v>
      </c>
      <c r="H1412" s="18" t="s">
        <v>97</v>
      </c>
      <c r="I1412" s="18" t="s">
        <v>43</v>
      </c>
      <c r="J1412" s="18" t="s">
        <v>102</v>
      </c>
      <c r="K1412" s="18">
        <v>12</v>
      </c>
      <c r="L1412" s="20">
        <v>12132.04</v>
      </c>
      <c r="M1412" s="21">
        <v>0</v>
      </c>
      <c r="N1412" s="21">
        <v>0.56408054661784601</v>
      </c>
      <c r="O1412" s="20">
        <f t="shared" si="88"/>
        <v>145584.48000000001</v>
      </c>
      <c r="P1412" s="20">
        <f t="shared" si="89"/>
        <v>82121.373057474877</v>
      </c>
      <c r="Q1412" s="20">
        <f t="shared" si="90"/>
        <v>63463.106942525133</v>
      </c>
      <c r="R1412" s="22">
        <f t="shared" si="91"/>
        <v>0.43591945338215399</v>
      </c>
    </row>
    <row r="1413" spans="1:18">
      <c r="A1413" s="18">
        <v>2412</v>
      </c>
      <c r="B1413" s="19" t="s">
        <v>518</v>
      </c>
      <c r="C1413" s="18">
        <v>2025</v>
      </c>
      <c r="D1413" s="18" t="s">
        <v>42</v>
      </c>
      <c r="E1413" s="18" t="s">
        <v>98</v>
      </c>
      <c r="F1413" s="18" t="s">
        <v>109</v>
      </c>
      <c r="G1413" s="18" t="s">
        <v>41</v>
      </c>
      <c r="H1413" s="18" t="s">
        <v>112</v>
      </c>
      <c r="I1413" s="18" t="s">
        <v>52</v>
      </c>
      <c r="J1413" s="18" t="s">
        <v>82</v>
      </c>
      <c r="K1413" s="18">
        <v>11</v>
      </c>
      <c r="L1413" s="20">
        <v>5979.92</v>
      </c>
      <c r="M1413" s="21">
        <v>0.15</v>
      </c>
      <c r="N1413" s="21">
        <v>0.58369120191967805</v>
      </c>
      <c r="O1413" s="20">
        <f t="shared" si="88"/>
        <v>55912.251999999993</v>
      </c>
      <c r="P1413" s="20">
        <f t="shared" si="89"/>
        <v>32635.489571915918</v>
      </c>
      <c r="Q1413" s="20">
        <f t="shared" si="90"/>
        <v>23276.762428084076</v>
      </c>
      <c r="R1413" s="22">
        <f t="shared" si="91"/>
        <v>0.41630879808032195</v>
      </c>
    </row>
    <row r="1414" spans="1:18">
      <c r="A1414" s="18">
        <v>2413</v>
      </c>
      <c r="B1414" s="19" t="s">
        <v>519</v>
      </c>
      <c r="C1414" s="18">
        <v>2025</v>
      </c>
      <c r="D1414" s="18" t="s">
        <v>42</v>
      </c>
      <c r="E1414" s="18" t="s">
        <v>98</v>
      </c>
      <c r="F1414" s="18" t="s">
        <v>117</v>
      </c>
      <c r="G1414" s="18" t="s">
        <v>41</v>
      </c>
      <c r="H1414" s="18" t="s">
        <v>90</v>
      </c>
      <c r="I1414" s="18" t="s">
        <v>62</v>
      </c>
      <c r="J1414" s="18" t="s">
        <v>102</v>
      </c>
      <c r="K1414" s="18">
        <v>6</v>
      </c>
      <c r="L1414" s="20">
        <v>17534.330000000002</v>
      </c>
      <c r="M1414" s="21">
        <v>0.2</v>
      </c>
      <c r="N1414" s="21">
        <v>0.64890636032329396</v>
      </c>
      <c r="O1414" s="20">
        <f t="shared" si="88"/>
        <v>84164.784000000014</v>
      </c>
      <c r="P1414" s="20">
        <f t="shared" si="89"/>
        <v>54615.063652836216</v>
      </c>
      <c r="Q1414" s="20">
        <f t="shared" si="90"/>
        <v>29549.720347163799</v>
      </c>
      <c r="R1414" s="22">
        <f t="shared" si="91"/>
        <v>0.35109363967670604</v>
      </c>
    </row>
    <row r="1415" spans="1:18">
      <c r="A1415" s="18">
        <v>2414</v>
      </c>
      <c r="B1415" s="19" t="s">
        <v>519</v>
      </c>
      <c r="C1415" s="18">
        <v>2025</v>
      </c>
      <c r="D1415" s="18" t="s">
        <v>42</v>
      </c>
      <c r="E1415" s="18" t="s">
        <v>85</v>
      </c>
      <c r="F1415" s="18" t="s">
        <v>121</v>
      </c>
      <c r="G1415" s="18" t="s">
        <v>41</v>
      </c>
      <c r="H1415" s="18" t="s">
        <v>90</v>
      </c>
      <c r="I1415" s="18" t="s">
        <v>52</v>
      </c>
      <c r="J1415" s="18" t="s">
        <v>102</v>
      </c>
      <c r="K1415" s="18">
        <v>12</v>
      </c>
      <c r="L1415" s="20">
        <v>17596.560000000001</v>
      </c>
      <c r="M1415" s="21">
        <v>0.05</v>
      </c>
      <c r="N1415" s="21">
        <v>0.67805308477256199</v>
      </c>
      <c r="O1415" s="20">
        <f t="shared" si="88"/>
        <v>200600.78400000001</v>
      </c>
      <c r="P1415" s="20">
        <f t="shared" si="89"/>
        <v>136017.9803989944</v>
      </c>
      <c r="Q1415" s="20">
        <f t="shared" si="90"/>
        <v>64582.803601005609</v>
      </c>
      <c r="R1415" s="22">
        <f t="shared" si="91"/>
        <v>0.32194691522743801</v>
      </c>
    </row>
    <row r="1416" spans="1:18">
      <c r="A1416" s="18">
        <v>2415</v>
      </c>
      <c r="B1416" s="19" t="s">
        <v>519</v>
      </c>
      <c r="C1416" s="18">
        <v>2025</v>
      </c>
      <c r="D1416" s="18" t="s">
        <v>42</v>
      </c>
      <c r="E1416" s="18" t="s">
        <v>98</v>
      </c>
      <c r="F1416" s="18" t="s">
        <v>109</v>
      </c>
      <c r="G1416" s="18" t="s">
        <v>47</v>
      </c>
      <c r="H1416" s="18" t="s">
        <v>107</v>
      </c>
      <c r="I1416" s="18" t="s">
        <v>43</v>
      </c>
      <c r="J1416" s="18" t="s">
        <v>82</v>
      </c>
      <c r="K1416" s="18">
        <v>2</v>
      </c>
      <c r="L1416" s="20">
        <v>2246.88</v>
      </c>
      <c r="M1416" s="21">
        <v>0.1</v>
      </c>
      <c r="N1416" s="21">
        <v>0.59854884383944296</v>
      </c>
      <c r="O1416" s="20">
        <f t="shared" si="88"/>
        <v>4044.3840000000005</v>
      </c>
      <c r="P1416" s="20">
        <f t="shared" si="89"/>
        <v>2420.7613672427419</v>
      </c>
      <c r="Q1416" s="20">
        <f t="shared" si="90"/>
        <v>1623.6226327572585</v>
      </c>
      <c r="R1416" s="22">
        <f t="shared" si="91"/>
        <v>0.40145115616055704</v>
      </c>
    </row>
    <row r="1417" spans="1:18">
      <c r="A1417" s="18">
        <v>2416</v>
      </c>
      <c r="B1417" s="19" t="s">
        <v>519</v>
      </c>
      <c r="C1417" s="18">
        <v>2025</v>
      </c>
      <c r="D1417" s="18" t="s">
        <v>42</v>
      </c>
      <c r="E1417" s="18" t="s">
        <v>85</v>
      </c>
      <c r="F1417" s="18" t="s">
        <v>86</v>
      </c>
      <c r="G1417" s="18" t="s">
        <v>50</v>
      </c>
      <c r="H1417" s="18" t="s">
        <v>87</v>
      </c>
      <c r="I1417" s="18" t="s">
        <v>52</v>
      </c>
      <c r="J1417" s="18" t="s">
        <v>82</v>
      </c>
      <c r="K1417" s="18">
        <v>12</v>
      </c>
      <c r="L1417" s="20">
        <v>9488.4699999999993</v>
      </c>
      <c r="M1417" s="21">
        <v>0.15</v>
      </c>
      <c r="N1417" s="21">
        <v>0.71748240525367901</v>
      </c>
      <c r="O1417" s="20">
        <f t="shared" si="88"/>
        <v>96782.393999999986</v>
      </c>
      <c r="P1417" s="20">
        <f t="shared" si="89"/>
        <v>69439.664833329225</v>
      </c>
      <c r="Q1417" s="20">
        <f t="shared" si="90"/>
        <v>27342.729166670761</v>
      </c>
      <c r="R1417" s="22">
        <f t="shared" si="91"/>
        <v>0.28251759474632093</v>
      </c>
    </row>
    <row r="1418" spans="1:18">
      <c r="A1418" s="18">
        <v>2417</v>
      </c>
      <c r="B1418" s="19" t="s">
        <v>519</v>
      </c>
      <c r="C1418" s="18">
        <v>2025</v>
      </c>
      <c r="D1418" s="18" t="s">
        <v>42</v>
      </c>
      <c r="E1418" s="18" t="s">
        <v>85</v>
      </c>
      <c r="F1418" s="18" t="s">
        <v>94</v>
      </c>
      <c r="G1418" s="18" t="s">
        <v>50</v>
      </c>
      <c r="H1418" s="18" t="s">
        <v>83</v>
      </c>
      <c r="I1418" s="18" t="s">
        <v>62</v>
      </c>
      <c r="J1418" s="18" t="s">
        <v>82</v>
      </c>
      <c r="K1418" s="18">
        <v>10</v>
      </c>
      <c r="L1418" s="20">
        <v>3618.37</v>
      </c>
      <c r="M1418" s="21">
        <v>0.2</v>
      </c>
      <c r="N1418" s="21">
        <v>0.74081429555800105</v>
      </c>
      <c r="O1418" s="20">
        <f t="shared" si="88"/>
        <v>28946.959999999999</v>
      </c>
      <c r="P1418" s="20">
        <f t="shared" si="89"/>
        <v>21444.321780945633</v>
      </c>
      <c r="Q1418" s="20">
        <f t="shared" si="90"/>
        <v>7502.6382190543663</v>
      </c>
      <c r="R1418" s="22">
        <f t="shared" si="91"/>
        <v>0.25918570444199895</v>
      </c>
    </row>
    <row r="1419" spans="1:18">
      <c r="A1419" s="18">
        <v>2418</v>
      </c>
      <c r="B1419" s="19" t="s">
        <v>520</v>
      </c>
      <c r="C1419" s="18">
        <v>2025</v>
      </c>
      <c r="D1419" s="18" t="s">
        <v>42</v>
      </c>
      <c r="E1419" s="18" t="s">
        <v>79</v>
      </c>
      <c r="F1419" s="18" t="s">
        <v>100</v>
      </c>
      <c r="G1419" s="18" t="s">
        <v>47</v>
      </c>
      <c r="H1419" s="18" t="s">
        <v>103</v>
      </c>
      <c r="I1419" s="18" t="s">
        <v>62</v>
      </c>
      <c r="J1419" s="18" t="s">
        <v>91</v>
      </c>
      <c r="K1419" s="18">
        <v>7</v>
      </c>
      <c r="L1419" s="20">
        <v>3269.85</v>
      </c>
      <c r="M1419" s="21">
        <v>0</v>
      </c>
      <c r="N1419" s="21">
        <v>0.61946089066131205</v>
      </c>
      <c r="O1419" s="20">
        <f t="shared" si="88"/>
        <v>22888.95</v>
      </c>
      <c r="P1419" s="20">
        <f t="shared" si="89"/>
        <v>14178.809353302238</v>
      </c>
      <c r="Q1419" s="20">
        <f t="shared" si="90"/>
        <v>8710.1406466977623</v>
      </c>
      <c r="R1419" s="22">
        <f t="shared" si="91"/>
        <v>0.38053910933868795</v>
      </c>
    </row>
    <row r="1420" spans="1:18">
      <c r="A1420" s="18">
        <v>2419</v>
      </c>
      <c r="B1420" s="19" t="s">
        <v>520</v>
      </c>
      <c r="C1420" s="18">
        <v>2025</v>
      </c>
      <c r="D1420" s="18" t="s">
        <v>42</v>
      </c>
      <c r="E1420" s="18" t="s">
        <v>85</v>
      </c>
      <c r="F1420" s="18" t="s">
        <v>121</v>
      </c>
      <c r="G1420" s="18" t="s">
        <v>41</v>
      </c>
      <c r="H1420" s="18" t="s">
        <v>112</v>
      </c>
      <c r="I1420" s="18" t="s">
        <v>56</v>
      </c>
      <c r="J1420" s="18" t="s">
        <v>102</v>
      </c>
      <c r="K1420" s="18">
        <v>1</v>
      </c>
      <c r="L1420" s="20">
        <v>5829.62</v>
      </c>
      <c r="M1420" s="21">
        <v>0</v>
      </c>
      <c r="N1420" s="21">
        <v>0.55482888464707303</v>
      </c>
      <c r="O1420" s="20">
        <f t="shared" si="88"/>
        <v>5829.62</v>
      </c>
      <c r="P1420" s="20">
        <f t="shared" si="89"/>
        <v>3234.4415625162696</v>
      </c>
      <c r="Q1420" s="20">
        <f t="shared" si="90"/>
        <v>2595.1784374837302</v>
      </c>
      <c r="R1420" s="22">
        <f t="shared" si="91"/>
        <v>0.44517111535292703</v>
      </c>
    </row>
    <row r="1421" spans="1:18">
      <c r="A1421" s="18">
        <v>2420</v>
      </c>
      <c r="B1421" s="19" t="s">
        <v>521</v>
      </c>
      <c r="C1421" s="18">
        <v>2025</v>
      </c>
      <c r="D1421" s="18" t="s">
        <v>42</v>
      </c>
      <c r="E1421" s="18" t="s">
        <v>79</v>
      </c>
      <c r="F1421" s="18" t="s">
        <v>105</v>
      </c>
      <c r="G1421" s="18" t="s">
        <v>50</v>
      </c>
      <c r="H1421" s="18" t="s">
        <v>83</v>
      </c>
      <c r="I1421" s="18" t="s">
        <v>58</v>
      </c>
      <c r="J1421" s="18" t="s">
        <v>91</v>
      </c>
      <c r="K1421" s="18">
        <v>6</v>
      </c>
      <c r="L1421" s="20">
        <v>3611.43</v>
      </c>
      <c r="M1421" s="21">
        <v>0.05</v>
      </c>
      <c r="N1421" s="21">
        <v>0.62047569002744496</v>
      </c>
      <c r="O1421" s="20">
        <f t="shared" si="88"/>
        <v>20585.150999999998</v>
      </c>
      <c r="P1421" s="20">
        <f t="shared" si="89"/>
        <v>12772.585771044147</v>
      </c>
      <c r="Q1421" s="20">
        <f t="shared" si="90"/>
        <v>7812.5652289558511</v>
      </c>
      <c r="R1421" s="22">
        <f t="shared" si="91"/>
        <v>0.37952430997255504</v>
      </c>
    </row>
    <row r="1422" spans="1:18">
      <c r="A1422" s="18">
        <v>2421</v>
      </c>
      <c r="B1422" s="19" t="s">
        <v>521</v>
      </c>
      <c r="C1422" s="18">
        <v>2025</v>
      </c>
      <c r="D1422" s="18" t="s">
        <v>42</v>
      </c>
      <c r="E1422" s="18" t="s">
        <v>88</v>
      </c>
      <c r="F1422" s="18" t="s">
        <v>89</v>
      </c>
      <c r="G1422" s="18" t="s">
        <v>50</v>
      </c>
      <c r="H1422" s="18" t="s">
        <v>83</v>
      </c>
      <c r="I1422" s="18" t="s">
        <v>54</v>
      </c>
      <c r="J1422" s="18" t="s">
        <v>91</v>
      </c>
      <c r="K1422" s="18">
        <v>12</v>
      </c>
      <c r="L1422" s="20">
        <v>3671.84</v>
      </c>
      <c r="M1422" s="21">
        <v>0.05</v>
      </c>
      <c r="N1422" s="21">
        <v>0.70372222780233795</v>
      </c>
      <c r="O1422" s="20">
        <f t="shared" si="88"/>
        <v>41858.976000000002</v>
      </c>
      <c r="P1422" s="20">
        <f t="shared" si="89"/>
        <v>29457.091844244598</v>
      </c>
      <c r="Q1422" s="20">
        <f t="shared" si="90"/>
        <v>12401.884155755404</v>
      </c>
      <c r="R1422" s="22">
        <f t="shared" si="91"/>
        <v>0.29627777219766205</v>
      </c>
    </row>
    <row r="1423" spans="1:18">
      <c r="A1423" s="18">
        <v>2422</v>
      </c>
      <c r="B1423" s="19" t="s">
        <v>521</v>
      </c>
      <c r="C1423" s="18">
        <v>2025</v>
      </c>
      <c r="D1423" s="18" t="s">
        <v>42</v>
      </c>
      <c r="E1423" s="18" t="s">
        <v>88</v>
      </c>
      <c r="F1423" s="18" t="s">
        <v>110</v>
      </c>
      <c r="G1423" s="18" t="s">
        <v>47</v>
      </c>
      <c r="H1423" s="18" t="s">
        <v>103</v>
      </c>
      <c r="I1423" s="18" t="s">
        <v>56</v>
      </c>
      <c r="J1423" s="18" t="s">
        <v>91</v>
      </c>
      <c r="K1423" s="18">
        <v>3</v>
      </c>
      <c r="L1423" s="20">
        <v>3310.31</v>
      </c>
      <c r="M1423" s="21">
        <v>0</v>
      </c>
      <c r="N1423" s="21">
        <v>0.61675265334815499</v>
      </c>
      <c r="O1423" s="20">
        <f t="shared" si="88"/>
        <v>9930.93</v>
      </c>
      <c r="P1423" s="20">
        <f t="shared" si="89"/>
        <v>6124.9274277147933</v>
      </c>
      <c r="Q1423" s="20">
        <f t="shared" si="90"/>
        <v>3806.002572285207</v>
      </c>
      <c r="R1423" s="22">
        <f t="shared" si="91"/>
        <v>0.38324734665184496</v>
      </c>
    </row>
    <row r="1424" spans="1:18">
      <c r="A1424" s="18">
        <v>2423</v>
      </c>
      <c r="B1424" s="19" t="s">
        <v>521</v>
      </c>
      <c r="C1424" s="18">
        <v>2025</v>
      </c>
      <c r="D1424" s="18" t="s">
        <v>42</v>
      </c>
      <c r="E1424" s="18" t="s">
        <v>88</v>
      </c>
      <c r="F1424" s="18" t="s">
        <v>89</v>
      </c>
      <c r="G1424" s="18" t="s">
        <v>47</v>
      </c>
      <c r="H1424" s="18" t="s">
        <v>81</v>
      </c>
      <c r="I1424" s="18" t="s">
        <v>43</v>
      </c>
      <c r="J1424" s="18" t="s">
        <v>102</v>
      </c>
      <c r="K1424" s="18">
        <v>7</v>
      </c>
      <c r="L1424" s="20">
        <v>785.03</v>
      </c>
      <c r="M1424" s="21">
        <v>0.1</v>
      </c>
      <c r="N1424" s="21">
        <v>0.677895000854421</v>
      </c>
      <c r="O1424" s="20">
        <f t="shared" si="88"/>
        <v>4945.6890000000003</v>
      </c>
      <c r="P1424" s="20">
        <f t="shared" si="89"/>
        <v>3352.6578488807008</v>
      </c>
      <c r="Q1424" s="20">
        <f t="shared" si="90"/>
        <v>1593.0311511192995</v>
      </c>
      <c r="R1424" s="22">
        <f t="shared" si="91"/>
        <v>0.322104999145579</v>
      </c>
    </row>
    <row r="1425" spans="1:18">
      <c r="A1425" s="18">
        <v>2424</v>
      </c>
      <c r="B1425" s="19" t="s">
        <v>522</v>
      </c>
      <c r="C1425" s="18">
        <v>2025</v>
      </c>
      <c r="D1425" s="18" t="s">
        <v>42</v>
      </c>
      <c r="E1425" s="18" t="s">
        <v>88</v>
      </c>
      <c r="F1425" s="18" t="s">
        <v>89</v>
      </c>
      <c r="G1425" s="18" t="s">
        <v>50</v>
      </c>
      <c r="H1425" s="18" t="s">
        <v>97</v>
      </c>
      <c r="I1425" s="18" t="s">
        <v>54</v>
      </c>
      <c r="J1425" s="18" t="s">
        <v>91</v>
      </c>
      <c r="K1425" s="18">
        <v>6</v>
      </c>
      <c r="L1425" s="20">
        <v>12305.73</v>
      </c>
      <c r="M1425" s="21">
        <v>0</v>
      </c>
      <c r="N1425" s="21">
        <v>0.614551955485236</v>
      </c>
      <c r="O1425" s="20">
        <f t="shared" si="88"/>
        <v>73834.38</v>
      </c>
      <c r="P1425" s="20">
        <f t="shared" si="89"/>
        <v>45375.062611040004</v>
      </c>
      <c r="Q1425" s="20">
        <f t="shared" si="90"/>
        <v>28459.31738896</v>
      </c>
      <c r="R1425" s="22">
        <f t="shared" si="91"/>
        <v>0.38544804451476394</v>
      </c>
    </row>
    <row r="1426" spans="1:18">
      <c r="A1426" s="18">
        <v>2425</v>
      </c>
      <c r="B1426" s="19" t="s">
        <v>522</v>
      </c>
      <c r="C1426" s="18">
        <v>2025</v>
      </c>
      <c r="D1426" s="18" t="s">
        <v>42</v>
      </c>
      <c r="E1426" s="18" t="s">
        <v>79</v>
      </c>
      <c r="F1426" s="18" t="s">
        <v>100</v>
      </c>
      <c r="G1426" s="18" t="s">
        <v>47</v>
      </c>
      <c r="H1426" s="18" t="s">
        <v>103</v>
      </c>
      <c r="I1426" s="18" t="s">
        <v>60</v>
      </c>
      <c r="J1426" s="18" t="s">
        <v>91</v>
      </c>
      <c r="K1426" s="18">
        <v>9</v>
      </c>
      <c r="L1426" s="20">
        <v>3212.24</v>
      </c>
      <c r="M1426" s="21">
        <v>0.1</v>
      </c>
      <c r="N1426" s="21">
        <v>0.673694195889884</v>
      </c>
      <c r="O1426" s="20">
        <f t="shared" si="88"/>
        <v>26019.143999999997</v>
      </c>
      <c r="P1426" s="20">
        <f t="shared" si="89"/>
        <v>17528.946294823098</v>
      </c>
      <c r="Q1426" s="20">
        <f t="shared" si="90"/>
        <v>8490.197705176899</v>
      </c>
      <c r="R1426" s="22">
        <f t="shared" si="91"/>
        <v>0.326305804110116</v>
      </c>
    </row>
    <row r="1427" spans="1:18">
      <c r="A1427" s="18">
        <v>2426</v>
      </c>
      <c r="B1427" s="19" t="s">
        <v>522</v>
      </c>
      <c r="C1427" s="18">
        <v>2025</v>
      </c>
      <c r="D1427" s="18" t="s">
        <v>42</v>
      </c>
      <c r="E1427" s="18" t="s">
        <v>79</v>
      </c>
      <c r="F1427" s="18" t="s">
        <v>100</v>
      </c>
      <c r="G1427" s="18" t="s">
        <v>41</v>
      </c>
      <c r="H1427" s="18" t="s">
        <v>90</v>
      </c>
      <c r="I1427" s="18" t="s">
        <v>62</v>
      </c>
      <c r="J1427" s="18" t="s">
        <v>102</v>
      </c>
      <c r="K1427" s="18">
        <v>7</v>
      </c>
      <c r="L1427" s="20">
        <v>18633.98</v>
      </c>
      <c r="M1427" s="21">
        <v>0</v>
      </c>
      <c r="N1427" s="21">
        <v>0.69317762008333805</v>
      </c>
      <c r="O1427" s="20">
        <f t="shared" si="88"/>
        <v>130437.86</v>
      </c>
      <c r="P1427" s="20">
        <f t="shared" si="89"/>
        <v>90416.605363563634</v>
      </c>
      <c r="Q1427" s="20">
        <f t="shared" si="90"/>
        <v>40021.254636436366</v>
      </c>
      <c r="R1427" s="22">
        <f t="shared" si="91"/>
        <v>0.30682237991666195</v>
      </c>
    </row>
    <row r="1428" spans="1:18">
      <c r="A1428" s="18">
        <v>2427</v>
      </c>
      <c r="B1428" s="19" t="s">
        <v>522</v>
      </c>
      <c r="C1428" s="18">
        <v>2025</v>
      </c>
      <c r="D1428" s="18" t="s">
        <v>42</v>
      </c>
      <c r="E1428" s="18" t="s">
        <v>98</v>
      </c>
      <c r="F1428" s="18" t="s">
        <v>109</v>
      </c>
      <c r="G1428" s="18" t="s">
        <v>44</v>
      </c>
      <c r="H1428" s="18" t="s">
        <v>114</v>
      </c>
      <c r="I1428" s="18" t="s">
        <v>43</v>
      </c>
      <c r="J1428" s="18" t="s">
        <v>102</v>
      </c>
      <c r="K1428" s="18">
        <v>5</v>
      </c>
      <c r="L1428" s="20">
        <v>9102.08</v>
      </c>
      <c r="M1428" s="21">
        <v>0</v>
      </c>
      <c r="N1428" s="21">
        <v>0.61476725935852405</v>
      </c>
      <c r="O1428" s="20">
        <f t="shared" si="88"/>
        <v>45510.400000000001</v>
      </c>
      <c r="P1428" s="20">
        <f t="shared" si="89"/>
        <v>27978.303880310174</v>
      </c>
      <c r="Q1428" s="20">
        <f t="shared" si="90"/>
        <v>17532.096119689828</v>
      </c>
      <c r="R1428" s="22">
        <f t="shared" si="91"/>
        <v>0.38523274064147595</v>
      </c>
    </row>
    <row r="1429" spans="1:18">
      <c r="A1429" s="18">
        <v>2428</v>
      </c>
      <c r="B1429" s="19" t="s">
        <v>522</v>
      </c>
      <c r="C1429" s="18">
        <v>2025</v>
      </c>
      <c r="D1429" s="18" t="s">
        <v>42</v>
      </c>
      <c r="E1429" s="18" t="s">
        <v>88</v>
      </c>
      <c r="F1429" s="18" t="s">
        <v>89</v>
      </c>
      <c r="G1429" s="18" t="s">
        <v>41</v>
      </c>
      <c r="H1429" s="18" t="s">
        <v>101</v>
      </c>
      <c r="I1429" s="18" t="s">
        <v>60</v>
      </c>
      <c r="J1429" s="18" t="s">
        <v>82</v>
      </c>
      <c r="K1429" s="18">
        <v>11</v>
      </c>
      <c r="L1429" s="20">
        <v>57709.73</v>
      </c>
      <c r="M1429" s="21">
        <v>0</v>
      </c>
      <c r="N1429" s="21">
        <v>0.64889858547518897</v>
      </c>
      <c r="O1429" s="20">
        <f t="shared" si="88"/>
        <v>634807.03</v>
      </c>
      <c r="P1429" s="20">
        <f t="shared" si="89"/>
        <v>411925.38381670584</v>
      </c>
      <c r="Q1429" s="20">
        <f t="shared" si="90"/>
        <v>222881.64618329419</v>
      </c>
      <c r="R1429" s="22">
        <f t="shared" si="91"/>
        <v>0.35110141452481108</v>
      </c>
    </row>
    <row r="1430" spans="1:18">
      <c r="A1430" s="18">
        <v>2429</v>
      </c>
      <c r="B1430" s="19" t="s">
        <v>523</v>
      </c>
      <c r="C1430" s="18">
        <v>2025</v>
      </c>
      <c r="D1430" s="18" t="s">
        <v>42</v>
      </c>
      <c r="E1430" s="18" t="s">
        <v>88</v>
      </c>
      <c r="F1430" s="18" t="s">
        <v>110</v>
      </c>
      <c r="G1430" s="18" t="s">
        <v>50</v>
      </c>
      <c r="H1430" s="18" t="s">
        <v>87</v>
      </c>
      <c r="I1430" s="18" t="s">
        <v>49</v>
      </c>
      <c r="J1430" s="18" t="s">
        <v>82</v>
      </c>
      <c r="K1430" s="18">
        <v>1</v>
      </c>
      <c r="L1430" s="20">
        <v>9306.9500000000007</v>
      </c>
      <c r="M1430" s="21">
        <v>0</v>
      </c>
      <c r="N1430" s="21">
        <v>0.72150626869830603</v>
      </c>
      <c r="O1430" s="20">
        <f t="shared" si="88"/>
        <v>9306.9500000000007</v>
      </c>
      <c r="P1430" s="20">
        <f t="shared" si="89"/>
        <v>6715.0227674616999</v>
      </c>
      <c r="Q1430" s="20">
        <f t="shared" si="90"/>
        <v>2591.9272325383008</v>
      </c>
      <c r="R1430" s="22">
        <f t="shared" si="91"/>
        <v>0.27849373130169397</v>
      </c>
    </row>
    <row r="1431" spans="1:18">
      <c r="A1431" s="18">
        <v>2430</v>
      </c>
      <c r="B1431" s="19" t="s">
        <v>523</v>
      </c>
      <c r="C1431" s="18">
        <v>2025</v>
      </c>
      <c r="D1431" s="18" t="s">
        <v>42</v>
      </c>
      <c r="E1431" s="18" t="s">
        <v>85</v>
      </c>
      <c r="F1431" s="18" t="s">
        <v>121</v>
      </c>
      <c r="G1431" s="18" t="s">
        <v>50</v>
      </c>
      <c r="H1431" s="18" t="s">
        <v>87</v>
      </c>
      <c r="I1431" s="18" t="s">
        <v>60</v>
      </c>
      <c r="J1431" s="18" t="s">
        <v>102</v>
      </c>
      <c r="K1431" s="18">
        <v>4</v>
      </c>
      <c r="L1431" s="20">
        <v>9416.7099999999991</v>
      </c>
      <c r="M1431" s="21">
        <v>0.15</v>
      </c>
      <c r="N1431" s="21">
        <v>0.66617912262621104</v>
      </c>
      <c r="O1431" s="20">
        <f t="shared" si="88"/>
        <v>32016.813999999995</v>
      </c>
      <c r="P1431" s="20">
        <f t="shared" si="89"/>
        <v>21328.933059806586</v>
      </c>
      <c r="Q1431" s="20">
        <f t="shared" si="90"/>
        <v>10687.880940193409</v>
      </c>
      <c r="R1431" s="22">
        <f t="shared" si="91"/>
        <v>0.33382087737378896</v>
      </c>
    </row>
    <row r="1432" spans="1:18">
      <c r="A1432" s="18">
        <v>2431</v>
      </c>
      <c r="B1432" s="19" t="s">
        <v>523</v>
      </c>
      <c r="C1432" s="18">
        <v>2025</v>
      </c>
      <c r="D1432" s="18" t="s">
        <v>42</v>
      </c>
      <c r="E1432" s="18" t="s">
        <v>85</v>
      </c>
      <c r="F1432" s="18" t="s">
        <v>94</v>
      </c>
      <c r="G1432" s="18" t="s">
        <v>47</v>
      </c>
      <c r="H1432" s="18" t="s">
        <v>103</v>
      </c>
      <c r="I1432" s="18" t="s">
        <v>54</v>
      </c>
      <c r="J1432" s="18" t="s">
        <v>91</v>
      </c>
      <c r="K1432" s="18">
        <v>7</v>
      </c>
      <c r="L1432" s="20">
        <v>3158.47</v>
      </c>
      <c r="M1432" s="21">
        <v>0</v>
      </c>
      <c r="N1432" s="21">
        <v>0.61403094461615304</v>
      </c>
      <c r="O1432" s="20">
        <f t="shared" si="88"/>
        <v>22109.289999999997</v>
      </c>
      <c r="P1432" s="20">
        <f t="shared" si="89"/>
        <v>13575.788223492464</v>
      </c>
      <c r="Q1432" s="20">
        <f t="shared" si="90"/>
        <v>8533.5017765075336</v>
      </c>
      <c r="R1432" s="22">
        <f t="shared" si="91"/>
        <v>0.38596905538384702</v>
      </c>
    </row>
    <row r="1433" spans="1:18">
      <c r="A1433" s="18">
        <v>2432</v>
      </c>
      <c r="B1433" s="19" t="s">
        <v>524</v>
      </c>
      <c r="C1433" s="18">
        <v>2025</v>
      </c>
      <c r="D1433" s="18" t="s">
        <v>42</v>
      </c>
      <c r="E1433" s="18" t="s">
        <v>79</v>
      </c>
      <c r="F1433" s="18" t="s">
        <v>80</v>
      </c>
      <c r="G1433" s="18" t="s">
        <v>44</v>
      </c>
      <c r="H1433" s="18" t="s">
        <v>114</v>
      </c>
      <c r="I1433" s="18" t="s">
        <v>49</v>
      </c>
      <c r="J1433" s="18" t="s">
        <v>102</v>
      </c>
      <c r="K1433" s="18">
        <v>10</v>
      </c>
      <c r="L1433" s="20">
        <v>8665.89</v>
      </c>
      <c r="M1433" s="21">
        <v>0.15</v>
      </c>
      <c r="N1433" s="21">
        <v>0.69167078357299805</v>
      </c>
      <c r="O1433" s="20">
        <f t="shared" si="88"/>
        <v>73660.064999999988</v>
      </c>
      <c r="P1433" s="20">
        <f t="shared" si="89"/>
        <v>50948.514876587957</v>
      </c>
      <c r="Q1433" s="20">
        <f t="shared" si="90"/>
        <v>22711.550123412031</v>
      </c>
      <c r="R1433" s="22">
        <f t="shared" si="91"/>
        <v>0.30832921642700201</v>
      </c>
    </row>
    <row r="1434" spans="1:18">
      <c r="A1434" s="18">
        <v>2433</v>
      </c>
      <c r="B1434" s="19" t="s">
        <v>524</v>
      </c>
      <c r="C1434" s="18">
        <v>2025</v>
      </c>
      <c r="D1434" s="18" t="s">
        <v>42</v>
      </c>
      <c r="E1434" s="18" t="s">
        <v>98</v>
      </c>
      <c r="F1434" s="18" t="s">
        <v>117</v>
      </c>
      <c r="G1434" s="18" t="s">
        <v>44</v>
      </c>
      <c r="H1434" s="18" t="s">
        <v>95</v>
      </c>
      <c r="I1434" s="18" t="s">
        <v>54</v>
      </c>
      <c r="J1434" s="18" t="s">
        <v>102</v>
      </c>
      <c r="K1434" s="18">
        <v>12</v>
      </c>
      <c r="L1434" s="20">
        <v>4565.2299999999996</v>
      </c>
      <c r="M1434" s="21">
        <v>0.15</v>
      </c>
      <c r="N1434" s="21">
        <v>0.71421550659101796</v>
      </c>
      <c r="O1434" s="20">
        <f t="shared" si="88"/>
        <v>46565.345999999998</v>
      </c>
      <c r="P1434" s="20">
        <f t="shared" si="89"/>
        <v>33257.692182976032</v>
      </c>
      <c r="Q1434" s="20">
        <f t="shared" si="90"/>
        <v>13307.653817023966</v>
      </c>
      <c r="R1434" s="22">
        <f t="shared" si="91"/>
        <v>0.28578449340898199</v>
      </c>
    </row>
    <row r="1435" spans="1:18">
      <c r="A1435" s="18">
        <v>2434</v>
      </c>
      <c r="B1435" s="19" t="s">
        <v>524</v>
      </c>
      <c r="C1435" s="18">
        <v>2025</v>
      </c>
      <c r="D1435" s="18" t="s">
        <v>42</v>
      </c>
      <c r="E1435" s="18" t="s">
        <v>88</v>
      </c>
      <c r="F1435" s="18" t="s">
        <v>89</v>
      </c>
      <c r="G1435" s="18" t="s">
        <v>47</v>
      </c>
      <c r="H1435" s="18" t="s">
        <v>103</v>
      </c>
      <c r="I1435" s="18" t="s">
        <v>40</v>
      </c>
      <c r="J1435" s="18" t="s">
        <v>91</v>
      </c>
      <c r="K1435" s="18">
        <v>10</v>
      </c>
      <c r="L1435" s="20">
        <v>3180.12</v>
      </c>
      <c r="M1435" s="21">
        <v>0.15</v>
      </c>
      <c r="N1435" s="21">
        <v>0.63723685006001296</v>
      </c>
      <c r="O1435" s="20">
        <f t="shared" si="88"/>
        <v>27031.019999999997</v>
      </c>
      <c r="P1435" s="20">
        <f t="shared" si="89"/>
        <v>17225.162038709208</v>
      </c>
      <c r="Q1435" s="20">
        <f t="shared" si="90"/>
        <v>9805.8579612907888</v>
      </c>
      <c r="R1435" s="22">
        <f t="shared" si="91"/>
        <v>0.3627631499399871</v>
      </c>
    </row>
    <row r="1436" spans="1:18">
      <c r="A1436" s="18">
        <v>2435</v>
      </c>
      <c r="B1436" s="19" t="s">
        <v>524</v>
      </c>
      <c r="C1436" s="18">
        <v>2025</v>
      </c>
      <c r="D1436" s="18" t="s">
        <v>42</v>
      </c>
      <c r="E1436" s="18" t="s">
        <v>88</v>
      </c>
      <c r="F1436" s="18" t="s">
        <v>110</v>
      </c>
      <c r="G1436" s="18" t="s">
        <v>50</v>
      </c>
      <c r="H1436" s="18" t="s">
        <v>87</v>
      </c>
      <c r="I1436" s="18" t="s">
        <v>40</v>
      </c>
      <c r="J1436" s="18" t="s">
        <v>91</v>
      </c>
      <c r="K1436" s="18">
        <v>8</v>
      </c>
      <c r="L1436" s="20">
        <v>9849.2000000000007</v>
      </c>
      <c r="M1436" s="21">
        <v>0</v>
      </c>
      <c r="N1436" s="21">
        <v>0.56275536668599702</v>
      </c>
      <c r="O1436" s="20">
        <f t="shared" si="88"/>
        <v>78793.600000000006</v>
      </c>
      <c r="P1436" s="20">
        <f t="shared" si="89"/>
        <v>44341.521260509777</v>
      </c>
      <c r="Q1436" s="20">
        <f t="shared" si="90"/>
        <v>34452.078739490229</v>
      </c>
      <c r="R1436" s="22">
        <f t="shared" si="91"/>
        <v>0.43724463331400298</v>
      </c>
    </row>
    <row r="1437" spans="1:18">
      <c r="A1437" s="18">
        <v>2436</v>
      </c>
      <c r="B1437" s="19" t="s">
        <v>525</v>
      </c>
      <c r="C1437" s="18">
        <v>2025</v>
      </c>
      <c r="D1437" s="18" t="s">
        <v>42</v>
      </c>
      <c r="E1437" s="18" t="s">
        <v>79</v>
      </c>
      <c r="F1437" s="18" t="s">
        <v>80</v>
      </c>
      <c r="G1437" s="18" t="s">
        <v>47</v>
      </c>
      <c r="H1437" s="18" t="s">
        <v>103</v>
      </c>
      <c r="I1437" s="18" t="s">
        <v>52</v>
      </c>
      <c r="J1437" s="18" t="s">
        <v>102</v>
      </c>
      <c r="K1437" s="18">
        <v>1</v>
      </c>
      <c r="L1437" s="20">
        <v>3268.36</v>
      </c>
      <c r="M1437" s="21">
        <v>0.1</v>
      </c>
      <c r="N1437" s="21">
        <v>0.63616600588592598</v>
      </c>
      <c r="O1437" s="20">
        <f t="shared" si="88"/>
        <v>2941.5240000000003</v>
      </c>
      <c r="P1437" s="20">
        <f t="shared" si="89"/>
        <v>1871.2975742975927</v>
      </c>
      <c r="Q1437" s="20">
        <f t="shared" si="90"/>
        <v>1070.2264257024076</v>
      </c>
      <c r="R1437" s="22">
        <f t="shared" si="91"/>
        <v>0.36383399411407402</v>
      </c>
    </row>
    <row r="1438" spans="1:18">
      <c r="A1438" s="18">
        <v>2437</v>
      </c>
      <c r="B1438" s="19" t="s">
        <v>525</v>
      </c>
      <c r="C1438" s="18">
        <v>2025</v>
      </c>
      <c r="D1438" s="18" t="s">
        <v>42</v>
      </c>
      <c r="E1438" s="18" t="s">
        <v>88</v>
      </c>
      <c r="F1438" s="18" t="s">
        <v>89</v>
      </c>
      <c r="G1438" s="18" t="s">
        <v>44</v>
      </c>
      <c r="H1438" s="18" t="s">
        <v>95</v>
      </c>
      <c r="I1438" s="18" t="s">
        <v>58</v>
      </c>
      <c r="J1438" s="18" t="s">
        <v>91</v>
      </c>
      <c r="K1438" s="18">
        <v>9</v>
      </c>
      <c r="L1438" s="20">
        <v>4588.74</v>
      </c>
      <c r="M1438" s="21">
        <v>0.05</v>
      </c>
      <c r="N1438" s="21">
        <v>0.61610664908970103</v>
      </c>
      <c r="O1438" s="20">
        <f t="shared" si="88"/>
        <v>39233.726999999992</v>
      </c>
      <c r="P1438" s="20">
        <f t="shared" si="89"/>
        <v>24172.160073270123</v>
      </c>
      <c r="Q1438" s="20">
        <f t="shared" si="90"/>
        <v>15061.566926729869</v>
      </c>
      <c r="R1438" s="22">
        <f t="shared" si="91"/>
        <v>0.38389335091029897</v>
      </c>
    </row>
    <row r="1439" spans="1:18">
      <c r="A1439" s="18">
        <v>2438</v>
      </c>
      <c r="B1439" s="19" t="s">
        <v>525</v>
      </c>
      <c r="C1439" s="18">
        <v>2025</v>
      </c>
      <c r="D1439" s="18" t="s">
        <v>42</v>
      </c>
      <c r="E1439" s="18" t="s">
        <v>85</v>
      </c>
      <c r="F1439" s="18" t="s">
        <v>86</v>
      </c>
      <c r="G1439" s="18" t="s">
        <v>47</v>
      </c>
      <c r="H1439" s="18" t="s">
        <v>81</v>
      </c>
      <c r="I1439" s="18" t="s">
        <v>62</v>
      </c>
      <c r="J1439" s="18" t="s">
        <v>82</v>
      </c>
      <c r="K1439" s="18">
        <v>12</v>
      </c>
      <c r="L1439" s="20">
        <v>820.36</v>
      </c>
      <c r="M1439" s="21">
        <v>0.15</v>
      </c>
      <c r="N1439" s="21">
        <v>0.57393667664322401</v>
      </c>
      <c r="O1439" s="20">
        <f t="shared" si="88"/>
        <v>8367.6719999999987</v>
      </c>
      <c r="P1439" s="20">
        <f t="shared" si="89"/>
        <v>4802.513858920559</v>
      </c>
      <c r="Q1439" s="20">
        <f t="shared" si="90"/>
        <v>3565.1581410794397</v>
      </c>
      <c r="R1439" s="22">
        <f t="shared" si="91"/>
        <v>0.42606332335677599</v>
      </c>
    </row>
    <row r="1440" spans="1:18">
      <c r="A1440" s="18">
        <v>2439</v>
      </c>
      <c r="B1440" s="19" t="s">
        <v>525</v>
      </c>
      <c r="C1440" s="18">
        <v>2025</v>
      </c>
      <c r="D1440" s="18" t="s">
        <v>42</v>
      </c>
      <c r="E1440" s="18" t="s">
        <v>79</v>
      </c>
      <c r="F1440" s="18" t="s">
        <v>80</v>
      </c>
      <c r="G1440" s="18" t="s">
        <v>41</v>
      </c>
      <c r="H1440" s="18" t="s">
        <v>112</v>
      </c>
      <c r="I1440" s="18" t="s">
        <v>46</v>
      </c>
      <c r="J1440" s="18" t="s">
        <v>102</v>
      </c>
      <c r="K1440" s="18">
        <v>4</v>
      </c>
      <c r="L1440" s="20">
        <v>5849.28</v>
      </c>
      <c r="M1440" s="21">
        <v>0.15</v>
      </c>
      <c r="N1440" s="21">
        <v>0.70474684053483805</v>
      </c>
      <c r="O1440" s="20">
        <f t="shared" si="88"/>
        <v>19887.552</v>
      </c>
      <c r="P1440" s="20">
        <f t="shared" si="89"/>
        <v>14015.6894379723</v>
      </c>
      <c r="Q1440" s="20">
        <f t="shared" si="90"/>
        <v>5871.8625620276998</v>
      </c>
      <c r="R1440" s="22">
        <f t="shared" si="91"/>
        <v>0.2952531594651619</v>
      </c>
    </row>
    <row r="1441" spans="1:18">
      <c r="A1441" s="18">
        <v>2440</v>
      </c>
      <c r="B1441" s="19" t="s">
        <v>526</v>
      </c>
      <c r="C1441" s="18">
        <v>2025</v>
      </c>
      <c r="D1441" s="18" t="s">
        <v>42</v>
      </c>
      <c r="E1441" s="18" t="s">
        <v>88</v>
      </c>
      <c r="F1441" s="18" t="s">
        <v>110</v>
      </c>
      <c r="G1441" s="18" t="s">
        <v>50</v>
      </c>
      <c r="H1441" s="18" t="s">
        <v>87</v>
      </c>
      <c r="I1441" s="18" t="s">
        <v>43</v>
      </c>
      <c r="J1441" s="18" t="s">
        <v>91</v>
      </c>
      <c r="K1441" s="18">
        <v>2</v>
      </c>
      <c r="L1441" s="20">
        <v>9114.4500000000007</v>
      </c>
      <c r="M1441" s="21">
        <v>0.1</v>
      </c>
      <c r="N1441" s="21">
        <v>0.66480057791013802</v>
      </c>
      <c r="O1441" s="20">
        <f t="shared" si="88"/>
        <v>16406.010000000002</v>
      </c>
      <c r="P1441" s="20">
        <f t="shared" si="89"/>
        <v>10906.724929199505</v>
      </c>
      <c r="Q1441" s="20">
        <f t="shared" si="90"/>
        <v>5499.2850708004971</v>
      </c>
      <c r="R1441" s="22">
        <f t="shared" si="91"/>
        <v>0.33519942208986198</v>
      </c>
    </row>
    <row r="1442" spans="1:18">
      <c r="A1442" s="18">
        <v>2441</v>
      </c>
      <c r="B1442" s="19" t="s">
        <v>526</v>
      </c>
      <c r="C1442" s="18">
        <v>2025</v>
      </c>
      <c r="D1442" s="18" t="s">
        <v>42</v>
      </c>
      <c r="E1442" s="18" t="s">
        <v>85</v>
      </c>
      <c r="F1442" s="18" t="s">
        <v>121</v>
      </c>
      <c r="G1442" s="18" t="s">
        <v>50</v>
      </c>
      <c r="H1442" s="18" t="s">
        <v>87</v>
      </c>
      <c r="I1442" s="18" t="s">
        <v>58</v>
      </c>
      <c r="J1442" s="18" t="s">
        <v>82</v>
      </c>
      <c r="K1442" s="18">
        <v>6</v>
      </c>
      <c r="L1442" s="20">
        <v>9198.84</v>
      </c>
      <c r="M1442" s="21">
        <v>0.05</v>
      </c>
      <c r="N1442" s="21">
        <v>0.62103139039488298</v>
      </c>
      <c r="O1442" s="20">
        <f t="shared" si="88"/>
        <v>52433.387999999999</v>
      </c>
      <c r="P1442" s="20">
        <f t="shared" si="89"/>
        <v>32562.779852754371</v>
      </c>
      <c r="Q1442" s="20">
        <f t="shared" si="90"/>
        <v>19870.608147245628</v>
      </c>
      <c r="R1442" s="22">
        <f t="shared" si="91"/>
        <v>0.37896860960511702</v>
      </c>
    </row>
    <row r="1443" spans="1:18">
      <c r="A1443" s="18">
        <v>2442</v>
      </c>
      <c r="B1443" s="19" t="s">
        <v>526</v>
      </c>
      <c r="C1443" s="18">
        <v>2025</v>
      </c>
      <c r="D1443" s="18" t="s">
        <v>42</v>
      </c>
      <c r="E1443" s="18" t="s">
        <v>85</v>
      </c>
      <c r="F1443" s="18" t="s">
        <v>121</v>
      </c>
      <c r="G1443" s="18" t="s">
        <v>50</v>
      </c>
      <c r="H1443" s="18" t="s">
        <v>83</v>
      </c>
      <c r="I1443" s="18" t="s">
        <v>46</v>
      </c>
      <c r="J1443" s="18" t="s">
        <v>91</v>
      </c>
      <c r="K1443" s="18">
        <v>7</v>
      </c>
      <c r="L1443" s="20">
        <v>3395.21</v>
      </c>
      <c r="M1443" s="21">
        <v>0.05</v>
      </c>
      <c r="N1443" s="21">
        <v>0.74712720460776305</v>
      </c>
      <c r="O1443" s="20">
        <f t="shared" si="88"/>
        <v>22578.146499999999</v>
      </c>
      <c r="P1443" s="20">
        <f t="shared" si="89"/>
        <v>16868.747479769547</v>
      </c>
      <c r="Q1443" s="20">
        <f t="shared" si="90"/>
        <v>5709.3990202304522</v>
      </c>
      <c r="R1443" s="22">
        <f t="shared" si="91"/>
        <v>0.252872795392237</v>
      </c>
    </row>
    <row r="1444" spans="1:18">
      <c r="A1444" s="18">
        <v>2443</v>
      </c>
      <c r="B1444" s="19" t="s">
        <v>527</v>
      </c>
      <c r="C1444" s="18">
        <v>2025</v>
      </c>
      <c r="D1444" s="18" t="s">
        <v>42</v>
      </c>
      <c r="E1444" s="18" t="s">
        <v>98</v>
      </c>
      <c r="F1444" s="18" t="s">
        <v>109</v>
      </c>
      <c r="G1444" s="18" t="s">
        <v>41</v>
      </c>
      <c r="H1444" s="18" t="s">
        <v>106</v>
      </c>
      <c r="I1444" s="18" t="s">
        <v>40</v>
      </c>
      <c r="J1444" s="18" t="s">
        <v>102</v>
      </c>
      <c r="K1444" s="18">
        <v>1</v>
      </c>
      <c r="L1444" s="20">
        <v>2620.5</v>
      </c>
      <c r="M1444" s="21">
        <v>0</v>
      </c>
      <c r="N1444" s="21">
        <v>0.686542016823809</v>
      </c>
      <c r="O1444" s="20">
        <f t="shared" si="88"/>
        <v>2620.5</v>
      </c>
      <c r="P1444" s="20">
        <f t="shared" si="89"/>
        <v>1799.0833550867915</v>
      </c>
      <c r="Q1444" s="20">
        <f t="shared" si="90"/>
        <v>821.41664491320853</v>
      </c>
      <c r="R1444" s="22">
        <f t="shared" si="91"/>
        <v>0.313457983176191</v>
      </c>
    </row>
    <row r="1445" spans="1:18">
      <c r="A1445" s="18">
        <v>2444</v>
      </c>
      <c r="B1445" s="19" t="s">
        <v>527</v>
      </c>
      <c r="C1445" s="18">
        <v>2025</v>
      </c>
      <c r="D1445" s="18" t="s">
        <v>42</v>
      </c>
      <c r="E1445" s="18" t="s">
        <v>79</v>
      </c>
      <c r="F1445" s="18" t="s">
        <v>100</v>
      </c>
      <c r="G1445" s="18" t="s">
        <v>41</v>
      </c>
      <c r="H1445" s="18" t="s">
        <v>90</v>
      </c>
      <c r="I1445" s="18" t="s">
        <v>40</v>
      </c>
      <c r="J1445" s="18" t="s">
        <v>91</v>
      </c>
      <c r="K1445" s="18">
        <v>7</v>
      </c>
      <c r="L1445" s="20">
        <v>17651.27</v>
      </c>
      <c r="M1445" s="21">
        <v>0.15</v>
      </c>
      <c r="N1445" s="21">
        <v>0.66267294045513303</v>
      </c>
      <c r="O1445" s="20">
        <f t="shared" si="88"/>
        <v>105025.05649999999</v>
      </c>
      <c r="P1445" s="20">
        <f t="shared" si="89"/>
        <v>69597.263012321477</v>
      </c>
      <c r="Q1445" s="20">
        <f t="shared" si="90"/>
        <v>35427.793487678515</v>
      </c>
      <c r="R1445" s="22">
        <f t="shared" si="91"/>
        <v>0.33732705954486697</v>
      </c>
    </row>
    <row r="1446" spans="1:18">
      <c r="A1446" s="18">
        <v>2445</v>
      </c>
      <c r="B1446" s="19" t="s">
        <v>528</v>
      </c>
      <c r="C1446" s="18">
        <v>2025</v>
      </c>
      <c r="D1446" s="18" t="s">
        <v>42</v>
      </c>
      <c r="E1446" s="18" t="s">
        <v>88</v>
      </c>
      <c r="F1446" s="18" t="s">
        <v>110</v>
      </c>
      <c r="G1446" s="18" t="s">
        <v>50</v>
      </c>
      <c r="H1446" s="18" t="s">
        <v>83</v>
      </c>
      <c r="I1446" s="18" t="s">
        <v>60</v>
      </c>
      <c r="J1446" s="18" t="s">
        <v>82</v>
      </c>
      <c r="K1446" s="18">
        <v>6</v>
      </c>
      <c r="L1446" s="20">
        <v>3358.94</v>
      </c>
      <c r="M1446" s="21">
        <v>0.2</v>
      </c>
      <c r="N1446" s="21">
        <v>0.73252292596499802</v>
      </c>
      <c r="O1446" s="20">
        <f t="shared" si="88"/>
        <v>16122.912</v>
      </c>
      <c r="P1446" s="20">
        <f t="shared" si="89"/>
        <v>11810.402673316179</v>
      </c>
      <c r="Q1446" s="20">
        <f t="shared" si="90"/>
        <v>4312.5093266838212</v>
      </c>
      <c r="R1446" s="22">
        <f t="shared" si="91"/>
        <v>0.26747707403500193</v>
      </c>
    </row>
    <row r="1447" spans="1:18">
      <c r="A1447" s="18">
        <v>2446</v>
      </c>
      <c r="B1447" s="19" t="s">
        <v>528</v>
      </c>
      <c r="C1447" s="18">
        <v>2025</v>
      </c>
      <c r="D1447" s="18" t="s">
        <v>42</v>
      </c>
      <c r="E1447" s="18" t="s">
        <v>98</v>
      </c>
      <c r="F1447" s="18" t="s">
        <v>99</v>
      </c>
      <c r="G1447" s="18" t="s">
        <v>44</v>
      </c>
      <c r="H1447" s="18" t="s">
        <v>114</v>
      </c>
      <c r="I1447" s="18" t="s">
        <v>46</v>
      </c>
      <c r="J1447" s="18" t="s">
        <v>102</v>
      </c>
      <c r="K1447" s="18">
        <v>3</v>
      </c>
      <c r="L1447" s="20">
        <v>9282.93</v>
      </c>
      <c r="M1447" s="21">
        <v>0.1</v>
      </c>
      <c r="N1447" s="21">
        <v>0.55606833342028095</v>
      </c>
      <c r="O1447" s="20">
        <f t="shared" si="88"/>
        <v>25063.911</v>
      </c>
      <c r="P1447" s="20">
        <f t="shared" si="89"/>
        <v>13937.247218764247</v>
      </c>
      <c r="Q1447" s="20">
        <f t="shared" si="90"/>
        <v>11126.663781235753</v>
      </c>
      <c r="R1447" s="22">
        <f t="shared" si="91"/>
        <v>0.44393166657971905</v>
      </c>
    </row>
    <row r="1448" spans="1:18">
      <c r="A1448" s="18">
        <v>2447</v>
      </c>
      <c r="B1448" s="19" t="s">
        <v>529</v>
      </c>
      <c r="C1448" s="18">
        <v>2025</v>
      </c>
      <c r="D1448" s="18" t="s">
        <v>42</v>
      </c>
      <c r="E1448" s="18" t="s">
        <v>79</v>
      </c>
      <c r="F1448" s="18" t="s">
        <v>105</v>
      </c>
      <c r="G1448" s="18" t="s">
        <v>47</v>
      </c>
      <c r="H1448" s="18" t="s">
        <v>81</v>
      </c>
      <c r="I1448" s="18" t="s">
        <v>54</v>
      </c>
      <c r="J1448" s="18" t="s">
        <v>102</v>
      </c>
      <c r="K1448" s="18">
        <v>3</v>
      </c>
      <c r="L1448" s="20">
        <v>807.21</v>
      </c>
      <c r="M1448" s="21">
        <v>0</v>
      </c>
      <c r="N1448" s="21">
        <v>0.73004612043458506</v>
      </c>
      <c r="O1448" s="20">
        <f t="shared" si="88"/>
        <v>2421.63</v>
      </c>
      <c r="P1448" s="20">
        <f t="shared" si="89"/>
        <v>1767.9015866280042</v>
      </c>
      <c r="Q1448" s="20">
        <f t="shared" si="90"/>
        <v>653.72841337199588</v>
      </c>
      <c r="R1448" s="22">
        <f t="shared" si="91"/>
        <v>0.26995387956541494</v>
      </c>
    </row>
    <row r="1449" spans="1:18">
      <c r="A1449" s="18">
        <v>2448</v>
      </c>
      <c r="B1449" s="19" t="s">
        <v>529</v>
      </c>
      <c r="C1449" s="18">
        <v>2025</v>
      </c>
      <c r="D1449" s="18" t="s">
        <v>42</v>
      </c>
      <c r="E1449" s="18" t="s">
        <v>85</v>
      </c>
      <c r="F1449" s="18" t="s">
        <v>86</v>
      </c>
      <c r="G1449" s="18" t="s">
        <v>44</v>
      </c>
      <c r="H1449" s="18" t="s">
        <v>95</v>
      </c>
      <c r="I1449" s="18" t="s">
        <v>54</v>
      </c>
      <c r="J1449" s="18" t="s">
        <v>91</v>
      </c>
      <c r="K1449" s="18">
        <v>11</v>
      </c>
      <c r="L1449" s="20">
        <v>4521.59</v>
      </c>
      <c r="M1449" s="21">
        <v>0.1</v>
      </c>
      <c r="N1449" s="21">
        <v>0.70681252993335697</v>
      </c>
      <c r="O1449" s="20">
        <f t="shared" si="88"/>
        <v>44763.741000000009</v>
      </c>
      <c r="P1449" s="20">
        <f t="shared" si="89"/>
        <v>31639.573025491543</v>
      </c>
      <c r="Q1449" s="20">
        <f t="shared" si="90"/>
        <v>13124.167974508466</v>
      </c>
      <c r="R1449" s="22">
        <f t="shared" si="91"/>
        <v>0.29318747006664309</v>
      </c>
    </row>
    <row r="1450" spans="1:18">
      <c r="A1450" s="18">
        <v>2449</v>
      </c>
      <c r="B1450" s="19" t="s">
        <v>530</v>
      </c>
      <c r="C1450" s="18">
        <v>2025</v>
      </c>
      <c r="D1450" s="18" t="s">
        <v>42</v>
      </c>
      <c r="E1450" s="18" t="s">
        <v>79</v>
      </c>
      <c r="F1450" s="18" t="s">
        <v>105</v>
      </c>
      <c r="G1450" s="18" t="s">
        <v>44</v>
      </c>
      <c r="H1450" s="18" t="s">
        <v>114</v>
      </c>
      <c r="I1450" s="18" t="s">
        <v>46</v>
      </c>
      <c r="J1450" s="18" t="s">
        <v>82</v>
      </c>
      <c r="K1450" s="18">
        <v>8</v>
      </c>
      <c r="L1450" s="20">
        <v>8719.51</v>
      </c>
      <c r="M1450" s="21">
        <v>0.1</v>
      </c>
      <c r="N1450" s="21">
        <v>0.55831807756173801</v>
      </c>
      <c r="O1450" s="20">
        <f t="shared" si="88"/>
        <v>62780.472000000002</v>
      </c>
      <c r="P1450" s="20">
        <f t="shared" si="89"/>
        <v>35051.47243545852</v>
      </c>
      <c r="Q1450" s="20">
        <f t="shared" si="90"/>
        <v>27728.999564541482</v>
      </c>
      <c r="R1450" s="22">
        <f t="shared" si="91"/>
        <v>0.44168192243826204</v>
      </c>
    </row>
    <row r="1451" spans="1:18">
      <c r="A1451" s="18">
        <v>2450</v>
      </c>
      <c r="B1451" s="19" t="s">
        <v>530</v>
      </c>
      <c r="C1451" s="18">
        <v>2025</v>
      </c>
      <c r="D1451" s="18" t="s">
        <v>42</v>
      </c>
      <c r="E1451" s="18" t="s">
        <v>79</v>
      </c>
      <c r="F1451" s="18" t="s">
        <v>105</v>
      </c>
      <c r="G1451" s="18" t="s">
        <v>41</v>
      </c>
      <c r="H1451" s="18" t="s">
        <v>90</v>
      </c>
      <c r="I1451" s="18" t="s">
        <v>54</v>
      </c>
      <c r="J1451" s="18" t="s">
        <v>102</v>
      </c>
      <c r="K1451" s="18">
        <v>10</v>
      </c>
      <c r="L1451" s="20">
        <v>18135.16</v>
      </c>
      <c r="M1451" s="21">
        <v>0.15</v>
      </c>
      <c r="N1451" s="21">
        <v>0.654334563604273</v>
      </c>
      <c r="O1451" s="20">
        <f t="shared" si="88"/>
        <v>154148.86000000002</v>
      </c>
      <c r="P1451" s="20">
        <f t="shared" si="89"/>
        <v>100864.92703819618</v>
      </c>
      <c r="Q1451" s="20">
        <f t="shared" si="90"/>
        <v>53283.932961803832</v>
      </c>
      <c r="R1451" s="22">
        <f t="shared" si="91"/>
        <v>0.345665436395727</v>
      </c>
    </row>
    <row r="1452" spans="1:18">
      <c r="A1452" s="18">
        <v>2451</v>
      </c>
      <c r="B1452" s="19" t="s">
        <v>531</v>
      </c>
      <c r="C1452" s="18">
        <v>2025</v>
      </c>
      <c r="D1452" s="18" t="s">
        <v>42</v>
      </c>
      <c r="E1452" s="18" t="s">
        <v>98</v>
      </c>
      <c r="F1452" s="18" t="s">
        <v>109</v>
      </c>
      <c r="G1452" s="18" t="s">
        <v>44</v>
      </c>
      <c r="H1452" s="18" t="s">
        <v>114</v>
      </c>
      <c r="I1452" s="18" t="s">
        <v>49</v>
      </c>
      <c r="J1452" s="18" t="s">
        <v>91</v>
      </c>
      <c r="K1452" s="18">
        <v>11</v>
      </c>
      <c r="L1452" s="20">
        <v>8933.69</v>
      </c>
      <c r="M1452" s="21">
        <v>0.1</v>
      </c>
      <c r="N1452" s="21">
        <v>0.62541338962672499</v>
      </c>
      <c r="O1452" s="20">
        <f t="shared" si="88"/>
        <v>88443.531000000017</v>
      </c>
      <c r="P1452" s="20">
        <f t="shared" si="89"/>
        <v>55313.768513266339</v>
      </c>
      <c r="Q1452" s="20">
        <f t="shared" si="90"/>
        <v>33129.762486733678</v>
      </c>
      <c r="R1452" s="22">
        <f t="shared" si="91"/>
        <v>0.37458661037327501</v>
      </c>
    </row>
    <row r="1453" spans="1:18">
      <c r="A1453" s="18">
        <v>2452</v>
      </c>
      <c r="B1453" s="19" t="s">
        <v>531</v>
      </c>
      <c r="C1453" s="18">
        <v>2025</v>
      </c>
      <c r="D1453" s="18" t="s">
        <v>42</v>
      </c>
      <c r="E1453" s="18" t="s">
        <v>85</v>
      </c>
      <c r="F1453" s="18" t="s">
        <v>86</v>
      </c>
      <c r="G1453" s="18" t="s">
        <v>50</v>
      </c>
      <c r="H1453" s="18" t="s">
        <v>83</v>
      </c>
      <c r="I1453" s="18" t="s">
        <v>54</v>
      </c>
      <c r="J1453" s="18" t="s">
        <v>102</v>
      </c>
      <c r="K1453" s="18">
        <v>8</v>
      </c>
      <c r="L1453" s="20">
        <v>3538.38</v>
      </c>
      <c r="M1453" s="21">
        <v>0.05</v>
      </c>
      <c r="N1453" s="21">
        <v>0.64952292143149304</v>
      </c>
      <c r="O1453" s="20">
        <f t="shared" si="88"/>
        <v>26891.687999999998</v>
      </c>
      <c r="P1453" s="20">
        <f t="shared" si="89"/>
        <v>17466.767751984222</v>
      </c>
      <c r="Q1453" s="20">
        <f t="shared" si="90"/>
        <v>9424.9202480157765</v>
      </c>
      <c r="R1453" s="22">
        <f t="shared" si="91"/>
        <v>0.35047707856850702</v>
      </c>
    </row>
    <row r="1454" spans="1:18">
      <c r="A1454" s="18">
        <v>2453</v>
      </c>
      <c r="B1454" s="19" t="s">
        <v>531</v>
      </c>
      <c r="C1454" s="18">
        <v>2025</v>
      </c>
      <c r="D1454" s="18" t="s">
        <v>42</v>
      </c>
      <c r="E1454" s="18" t="s">
        <v>98</v>
      </c>
      <c r="F1454" s="18" t="s">
        <v>99</v>
      </c>
      <c r="G1454" s="18" t="s">
        <v>41</v>
      </c>
      <c r="H1454" s="18" t="s">
        <v>90</v>
      </c>
      <c r="I1454" s="18" t="s">
        <v>49</v>
      </c>
      <c r="J1454" s="18" t="s">
        <v>82</v>
      </c>
      <c r="K1454" s="18">
        <v>5</v>
      </c>
      <c r="L1454" s="20">
        <v>18705.77</v>
      </c>
      <c r="M1454" s="21">
        <v>0.2</v>
      </c>
      <c r="N1454" s="21">
        <v>0.73005526896011097</v>
      </c>
      <c r="O1454" s="20">
        <f t="shared" si="88"/>
        <v>74823.08</v>
      </c>
      <c r="P1454" s="20">
        <f t="shared" si="89"/>
        <v>54624.9837938239</v>
      </c>
      <c r="Q1454" s="20">
        <f t="shared" si="90"/>
        <v>20198.096206176102</v>
      </c>
      <c r="R1454" s="22">
        <f t="shared" si="91"/>
        <v>0.26994473103988903</v>
      </c>
    </row>
    <row r="1455" spans="1:18">
      <c r="A1455" s="18">
        <v>2454</v>
      </c>
      <c r="B1455" s="19" t="s">
        <v>532</v>
      </c>
      <c r="C1455" s="18">
        <v>2025</v>
      </c>
      <c r="D1455" s="18" t="s">
        <v>42</v>
      </c>
      <c r="E1455" s="18" t="s">
        <v>98</v>
      </c>
      <c r="F1455" s="18" t="s">
        <v>99</v>
      </c>
      <c r="G1455" s="18" t="s">
        <v>41</v>
      </c>
      <c r="H1455" s="18" t="s">
        <v>90</v>
      </c>
      <c r="I1455" s="18" t="s">
        <v>40</v>
      </c>
      <c r="J1455" s="18" t="s">
        <v>91</v>
      </c>
      <c r="K1455" s="18">
        <v>7</v>
      </c>
      <c r="L1455" s="20">
        <v>17438.830000000002</v>
      </c>
      <c r="M1455" s="21">
        <v>0.15</v>
      </c>
      <c r="N1455" s="21">
        <v>0.56048705104551599</v>
      </c>
      <c r="O1455" s="20">
        <f t="shared" si="88"/>
        <v>103761.03850000001</v>
      </c>
      <c r="P1455" s="20">
        <f t="shared" si="89"/>
        <v>58156.718482285258</v>
      </c>
      <c r="Q1455" s="20">
        <f t="shared" si="90"/>
        <v>45604.320017714752</v>
      </c>
      <c r="R1455" s="22">
        <f t="shared" si="91"/>
        <v>0.43951294895448401</v>
      </c>
    </row>
    <row r="1456" spans="1:18">
      <c r="A1456" s="18">
        <v>2455</v>
      </c>
      <c r="B1456" s="19" t="s">
        <v>532</v>
      </c>
      <c r="C1456" s="18">
        <v>2025</v>
      </c>
      <c r="D1456" s="18" t="s">
        <v>42</v>
      </c>
      <c r="E1456" s="18" t="s">
        <v>85</v>
      </c>
      <c r="F1456" s="18" t="s">
        <v>94</v>
      </c>
      <c r="G1456" s="18" t="s">
        <v>44</v>
      </c>
      <c r="H1456" s="18" t="s">
        <v>95</v>
      </c>
      <c r="I1456" s="18" t="s">
        <v>54</v>
      </c>
      <c r="J1456" s="18" t="s">
        <v>102</v>
      </c>
      <c r="K1456" s="18">
        <v>12</v>
      </c>
      <c r="L1456" s="20">
        <v>4295.12</v>
      </c>
      <c r="M1456" s="21">
        <v>0</v>
      </c>
      <c r="N1456" s="21">
        <v>0.56973014691059898</v>
      </c>
      <c r="O1456" s="20">
        <f t="shared" si="88"/>
        <v>51541.440000000002</v>
      </c>
      <c r="P1456" s="20">
        <f t="shared" si="89"/>
        <v>29364.712183183823</v>
      </c>
      <c r="Q1456" s="20">
        <f t="shared" si="90"/>
        <v>22176.727816816179</v>
      </c>
      <c r="R1456" s="22">
        <f t="shared" si="91"/>
        <v>0.43026985308940102</v>
      </c>
    </row>
    <row r="1457" spans="1:18">
      <c r="A1457" s="18">
        <v>2456</v>
      </c>
      <c r="B1457" s="19" t="s">
        <v>532</v>
      </c>
      <c r="C1457" s="18">
        <v>2025</v>
      </c>
      <c r="D1457" s="18" t="s">
        <v>42</v>
      </c>
      <c r="E1457" s="18" t="s">
        <v>88</v>
      </c>
      <c r="F1457" s="18" t="s">
        <v>110</v>
      </c>
      <c r="G1457" s="18" t="s">
        <v>47</v>
      </c>
      <c r="H1457" s="18" t="s">
        <v>81</v>
      </c>
      <c r="I1457" s="18" t="s">
        <v>49</v>
      </c>
      <c r="J1457" s="18" t="s">
        <v>91</v>
      </c>
      <c r="K1457" s="18">
        <v>4</v>
      </c>
      <c r="L1457" s="20">
        <v>805.69</v>
      </c>
      <c r="M1457" s="21">
        <v>0.15</v>
      </c>
      <c r="N1457" s="21">
        <v>0.553118541904142</v>
      </c>
      <c r="O1457" s="20">
        <f t="shared" si="88"/>
        <v>2739.346</v>
      </c>
      <c r="P1457" s="20">
        <f t="shared" si="89"/>
        <v>1515.1830652909439</v>
      </c>
      <c r="Q1457" s="20">
        <f t="shared" si="90"/>
        <v>1224.1629347090561</v>
      </c>
      <c r="R1457" s="22">
        <f t="shared" si="91"/>
        <v>0.44688145809585794</v>
      </c>
    </row>
    <row r="1458" spans="1:18">
      <c r="A1458" s="18">
        <v>2457</v>
      </c>
      <c r="B1458" s="19" t="s">
        <v>533</v>
      </c>
      <c r="C1458" s="18">
        <v>2025</v>
      </c>
      <c r="D1458" s="18" t="s">
        <v>42</v>
      </c>
      <c r="E1458" s="18" t="s">
        <v>88</v>
      </c>
      <c r="F1458" s="18" t="s">
        <v>93</v>
      </c>
      <c r="G1458" s="18" t="s">
        <v>41</v>
      </c>
      <c r="H1458" s="18" t="s">
        <v>106</v>
      </c>
      <c r="I1458" s="18" t="s">
        <v>40</v>
      </c>
      <c r="J1458" s="18" t="s">
        <v>82</v>
      </c>
      <c r="K1458" s="18">
        <v>11</v>
      </c>
      <c r="L1458" s="20">
        <v>2578.41</v>
      </c>
      <c r="M1458" s="21">
        <v>0.05</v>
      </c>
      <c r="N1458" s="21">
        <v>0.74688039299407305</v>
      </c>
      <c r="O1458" s="20">
        <f t="shared" si="88"/>
        <v>26944.384499999996</v>
      </c>
      <c r="P1458" s="20">
        <f t="shared" si="89"/>
        <v>20124.232484343407</v>
      </c>
      <c r="Q1458" s="20">
        <f t="shared" si="90"/>
        <v>6820.1520156565894</v>
      </c>
      <c r="R1458" s="22">
        <f t="shared" si="91"/>
        <v>0.25311960700592695</v>
      </c>
    </row>
    <row r="1459" spans="1:18">
      <c r="A1459" s="18">
        <v>2458</v>
      </c>
      <c r="B1459" s="19" t="s">
        <v>533</v>
      </c>
      <c r="C1459" s="18">
        <v>2025</v>
      </c>
      <c r="D1459" s="18" t="s">
        <v>42</v>
      </c>
      <c r="E1459" s="18" t="s">
        <v>85</v>
      </c>
      <c r="F1459" s="18" t="s">
        <v>86</v>
      </c>
      <c r="G1459" s="18" t="s">
        <v>47</v>
      </c>
      <c r="H1459" s="18" t="s">
        <v>107</v>
      </c>
      <c r="I1459" s="18" t="s">
        <v>40</v>
      </c>
      <c r="J1459" s="18" t="s">
        <v>82</v>
      </c>
      <c r="K1459" s="18">
        <v>3</v>
      </c>
      <c r="L1459" s="20">
        <v>2221.73</v>
      </c>
      <c r="M1459" s="21">
        <v>0.15</v>
      </c>
      <c r="N1459" s="21">
        <v>0.68370656111565997</v>
      </c>
      <c r="O1459" s="20">
        <f t="shared" si="88"/>
        <v>5665.4115000000002</v>
      </c>
      <c r="P1459" s="20">
        <f t="shared" si="89"/>
        <v>3873.4790139701131</v>
      </c>
      <c r="Q1459" s="20">
        <f t="shared" si="90"/>
        <v>1791.9324860298871</v>
      </c>
      <c r="R1459" s="22">
        <f t="shared" si="91"/>
        <v>0.31629343888434003</v>
      </c>
    </row>
    <row r="1460" spans="1:18">
      <c r="A1460" s="18">
        <v>2459</v>
      </c>
      <c r="B1460" s="19" t="s">
        <v>533</v>
      </c>
      <c r="C1460" s="18">
        <v>2025</v>
      </c>
      <c r="D1460" s="18" t="s">
        <v>42</v>
      </c>
      <c r="E1460" s="18" t="s">
        <v>85</v>
      </c>
      <c r="F1460" s="18" t="s">
        <v>94</v>
      </c>
      <c r="G1460" s="18" t="s">
        <v>47</v>
      </c>
      <c r="H1460" s="18" t="s">
        <v>81</v>
      </c>
      <c r="I1460" s="18" t="s">
        <v>52</v>
      </c>
      <c r="J1460" s="18" t="s">
        <v>91</v>
      </c>
      <c r="K1460" s="18">
        <v>12</v>
      </c>
      <c r="L1460" s="20">
        <v>760.82</v>
      </c>
      <c r="M1460" s="21">
        <v>0.1</v>
      </c>
      <c r="N1460" s="21">
        <v>0.62542635243846001</v>
      </c>
      <c r="O1460" s="20">
        <f t="shared" si="88"/>
        <v>8216.8559999999998</v>
      </c>
      <c r="P1460" s="20">
        <f t="shared" si="89"/>
        <v>5139.0382765920749</v>
      </c>
      <c r="Q1460" s="20">
        <f t="shared" si="90"/>
        <v>3077.8177234079249</v>
      </c>
      <c r="R1460" s="22">
        <f t="shared" si="91"/>
        <v>0.37457364756153994</v>
      </c>
    </row>
    <row r="1461" spans="1:18">
      <c r="A1461" s="18">
        <v>2460</v>
      </c>
      <c r="B1461" s="19" t="s">
        <v>533</v>
      </c>
      <c r="C1461" s="18">
        <v>2025</v>
      </c>
      <c r="D1461" s="18" t="s">
        <v>42</v>
      </c>
      <c r="E1461" s="18" t="s">
        <v>88</v>
      </c>
      <c r="F1461" s="18" t="s">
        <v>89</v>
      </c>
      <c r="G1461" s="18" t="s">
        <v>47</v>
      </c>
      <c r="H1461" s="18" t="s">
        <v>103</v>
      </c>
      <c r="I1461" s="18" t="s">
        <v>40</v>
      </c>
      <c r="J1461" s="18" t="s">
        <v>102</v>
      </c>
      <c r="K1461" s="18">
        <v>12</v>
      </c>
      <c r="L1461" s="20">
        <v>3166.55</v>
      </c>
      <c r="M1461" s="21">
        <v>0.2</v>
      </c>
      <c r="N1461" s="21">
        <v>0.70342532165218596</v>
      </c>
      <c r="O1461" s="20">
        <f t="shared" si="88"/>
        <v>30398.880000000005</v>
      </c>
      <c r="P1461" s="20">
        <f t="shared" si="89"/>
        <v>21383.341941866205</v>
      </c>
      <c r="Q1461" s="20">
        <f t="shared" si="90"/>
        <v>9015.5380581337995</v>
      </c>
      <c r="R1461" s="22">
        <f t="shared" si="91"/>
        <v>0.29657467834781409</v>
      </c>
    </row>
    <row r="1462" spans="1:18">
      <c r="A1462" s="18">
        <v>2461</v>
      </c>
      <c r="B1462" s="19" t="s">
        <v>533</v>
      </c>
      <c r="C1462" s="18">
        <v>2025</v>
      </c>
      <c r="D1462" s="18" t="s">
        <v>42</v>
      </c>
      <c r="E1462" s="18" t="s">
        <v>88</v>
      </c>
      <c r="F1462" s="18" t="s">
        <v>93</v>
      </c>
      <c r="G1462" s="18" t="s">
        <v>44</v>
      </c>
      <c r="H1462" s="18" t="s">
        <v>119</v>
      </c>
      <c r="I1462" s="18" t="s">
        <v>43</v>
      </c>
      <c r="J1462" s="18" t="s">
        <v>82</v>
      </c>
      <c r="K1462" s="18">
        <v>3</v>
      </c>
      <c r="L1462" s="20">
        <v>7281.55</v>
      </c>
      <c r="M1462" s="21">
        <v>0.1</v>
      </c>
      <c r="N1462" s="21">
        <v>0.56330006298923296</v>
      </c>
      <c r="O1462" s="20">
        <f t="shared" si="88"/>
        <v>19660.185000000001</v>
      </c>
      <c r="P1462" s="20">
        <f t="shared" si="89"/>
        <v>11074.583448879974</v>
      </c>
      <c r="Q1462" s="20">
        <f t="shared" si="90"/>
        <v>8585.6015511200276</v>
      </c>
      <c r="R1462" s="22">
        <f t="shared" si="91"/>
        <v>0.43669993701076704</v>
      </c>
    </row>
    <row r="1463" spans="1:18">
      <c r="A1463" s="18">
        <v>2462</v>
      </c>
      <c r="B1463" s="19" t="s">
        <v>534</v>
      </c>
      <c r="C1463" s="18">
        <v>2025</v>
      </c>
      <c r="D1463" s="18" t="s">
        <v>42</v>
      </c>
      <c r="E1463" s="18" t="s">
        <v>88</v>
      </c>
      <c r="F1463" s="18" t="s">
        <v>93</v>
      </c>
      <c r="G1463" s="18" t="s">
        <v>47</v>
      </c>
      <c r="H1463" s="18" t="s">
        <v>103</v>
      </c>
      <c r="I1463" s="18" t="s">
        <v>56</v>
      </c>
      <c r="J1463" s="18" t="s">
        <v>91</v>
      </c>
      <c r="K1463" s="18">
        <v>9</v>
      </c>
      <c r="L1463" s="20">
        <v>3131.66</v>
      </c>
      <c r="M1463" s="21">
        <v>0.15</v>
      </c>
      <c r="N1463" s="21">
        <v>0.60229983792974395</v>
      </c>
      <c r="O1463" s="20">
        <f t="shared" si="88"/>
        <v>23957.198999999997</v>
      </c>
      <c r="P1463" s="20">
        <f t="shared" si="89"/>
        <v>14429.417074950623</v>
      </c>
      <c r="Q1463" s="20">
        <f t="shared" si="90"/>
        <v>9527.781925049374</v>
      </c>
      <c r="R1463" s="22">
        <f t="shared" si="91"/>
        <v>0.39770016207025599</v>
      </c>
    </row>
    <row r="1464" spans="1:18">
      <c r="A1464" s="18">
        <v>2463</v>
      </c>
      <c r="B1464" s="19" t="s">
        <v>534</v>
      </c>
      <c r="C1464" s="18">
        <v>2025</v>
      </c>
      <c r="D1464" s="18" t="s">
        <v>42</v>
      </c>
      <c r="E1464" s="18" t="s">
        <v>79</v>
      </c>
      <c r="F1464" s="18" t="s">
        <v>105</v>
      </c>
      <c r="G1464" s="18" t="s">
        <v>44</v>
      </c>
      <c r="H1464" s="18" t="s">
        <v>119</v>
      </c>
      <c r="I1464" s="18" t="s">
        <v>60</v>
      </c>
      <c r="J1464" s="18" t="s">
        <v>91</v>
      </c>
      <c r="K1464" s="18">
        <v>4</v>
      </c>
      <c r="L1464" s="20">
        <v>6738.98</v>
      </c>
      <c r="M1464" s="21">
        <v>0</v>
      </c>
      <c r="N1464" s="21">
        <v>0.64379139762940996</v>
      </c>
      <c r="O1464" s="20">
        <f t="shared" si="88"/>
        <v>26955.919999999998</v>
      </c>
      <c r="P1464" s="20">
        <f t="shared" si="89"/>
        <v>17353.989411186561</v>
      </c>
      <c r="Q1464" s="20">
        <f t="shared" si="90"/>
        <v>9601.9305888134368</v>
      </c>
      <c r="R1464" s="22">
        <f t="shared" si="91"/>
        <v>0.3562086023705901</v>
      </c>
    </row>
    <row r="1465" spans="1:18">
      <c r="A1465" s="18">
        <v>2464</v>
      </c>
      <c r="B1465" s="19" t="s">
        <v>534</v>
      </c>
      <c r="C1465" s="18">
        <v>2025</v>
      </c>
      <c r="D1465" s="18" t="s">
        <v>42</v>
      </c>
      <c r="E1465" s="18" t="s">
        <v>79</v>
      </c>
      <c r="F1465" s="18" t="s">
        <v>100</v>
      </c>
      <c r="G1465" s="18" t="s">
        <v>44</v>
      </c>
      <c r="H1465" s="18" t="s">
        <v>119</v>
      </c>
      <c r="I1465" s="18" t="s">
        <v>56</v>
      </c>
      <c r="J1465" s="18" t="s">
        <v>82</v>
      </c>
      <c r="K1465" s="18">
        <v>2</v>
      </c>
      <c r="L1465" s="20">
        <v>7183.78</v>
      </c>
      <c r="M1465" s="21">
        <v>0</v>
      </c>
      <c r="N1465" s="21">
        <v>0.59835036908976502</v>
      </c>
      <c r="O1465" s="20">
        <f t="shared" si="88"/>
        <v>14367.56</v>
      </c>
      <c r="P1465" s="20">
        <f t="shared" si="89"/>
        <v>8596.8348289193436</v>
      </c>
      <c r="Q1465" s="20">
        <f t="shared" si="90"/>
        <v>5770.7251710806559</v>
      </c>
      <c r="R1465" s="22">
        <f t="shared" si="91"/>
        <v>0.40164963091023498</v>
      </c>
    </row>
    <row r="1466" spans="1:18">
      <c r="A1466" s="18">
        <v>2465</v>
      </c>
      <c r="B1466" s="19" t="s">
        <v>534</v>
      </c>
      <c r="C1466" s="18">
        <v>2025</v>
      </c>
      <c r="D1466" s="18" t="s">
        <v>42</v>
      </c>
      <c r="E1466" s="18" t="s">
        <v>98</v>
      </c>
      <c r="F1466" s="18" t="s">
        <v>109</v>
      </c>
      <c r="G1466" s="18" t="s">
        <v>44</v>
      </c>
      <c r="H1466" s="18" t="s">
        <v>114</v>
      </c>
      <c r="I1466" s="18" t="s">
        <v>62</v>
      </c>
      <c r="J1466" s="18" t="s">
        <v>82</v>
      </c>
      <c r="K1466" s="18">
        <v>11</v>
      </c>
      <c r="L1466" s="20">
        <v>9390.25</v>
      </c>
      <c r="M1466" s="21">
        <v>0</v>
      </c>
      <c r="N1466" s="21">
        <v>0.703709842578219</v>
      </c>
      <c r="O1466" s="20">
        <f t="shared" si="88"/>
        <v>103292.75</v>
      </c>
      <c r="P1466" s="20">
        <f t="shared" si="89"/>
        <v>72688.124841971337</v>
      </c>
      <c r="Q1466" s="20">
        <f t="shared" si="90"/>
        <v>30604.625158028663</v>
      </c>
      <c r="R1466" s="22">
        <f t="shared" si="91"/>
        <v>0.29629015742178094</v>
      </c>
    </row>
    <row r="1467" spans="1:18">
      <c r="A1467" s="18">
        <v>2466</v>
      </c>
      <c r="B1467" s="19" t="s">
        <v>535</v>
      </c>
      <c r="C1467" s="18">
        <v>2025</v>
      </c>
      <c r="D1467" s="18" t="s">
        <v>45</v>
      </c>
      <c r="E1467" s="18" t="s">
        <v>79</v>
      </c>
      <c r="F1467" s="18" t="s">
        <v>80</v>
      </c>
      <c r="G1467" s="18" t="s">
        <v>41</v>
      </c>
      <c r="H1467" s="18" t="s">
        <v>101</v>
      </c>
      <c r="I1467" s="18" t="s">
        <v>54</v>
      </c>
      <c r="J1467" s="18" t="s">
        <v>91</v>
      </c>
      <c r="K1467" s="18">
        <v>3</v>
      </c>
      <c r="L1467" s="20">
        <v>54175.64</v>
      </c>
      <c r="M1467" s="21">
        <v>0</v>
      </c>
      <c r="N1467" s="21">
        <v>0.73031256294866698</v>
      </c>
      <c r="O1467" s="20">
        <f t="shared" si="88"/>
        <v>162526.91999999998</v>
      </c>
      <c r="P1467" s="20">
        <f t="shared" si="89"/>
        <v>118695.45149335296</v>
      </c>
      <c r="Q1467" s="20">
        <f t="shared" si="90"/>
        <v>43831.468506647027</v>
      </c>
      <c r="R1467" s="22">
        <f t="shared" si="91"/>
        <v>0.26968743705133297</v>
      </c>
    </row>
    <row r="1468" spans="1:18">
      <c r="A1468" s="18">
        <v>2467</v>
      </c>
      <c r="B1468" s="19" t="s">
        <v>535</v>
      </c>
      <c r="C1468" s="18">
        <v>2025</v>
      </c>
      <c r="D1468" s="18" t="s">
        <v>45</v>
      </c>
      <c r="E1468" s="18" t="s">
        <v>79</v>
      </c>
      <c r="F1468" s="18" t="s">
        <v>105</v>
      </c>
      <c r="G1468" s="18" t="s">
        <v>50</v>
      </c>
      <c r="H1468" s="18" t="s">
        <v>83</v>
      </c>
      <c r="I1468" s="18" t="s">
        <v>52</v>
      </c>
      <c r="J1468" s="18" t="s">
        <v>102</v>
      </c>
      <c r="K1468" s="18">
        <v>2</v>
      </c>
      <c r="L1468" s="20">
        <v>3403.83</v>
      </c>
      <c r="M1468" s="21">
        <v>0.2</v>
      </c>
      <c r="N1468" s="21">
        <v>0.58886781831963197</v>
      </c>
      <c r="O1468" s="20">
        <f t="shared" si="88"/>
        <v>5446.1280000000006</v>
      </c>
      <c r="P1468" s="20">
        <f t="shared" si="89"/>
        <v>3207.049513649461</v>
      </c>
      <c r="Q1468" s="20">
        <f t="shared" si="90"/>
        <v>2239.0784863505396</v>
      </c>
      <c r="R1468" s="22">
        <f t="shared" si="91"/>
        <v>0.41113218168036803</v>
      </c>
    </row>
    <row r="1469" spans="1:18">
      <c r="A1469" s="18">
        <v>2468</v>
      </c>
      <c r="B1469" s="19" t="s">
        <v>535</v>
      </c>
      <c r="C1469" s="18">
        <v>2025</v>
      </c>
      <c r="D1469" s="18" t="s">
        <v>45</v>
      </c>
      <c r="E1469" s="18" t="s">
        <v>85</v>
      </c>
      <c r="F1469" s="18" t="s">
        <v>86</v>
      </c>
      <c r="G1469" s="18" t="s">
        <v>50</v>
      </c>
      <c r="H1469" s="18" t="s">
        <v>83</v>
      </c>
      <c r="I1469" s="18" t="s">
        <v>49</v>
      </c>
      <c r="J1469" s="18" t="s">
        <v>102</v>
      </c>
      <c r="K1469" s="18">
        <v>9</v>
      </c>
      <c r="L1469" s="20">
        <v>3425.73</v>
      </c>
      <c r="M1469" s="21">
        <v>0</v>
      </c>
      <c r="N1469" s="21">
        <v>0.57867269001472499</v>
      </c>
      <c r="O1469" s="20">
        <f t="shared" si="88"/>
        <v>30831.57</v>
      </c>
      <c r="P1469" s="20">
        <f t="shared" si="89"/>
        <v>17841.387549277293</v>
      </c>
      <c r="Q1469" s="20">
        <f t="shared" si="90"/>
        <v>12990.182450722707</v>
      </c>
      <c r="R1469" s="22">
        <f t="shared" si="91"/>
        <v>0.42132730998527507</v>
      </c>
    </row>
    <row r="1470" spans="1:18">
      <c r="A1470" s="18">
        <v>2469</v>
      </c>
      <c r="B1470" s="19" t="s">
        <v>535</v>
      </c>
      <c r="C1470" s="18">
        <v>2025</v>
      </c>
      <c r="D1470" s="18" t="s">
        <v>45</v>
      </c>
      <c r="E1470" s="18" t="s">
        <v>98</v>
      </c>
      <c r="F1470" s="18" t="s">
        <v>117</v>
      </c>
      <c r="G1470" s="18" t="s">
        <v>41</v>
      </c>
      <c r="H1470" s="18" t="s">
        <v>90</v>
      </c>
      <c r="I1470" s="18" t="s">
        <v>56</v>
      </c>
      <c r="J1470" s="18" t="s">
        <v>102</v>
      </c>
      <c r="K1470" s="18">
        <v>9</v>
      </c>
      <c r="L1470" s="20">
        <v>17131.43</v>
      </c>
      <c r="M1470" s="21">
        <v>0.2</v>
      </c>
      <c r="N1470" s="21">
        <v>0.58398304838549997</v>
      </c>
      <c r="O1470" s="20">
        <f t="shared" si="88"/>
        <v>123346.296</v>
      </c>
      <c r="P1470" s="20">
        <f t="shared" si="89"/>
        <v>72032.145945140204</v>
      </c>
      <c r="Q1470" s="20">
        <f t="shared" si="90"/>
        <v>51314.150054859798</v>
      </c>
      <c r="R1470" s="22">
        <f t="shared" si="91"/>
        <v>0.41601695161450003</v>
      </c>
    </row>
    <row r="1471" spans="1:18">
      <c r="A1471" s="18">
        <v>2470</v>
      </c>
      <c r="B1471" s="19" t="s">
        <v>536</v>
      </c>
      <c r="C1471" s="18">
        <v>2025</v>
      </c>
      <c r="D1471" s="18" t="s">
        <v>45</v>
      </c>
      <c r="E1471" s="18" t="s">
        <v>98</v>
      </c>
      <c r="F1471" s="18" t="s">
        <v>117</v>
      </c>
      <c r="G1471" s="18" t="s">
        <v>44</v>
      </c>
      <c r="H1471" s="18" t="s">
        <v>119</v>
      </c>
      <c r="I1471" s="18" t="s">
        <v>49</v>
      </c>
      <c r="J1471" s="18" t="s">
        <v>82</v>
      </c>
      <c r="K1471" s="18">
        <v>7</v>
      </c>
      <c r="L1471" s="20">
        <v>6652.39</v>
      </c>
      <c r="M1471" s="21">
        <v>0</v>
      </c>
      <c r="N1471" s="21">
        <v>0.71274121312428595</v>
      </c>
      <c r="O1471" s="20">
        <f t="shared" si="88"/>
        <v>46566.73</v>
      </c>
      <c r="P1471" s="20">
        <f t="shared" si="89"/>
        <v>33190.027631431083</v>
      </c>
      <c r="Q1471" s="20">
        <f t="shared" si="90"/>
        <v>13376.70236856892</v>
      </c>
      <c r="R1471" s="22">
        <f t="shared" si="91"/>
        <v>0.28725878687571405</v>
      </c>
    </row>
    <row r="1472" spans="1:18">
      <c r="A1472" s="18">
        <v>2471</v>
      </c>
      <c r="B1472" s="19" t="s">
        <v>536</v>
      </c>
      <c r="C1472" s="18">
        <v>2025</v>
      </c>
      <c r="D1472" s="18" t="s">
        <v>45</v>
      </c>
      <c r="E1472" s="18" t="s">
        <v>79</v>
      </c>
      <c r="F1472" s="18" t="s">
        <v>100</v>
      </c>
      <c r="G1472" s="18" t="s">
        <v>41</v>
      </c>
      <c r="H1472" s="18" t="s">
        <v>90</v>
      </c>
      <c r="I1472" s="18" t="s">
        <v>40</v>
      </c>
      <c r="J1472" s="18" t="s">
        <v>102</v>
      </c>
      <c r="K1472" s="18">
        <v>8</v>
      </c>
      <c r="L1472" s="20">
        <v>18786.98</v>
      </c>
      <c r="M1472" s="21">
        <v>0.2</v>
      </c>
      <c r="N1472" s="21">
        <v>0.62721094978223502</v>
      </c>
      <c r="O1472" s="20">
        <f t="shared" si="88"/>
        <v>120236.67200000001</v>
      </c>
      <c r="P1472" s="20">
        <f t="shared" si="89"/>
        <v>75413.757243775064</v>
      </c>
      <c r="Q1472" s="20">
        <f t="shared" si="90"/>
        <v>44822.914756224942</v>
      </c>
      <c r="R1472" s="22">
        <f t="shared" si="91"/>
        <v>0.37278905021776498</v>
      </c>
    </row>
    <row r="1473" spans="1:18">
      <c r="A1473" s="18">
        <v>2472</v>
      </c>
      <c r="B1473" s="19" t="s">
        <v>536</v>
      </c>
      <c r="C1473" s="18">
        <v>2025</v>
      </c>
      <c r="D1473" s="18" t="s">
        <v>45</v>
      </c>
      <c r="E1473" s="18" t="s">
        <v>85</v>
      </c>
      <c r="F1473" s="18" t="s">
        <v>121</v>
      </c>
      <c r="G1473" s="18" t="s">
        <v>44</v>
      </c>
      <c r="H1473" s="18" t="s">
        <v>95</v>
      </c>
      <c r="I1473" s="18" t="s">
        <v>58</v>
      </c>
      <c r="J1473" s="18" t="s">
        <v>102</v>
      </c>
      <c r="K1473" s="18">
        <v>5</v>
      </c>
      <c r="L1473" s="20">
        <v>4430.32</v>
      </c>
      <c r="M1473" s="21">
        <v>0.2</v>
      </c>
      <c r="N1473" s="21">
        <v>0.64099685621131797</v>
      </c>
      <c r="O1473" s="20">
        <f t="shared" si="88"/>
        <v>17721.28</v>
      </c>
      <c r="P1473" s="20">
        <f t="shared" si="89"/>
        <v>11359.284768040505</v>
      </c>
      <c r="Q1473" s="20">
        <f t="shared" si="90"/>
        <v>6361.995231959494</v>
      </c>
      <c r="R1473" s="22">
        <f t="shared" si="91"/>
        <v>0.35900314378868198</v>
      </c>
    </row>
    <row r="1474" spans="1:18">
      <c r="A1474" s="18">
        <v>2473</v>
      </c>
      <c r="B1474" s="19" t="s">
        <v>536</v>
      </c>
      <c r="C1474" s="18">
        <v>2025</v>
      </c>
      <c r="D1474" s="18" t="s">
        <v>45</v>
      </c>
      <c r="E1474" s="18" t="s">
        <v>88</v>
      </c>
      <c r="F1474" s="18" t="s">
        <v>89</v>
      </c>
      <c r="G1474" s="18" t="s">
        <v>47</v>
      </c>
      <c r="H1474" s="18" t="s">
        <v>81</v>
      </c>
      <c r="I1474" s="18" t="s">
        <v>46</v>
      </c>
      <c r="J1474" s="18" t="s">
        <v>91</v>
      </c>
      <c r="K1474" s="18">
        <v>11</v>
      </c>
      <c r="L1474" s="20">
        <v>818.48</v>
      </c>
      <c r="M1474" s="21">
        <v>0.1</v>
      </c>
      <c r="N1474" s="21">
        <v>0.74982809611739398</v>
      </c>
      <c r="O1474" s="20">
        <f t="shared" ref="O1474:O1537" si="92">K1474*L1474*(1-M1474)</f>
        <v>8102.9520000000011</v>
      </c>
      <c r="P1474" s="20">
        <f t="shared" ref="P1474:P1537" si="93">O1474*N1474</f>
        <v>6075.8210710906305</v>
      </c>
      <c r="Q1474" s="20">
        <f t="shared" ref="Q1474:Q1537" si="94">O1474-P1474</f>
        <v>2027.1309289093706</v>
      </c>
      <c r="R1474" s="22">
        <f t="shared" ref="R1474:R1537" si="95">IF(O1474=0,0,Q1474/O1474)</f>
        <v>0.25017190388260602</v>
      </c>
    </row>
    <row r="1475" spans="1:18">
      <c r="A1475" s="18">
        <v>2474</v>
      </c>
      <c r="B1475" s="19" t="s">
        <v>537</v>
      </c>
      <c r="C1475" s="18">
        <v>2025</v>
      </c>
      <c r="D1475" s="18" t="s">
        <v>45</v>
      </c>
      <c r="E1475" s="18" t="s">
        <v>98</v>
      </c>
      <c r="F1475" s="18" t="s">
        <v>99</v>
      </c>
      <c r="G1475" s="18" t="s">
        <v>41</v>
      </c>
      <c r="H1475" s="18" t="s">
        <v>112</v>
      </c>
      <c r="I1475" s="18" t="s">
        <v>52</v>
      </c>
      <c r="J1475" s="18" t="s">
        <v>82</v>
      </c>
      <c r="K1475" s="18">
        <v>1</v>
      </c>
      <c r="L1475" s="20">
        <v>5975.96</v>
      </c>
      <c r="M1475" s="21">
        <v>0.2</v>
      </c>
      <c r="N1475" s="21">
        <v>0.72596100500449301</v>
      </c>
      <c r="O1475" s="20">
        <f t="shared" si="92"/>
        <v>4780.768</v>
      </c>
      <c r="P1475" s="20">
        <f t="shared" si="93"/>
        <v>3470.6511419733201</v>
      </c>
      <c r="Q1475" s="20">
        <f t="shared" si="94"/>
        <v>1310.1168580266799</v>
      </c>
      <c r="R1475" s="22">
        <f t="shared" si="95"/>
        <v>0.27403899499550699</v>
      </c>
    </row>
    <row r="1476" spans="1:18">
      <c r="A1476" s="18">
        <v>2475</v>
      </c>
      <c r="B1476" s="19" t="s">
        <v>537</v>
      </c>
      <c r="C1476" s="18">
        <v>2025</v>
      </c>
      <c r="D1476" s="18" t="s">
        <v>45</v>
      </c>
      <c r="E1476" s="18" t="s">
        <v>88</v>
      </c>
      <c r="F1476" s="18" t="s">
        <v>89</v>
      </c>
      <c r="G1476" s="18" t="s">
        <v>44</v>
      </c>
      <c r="H1476" s="18" t="s">
        <v>95</v>
      </c>
      <c r="I1476" s="18" t="s">
        <v>54</v>
      </c>
      <c r="J1476" s="18" t="s">
        <v>82</v>
      </c>
      <c r="K1476" s="18">
        <v>7</v>
      </c>
      <c r="L1476" s="20">
        <v>4464.51</v>
      </c>
      <c r="M1476" s="21">
        <v>0.1</v>
      </c>
      <c r="N1476" s="21">
        <v>0.64211630781508899</v>
      </c>
      <c r="O1476" s="20">
        <f t="shared" si="92"/>
        <v>28126.413</v>
      </c>
      <c r="P1476" s="20">
        <f t="shared" si="93"/>
        <v>18060.428467642319</v>
      </c>
      <c r="Q1476" s="20">
        <f t="shared" si="94"/>
        <v>10065.984532357681</v>
      </c>
      <c r="R1476" s="22">
        <f t="shared" si="95"/>
        <v>0.35788369218491106</v>
      </c>
    </row>
    <row r="1477" spans="1:18">
      <c r="A1477" s="18">
        <v>2476</v>
      </c>
      <c r="B1477" s="19" t="s">
        <v>537</v>
      </c>
      <c r="C1477" s="18">
        <v>2025</v>
      </c>
      <c r="D1477" s="18" t="s">
        <v>45</v>
      </c>
      <c r="E1477" s="18" t="s">
        <v>85</v>
      </c>
      <c r="F1477" s="18" t="s">
        <v>121</v>
      </c>
      <c r="G1477" s="18" t="s">
        <v>50</v>
      </c>
      <c r="H1477" s="18" t="s">
        <v>97</v>
      </c>
      <c r="I1477" s="18" t="s">
        <v>54</v>
      </c>
      <c r="J1477" s="18" t="s">
        <v>91</v>
      </c>
      <c r="K1477" s="18">
        <v>6</v>
      </c>
      <c r="L1477" s="20">
        <v>12198.45</v>
      </c>
      <c r="M1477" s="21">
        <v>0</v>
      </c>
      <c r="N1477" s="21">
        <v>0.69466154207279796</v>
      </c>
      <c r="O1477" s="20">
        <f t="shared" si="92"/>
        <v>73190.700000000012</v>
      </c>
      <c r="P1477" s="20">
        <f t="shared" si="93"/>
        <v>50842.764527387539</v>
      </c>
      <c r="Q1477" s="20">
        <f t="shared" si="94"/>
        <v>22347.935472612473</v>
      </c>
      <c r="R1477" s="22">
        <f t="shared" si="95"/>
        <v>0.3053384579272021</v>
      </c>
    </row>
    <row r="1478" spans="1:18">
      <c r="A1478" s="18">
        <v>2477</v>
      </c>
      <c r="B1478" s="19" t="s">
        <v>538</v>
      </c>
      <c r="C1478" s="18">
        <v>2025</v>
      </c>
      <c r="D1478" s="18" t="s">
        <v>45</v>
      </c>
      <c r="E1478" s="18" t="s">
        <v>88</v>
      </c>
      <c r="F1478" s="18" t="s">
        <v>110</v>
      </c>
      <c r="G1478" s="18" t="s">
        <v>44</v>
      </c>
      <c r="H1478" s="18" t="s">
        <v>95</v>
      </c>
      <c r="I1478" s="18" t="s">
        <v>49</v>
      </c>
      <c r="J1478" s="18" t="s">
        <v>102</v>
      </c>
      <c r="K1478" s="18">
        <v>11</v>
      </c>
      <c r="L1478" s="20">
        <v>4627.8599999999997</v>
      </c>
      <c r="M1478" s="21">
        <v>0.05</v>
      </c>
      <c r="N1478" s="21">
        <v>0.73007086584475001</v>
      </c>
      <c r="O1478" s="20">
        <f t="shared" si="92"/>
        <v>48361.136999999995</v>
      </c>
      <c r="P1478" s="20">
        <f t="shared" si="93"/>
        <v>35307.057162826575</v>
      </c>
      <c r="Q1478" s="20">
        <f t="shared" si="94"/>
        <v>13054.07983717342</v>
      </c>
      <c r="R1478" s="22">
        <f t="shared" si="95"/>
        <v>0.26992913415524994</v>
      </c>
    </row>
    <row r="1479" spans="1:18">
      <c r="A1479" s="18">
        <v>2478</v>
      </c>
      <c r="B1479" s="19" t="s">
        <v>538</v>
      </c>
      <c r="C1479" s="18">
        <v>2025</v>
      </c>
      <c r="D1479" s="18" t="s">
        <v>45</v>
      </c>
      <c r="E1479" s="18" t="s">
        <v>85</v>
      </c>
      <c r="F1479" s="18" t="s">
        <v>121</v>
      </c>
      <c r="G1479" s="18" t="s">
        <v>47</v>
      </c>
      <c r="H1479" s="18" t="s">
        <v>81</v>
      </c>
      <c r="I1479" s="18" t="s">
        <v>56</v>
      </c>
      <c r="J1479" s="18" t="s">
        <v>82</v>
      </c>
      <c r="K1479" s="18">
        <v>8</v>
      </c>
      <c r="L1479" s="20">
        <v>768.69</v>
      </c>
      <c r="M1479" s="21">
        <v>0.2</v>
      </c>
      <c r="N1479" s="21">
        <v>0.64046396210837397</v>
      </c>
      <c r="O1479" s="20">
        <f t="shared" si="92"/>
        <v>4919.6160000000009</v>
      </c>
      <c r="P1479" s="20">
        <f t="shared" si="93"/>
        <v>3150.8367554117508</v>
      </c>
      <c r="Q1479" s="20">
        <f t="shared" si="94"/>
        <v>1768.7792445882501</v>
      </c>
      <c r="R1479" s="22">
        <f t="shared" si="95"/>
        <v>0.35953603789162603</v>
      </c>
    </row>
    <row r="1480" spans="1:18">
      <c r="A1480" s="18">
        <v>2479</v>
      </c>
      <c r="B1480" s="19" t="s">
        <v>538</v>
      </c>
      <c r="C1480" s="18">
        <v>2025</v>
      </c>
      <c r="D1480" s="18" t="s">
        <v>45</v>
      </c>
      <c r="E1480" s="18" t="s">
        <v>85</v>
      </c>
      <c r="F1480" s="18" t="s">
        <v>86</v>
      </c>
      <c r="G1480" s="18" t="s">
        <v>44</v>
      </c>
      <c r="H1480" s="18" t="s">
        <v>119</v>
      </c>
      <c r="I1480" s="18" t="s">
        <v>54</v>
      </c>
      <c r="J1480" s="18" t="s">
        <v>102</v>
      </c>
      <c r="K1480" s="18">
        <v>3</v>
      </c>
      <c r="L1480" s="20">
        <v>7111.76</v>
      </c>
      <c r="M1480" s="21">
        <v>0.15</v>
      </c>
      <c r="N1480" s="21">
        <v>0.63635676381038897</v>
      </c>
      <c r="O1480" s="20">
        <f t="shared" si="92"/>
        <v>18134.987999999998</v>
      </c>
      <c r="P1480" s="20">
        <f t="shared" si="93"/>
        <v>11540.322275420236</v>
      </c>
      <c r="Q1480" s="20">
        <f t="shared" si="94"/>
        <v>6594.6657245797614</v>
      </c>
      <c r="R1480" s="22">
        <f t="shared" si="95"/>
        <v>0.36364323618961109</v>
      </c>
    </row>
    <row r="1481" spans="1:18">
      <c r="A1481" s="18">
        <v>2480</v>
      </c>
      <c r="B1481" s="19" t="s">
        <v>539</v>
      </c>
      <c r="C1481" s="18">
        <v>2025</v>
      </c>
      <c r="D1481" s="18" t="s">
        <v>45</v>
      </c>
      <c r="E1481" s="18" t="s">
        <v>79</v>
      </c>
      <c r="F1481" s="18" t="s">
        <v>80</v>
      </c>
      <c r="G1481" s="18" t="s">
        <v>44</v>
      </c>
      <c r="H1481" s="18" t="s">
        <v>114</v>
      </c>
      <c r="I1481" s="18" t="s">
        <v>62</v>
      </c>
      <c r="J1481" s="18" t="s">
        <v>102</v>
      </c>
      <c r="K1481" s="18">
        <v>3</v>
      </c>
      <c r="L1481" s="20">
        <v>8795.99</v>
      </c>
      <c r="M1481" s="21">
        <v>0.2</v>
      </c>
      <c r="N1481" s="21">
        <v>0.68612603331113498</v>
      </c>
      <c r="O1481" s="20">
        <f t="shared" si="92"/>
        <v>21110.376000000004</v>
      </c>
      <c r="P1481" s="20">
        <f t="shared" si="93"/>
        <v>14484.378546586588</v>
      </c>
      <c r="Q1481" s="20">
        <f t="shared" si="94"/>
        <v>6625.9974534134162</v>
      </c>
      <c r="R1481" s="22">
        <f t="shared" si="95"/>
        <v>0.31387396668886497</v>
      </c>
    </row>
    <row r="1482" spans="1:18">
      <c r="A1482" s="18">
        <v>2481</v>
      </c>
      <c r="B1482" s="19" t="s">
        <v>539</v>
      </c>
      <c r="C1482" s="18">
        <v>2025</v>
      </c>
      <c r="D1482" s="18" t="s">
        <v>45</v>
      </c>
      <c r="E1482" s="18" t="s">
        <v>88</v>
      </c>
      <c r="F1482" s="18" t="s">
        <v>93</v>
      </c>
      <c r="G1482" s="18" t="s">
        <v>50</v>
      </c>
      <c r="H1482" s="18" t="s">
        <v>87</v>
      </c>
      <c r="I1482" s="18" t="s">
        <v>49</v>
      </c>
      <c r="J1482" s="18" t="s">
        <v>82</v>
      </c>
      <c r="K1482" s="18">
        <v>7</v>
      </c>
      <c r="L1482" s="20">
        <v>9325.67</v>
      </c>
      <c r="M1482" s="21">
        <v>0</v>
      </c>
      <c r="N1482" s="21">
        <v>0.72360601982245698</v>
      </c>
      <c r="O1482" s="20">
        <f t="shared" si="92"/>
        <v>65279.69</v>
      </c>
      <c r="P1482" s="20">
        <f t="shared" si="93"/>
        <v>47236.776656143848</v>
      </c>
      <c r="Q1482" s="20">
        <f t="shared" si="94"/>
        <v>18042.913343856155</v>
      </c>
      <c r="R1482" s="22">
        <f t="shared" si="95"/>
        <v>0.27639398017754302</v>
      </c>
    </row>
    <row r="1483" spans="1:18">
      <c r="A1483" s="18">
        <v>2482</v>
      </c>
      <c r="B1483" s="19" t="s">
        <v>539</v>
      </c>
      <c r="C1483" s="18">
        <v>2025</v>
      </c>
      <c r="D1483" s="18" t="s">
        <v>45</v>
      </c>
      <c r="E1483" s="18" t="s">
        <v>88</v>
      </c>
      <c r="F1483" s="18" t="s">
        <v>89</v>
      </c>
      <c r="G1483" s="18" t="s">
        <v>47</v>
      </c>
      <c r="H1483" s="18" t="s">
        <v>103</v>
      </c>
      <c r="I1483" s="18" t="s">
        <v>62</v>
      </c>
      <c r="J1483" s="18" t="s">
        <v>102</v>
      </c>
      <c r="K1483" s="18">
        <v>12</v>
      </c>
      <c r="L1483" s="20">
        <v>3240.99</v>
      </c>
      <c r="M1483" s="21">
        <v>0</v>
      </c>
      <c r="N1483" s="21">
        <v>0.68523788168588995</v>
      </c>
      <c r="O1483" s="20">
        <f t="shared" si="92"/>
        <v>38891.879999999997</v>
      </c>
      <c r="P1483" s="20">
        <f t="shared" si="93"/>
        <v>26650.189465981828</v>
      </c>
      <c r="Q1483" s="20">
        <f t="shared" si="94"/>
        <v>12241.690534018169</v>
      </c>
      <c r="R1483" s="22">
        <f t="shared" si="95"/>
        <v>0.31476211831411005</v>
      </c>
    </row>
    <row r="1484" spans="1:18">
      <c r="A1484" s="18">
        <v>2483</v>
      </c>
      <c r="B1484" s="19" t="s">
        <v>539</v>
      </c>
      <c r="C1484" s="18">
        <v>2025</v>
      </c>
      <c r="D1484" s="18" t="s">
        <v>45</v>
      </c>
      <c r="E1484" s="18" t="s">
        <v>79</v>
      </c>
      <c r="F1484" s="18" t="s">
        <v>100</v>
      </c>
      <c r="G1484" s="18" t="s">
        <v>41</v>
      </c>
      <c r="H1484" s="18" t="s">
        <v>90</v>
      </c>
      <c r="I1484" s="18" t="s">
        <v>40</v>
      </c>
      <c r="J1484" s="18" t="s">
        <v>91</v>
      </c>
      <c r="K1484" s="18">
        <v>2</v>
      </c>
      <c r="L1484" s="20">
        <v>17663.93</v>
      </c>
      <c r="M1484" s="21">
        <v>0.05</v>
      </c>
      <c r="N1484" s="21">
        <v>0.59060141405997302</v>
      </c>
      <c r="O1484" s="20">
        <f t="shared" si="92"/>
        <v>33561.466999999997</v>
      </c>
      <c r="P1484" s="20">
        <f t="shared" si="93"/>
        <v>19821.449868127118</v>
      </c>
      <c r="Q1484" s="20">
        <f t="shared" si="94"/>
        <v>13740.017131872879</v>
      </c>
      <c r="R1484" s="22">
        <f t="shared" si="95"/>
        <v>0.40939858594002698</v>
      </c>
    </row>
    <row r="1485" spans="1:18">
      <c r="A1485" s="18">
        <v>2484</v>
      </c>
      <c r="B1485" s="19" t="s">
        <v>539</v>
      </c>
      <c r="C1485" s="18">
        <v>2025</v>
      </c>
      <c r="D1485" s="18" t="s">
        <v>45</v>
      </c>
      <c r="E1485" s="18" t="s">
        <v>88</v>
      </c>
      <c r="F1485" s="18" t="s">
        <v>110</v>
      </c>
      <c r="G1485" s="18" t="s">
        <v>47</v>
      </c>
      <c r="H1485" s="18" t="s">
        <v>81</v>
      </c>
      <c r="I1485" s="18" t="s">
        <v>54</v>
      </c>
      <c r="J1485" s="18" t="s">
        <v>102</v>
      </c>
      <c r="K1485" s="18">
        <v>6</v>
      </c>
      <c r="L1485" s="20">
        <v>806.68</v>
      </c>
      <c r="M1485" s="21">
        <v>0.1</v>
      </c>
      <c r="N1485" s="21">
        <v>0.645017466453643</v>
      </c>
      <c r="O1485" s="20">
        <f t="shared" si="92"/>
        <v>4356.0720000000001</v>
      </c>
      <c r="P1485" s="20">
        <f t="shared" si="93"/>
        <v>2809.7425251296536</v>
      </c>
      <c r="Q1485" s="20">
        <f t="shared" si="94"/>
        <v>1546.3294748703465</v>
      </c>
      <c r="R1485" s="22">
        <f t="shared" si="95"/>
        <v>0.354982533546357</v>
      </c>
    </row>
    <row r="1486" spans="1:18">
      <c r="A1486" s="18">
        <v>2485</v>
      </c>
      <c r="B1486" s="19" t="s">
        <v>540</v>
      </c>
      <c r="C1486" s="18">
        <v>2025</v>
      </c>
      <c r="D1486" s="18" t="s">
        <v>45</v>
      </c>
      <c r="E1486" s="18" t="s">
        <v>98</v>
      </c>
      <c r="F1486" s="18" t="s">
        <v>109</v>
      </c>
      <c r="G1486" s="18" t="s">
        <v>41</v>
      </c>
      <c r="H1486" s="18" t="s">
        <v>101</v>
      </c>
      <c r="I1486" s="18" t="s">
        <v>46</v>
      </c>
      <c r="J1486" s="18" t="s">
        <v>82</v>
      </c>
      <c r="K1486" s="18">
        <v>7</v>
      </c>
      <c r="L1486" s="20">
        <v>52901.42</v>
      </c>
      <c r="M1486" s="21">
        <v>0.15</v>
      </c>
      <c r="N1486" s="21">
        <v>0.63193597817164704</v>
      </c>
      <c r="O1486" s="20">
        <f t="shared" si="92"/>
        <v>314763.44900000002</v>
      </c>
      <c r="P1486" s="20">
        <f t="shared" si="93"/>
        <v>198910.34803649635</v>
      </c>
      <c r="Q1486" s="20">
        <f t="shared" si="94"/>
        <v>115853.10096350368</v>
      </c>
      <c r="R1486" s="22">
        <f t="shared" si="95"/>
        <v>0.36806402182835296</v>
      </c>
    </row>
    <row r="1487" spans="1:18">
      <c r="A1487" s="18">
        <v>2486</v>
      </c>
      <c r="B1487" s="19" t="s">
        <v>540</v>
      </c>
      <c r="C1487" s="18">
        <v>2025</v>
      </c>
      <c r="D1487" s="18" t="s">
        <v>45</v>
      </c>
      <c r="E1487" s="18" t="s">
        <v>85</v>
      </c>
      <c r="F1487" s="18" t="s">
        <v>94</v>
      </c>
      <c r="G1487" s="18" t="s">
        <v>47</v>
      </c>
      <c r="H1487" s="18" t="s">
        <v>103</v>
      </c>
      <c r="I1487" s="18" t="s">
        <v>49</v>
      </c>
      <c r="J1487" s="18" t="s">
        <v>82</v>
      </c>
      <c r="K1487" s="18">
        <v>11</v>
      </c>
      <c r="L1487" s="20">
        <v>3342.53</v>
      </c>
      <c r="M1487" s="21">
        <v>0.1</v>
      </c>
      <c r="N1487" s="21">
        <v>0.56941378676246601</v>
      </c>
      <c r="O1487" s="20">
        <f t="shared" si="92"/>
        <v>33091.047000000006</v>
      </c>
      <c r="P1487" s="20">
        <f t="shared" si="93"/>
        <v>18842.498380204743</v>
      </c>
      <c r="Q1487" s="20">
        <f t="shared" si="94"/>
        <v>14248.548619795263</v>
      </c>
      <c r="R1487" s="22">
        <f t="shared" si="95"/>
        <v>0.43058621323753404</v>
      </c>
    </row>
    <row r="1488" spans="1:18">
      <c r="A1488" s="18">
        <v>2487</v>
      </c>
      <c r="B1488" s="19" t="s">
        <v>540</v>
      </c>
      <c r="C1488" s="18">
        <v>2025</v>
      </c>
      <c r="D1488" s="18" t="s">
        <v>45</v>
      </c>
      <c r="E1488" s="18" t="s">
        <v>79</v>
      </c>
      <c r="F1488" s="18" t="s">
        <v>100</v>
      </c>
      <c r="G1488" s="18" t="s">
        <v>50</v>
      </c>
      <c r="H1488" s="18" t="s">
        <v>97</v>
      </c>
      <c r="I1488" s="18" t="s">
        <v>56</v>
      </c>
      <c r="J1488" s="18" t="s">
        <v>91</v>
      </c>
      <c r="K1488" s="18">
        <v>3</v>
      </c>
      <c r="L1488" s="20">
        <v>12320.57</v>
      </c>
      <c r="M1488" s="21">
        <v>0.15</v>
      </c>
      <c r="N1488" s="21">
        <v>0.68762429950799497</v>
      </c>
      <c r="O1488" s="20">
        <f t="shared" si="92"/>
        <v>31417.4535</v>
      </c>
      <c r="P1488" s="20">
        <f t="shared" si="93"/>
        <v>21603.404455262506</v>
      </c>
      <c r="Q1488" s="20">
        <f t="shared" si="94"/>
        <v>9814.0490447374941</v>
      </c>
      <c r="R1488" s="22">
        <f t="shared" si="95"/>
        <v>0.31237570049200503</v>
      </c>
    </row>
    <row r="1489" spans="1:18">
      <c r="A1489" s="18">
        <v>2488</v>
      </c>
      <c r="B1489" s="19" t="s">
        <v>541</v>
      </c>
      <c r="C1489" s="18">
        <v>2025</v>
      </c>
      <c r="D1489" s="18" t="s">
        <v>45</v>
      </c>
      <c r="E1489" s="18" t="s">
        <v>85</v>
      </c>
      <c r="F1489" s="18" t="s">
        <v>94</v>
      </c>
      <c r="G1489" s="18" t="s">
        <v>44</v>
      </c>
      <c r="H1489" s="18" t="s">
        <v>114</v>
      </c>
      <c r="I1489" s="18" t="s">
        <v>40</v>
      </c>
      <c r="J1489" s="18" t="s">
        <v>91</v>
      </c>
      <c r="K1489" s="18">
        <v>11</v>
      </c>
      <c r="L1489" s="20">
        <v>9060.1</v>
      </c>
      <c r="M1489" s="21">
        <v>0.05</v>
      </c>
      <c r="N1489" s="21">
        <v>0.74756305975468496</v>
      </c>
      <c r="O1489" s="20">
        <f t="shared" si="92"/>
        <v>94678.044999999998</v>
      </c>
      <c r="P1489" s="20">
        <f t="shared" si="93"/>
        <v>70777.809011791745</v>
      </c>
      <c r="Q1489" s="20">
        <f t="shared" si="94"/>
        <v>23900.235988208253</v>
      </c>
      <c r="R1489" s="22">
        <f t="shared" si="95"/>
        <v>0.2524369402453151</v>
      </c>
    </row>
    <row r="1490" spans="1:18">
      <c r="A1490" s="18">
        <v>2489</v>
      </c>
      <c r="B1490" s="19" t="s">
        <v>541</v>
      </c>
      <c r="C1490" s="18">
        <v>2025</v>
      </c>
      <c r="D1490" s="18" t="s">
        <v>45</v>
      </c>
      <c r="E1490" s="18" t="s">
        <v>98</v>
      </c>
      <c r="F1490" s="18" t="s">
        <v>117</v>
      </c>
      <c r="G1490" s="18" t="s">
        <v>44</v>
      </c>
      <c r="H1490" s="18" t="s">
        <v>119</v>
      </c>
      <c r="I1490" s="18" t="s">
        <v>62</v>
      </c>
      <c r="J1490" s="18" t="s">
        <v>91</v>
      </c>
      <c r="K1490" s="18">
        <v>11</v>
      </c>
      <c r="L1490" s="20">
        <v>6925.53</v>
      </c>
      <c r="M1490" s="21">
        <v>0</v>
      </c>
      <c r="N1490" s="21">
        <v>0.57219436316623795</v>
      </c>
      <c r="O1490" s="20">
        <f t="shared" si="92"/>
        <v>76180.83</v>
      </c>
      <c r="P1490" s="20">
        <f t="shared" si="93"/>
        <v>43590.241507325438</v>
      </c>
      <c r="Q1490" s="20">
        <f t="shared" si="94"/>
        <v>32590.588492674564</v>
      </c>
      <c r="R1490" s="22">
        <f t="shared" si="95"/>
        <v>0.42780563683376205</v>
      </c>
    </row>
    <row r="1491" spans="1:18">
      <c r="A1491" s="18">
        <v>2490</v>
      </c>
      <c r="B1491" s="19" t="s">
        <v>541</v>
      </c>
      <c r="C1491" s="18">
        <v>2025</v>
      </c>
      <c r="D1491" s="18" t="s">
        <v>45</v>
      </c>
      <c r="E1491" s="18" t="s">
        <v>88</v>
      </c>
      <c r="F1491" s="18" t="s">
        <v>93</v>
      </c>
      <c r="G1491" s="18" t="s">
        <v>47</v>
      </c>
      <c r="H1491" s="18" t="s">
        <v>107</v>
      </c>
      <c r="I1491" s="18" t="s">
        <v>43</v>
      </c>
      <c r="J1491" s="18" t="s">
        <v>91</v>
      </c>
      <c r="K1491" s="18">
        <v>10</v>
      </c>
      <c r="L1491" s="20">
        <v>2306.39</v>
      </c>
      <c r="M1491" s="21">
        <v>0.1</v>
      </c>
      <c r="N1491" s="21">
        <v>0.55319110694805096</v>
      </c>
      <c r="O1491" s="20">
        <f t="shared" si="92"/>
        <v>20757.509999999998</v>
      </c>
      <c r="P1491" s="20">
        <f t="shared" si="93"/>
        <v>11482.869934385237</v>
      </c>
      <c r="Q1491" s="20">
        <f t="shared" si="94"/>
        <v>9274.6400656147616</v>
      </c>
      <c r="R1491" s="22">
        <f t="shared" si="95"/>
        <v>0.44680889305194904</v>
      </c>
    </row>
    <row r="1492" spans="1:18">
      <c r="A1492" s="18">
        <v>2491</v>
      </c>
      <c r="B1492" s="19" t="s">
        <v>541</v>
      </c>
      <c r="C1492" s="18">
        <v>2025</v>
      </c>
      <c r="D1492" s="18" t="s">
        <v>45</v>
      </c>
      <c r="E1492" s="18" t="s">
        <v>85</v>
      </c>
      <c r="F1492" s="18" t="s">
        <v>86</v>
      </c>
      <c r="G1492" s="18" t="s">
        <v>47</v>
      </c>
      <c r="H1492" s="18" t="s">
        <v>107</v>
      </c>
      <c r="I1492" s="18" t="s">
        <v>49</v>
      </c>
      <c r="J1492" s="18" t="s">
        <v>102</v>
      </c>
      <c r="K1492" s="18">
        <v>5</v>
      </c>
      <c r="L1492" s="20">
        <v>2306.0500000000002</v>
      </c>
      <c r="M1492" s="21">
        <v>0</v>
      </c>
      <c r="N1492" s="21">
        <v>0.647921810028803</v>
      </c>
      <c r="O1492" s="20">
        <f t="shared" si="92"/>
        <v>11530.25</v>
      </c>
      <c r="P1492" s="20">
        <f t="shared" si="93"/>
        <v>7470.700450084606</v>
      </c>
      <c r="Q1492" s="20">
        <f t="shared" si="94"/>
        <v>4059.549549915394</v>
      </c>
      <c r="R1492" s="22">
        <f t="shared" si="95"/>
        <v>0.352078189971197</v>
      </c>
    </row>
    <row r="1493" spans="1:18">
      <c r="A1493" s="18">
        <v>2492</v>
      </c>
      <c r="B1493" s="19" t="s">
        <v>542</v>
      </c>
      <c r="C1493" s="18">
        <v>2025</v>
      </c>
      <c r="D1493" s="18" t="s">
        <v>45</v>
      </c>
      <c r="E1493" s="18" t="s">
        <v>79</v>
      </c>
      <c r="F1493" s="18" t="s">
        <v>80</v>
      </c>
      <c r="G1493" s="18" t="s">
        <v>44</v>
      </c>
      <c r="H1493" s="18" t="s">
        <v>95</v>
      </c>
      <c r="I1493" s="18" t="s">
        <v>52</v>
      </c>
      <c r="J1493" s="18" t="s">
        <v>91</v>
      </c>
      <c r="K1493" s="18">
        <v>8</v>
      </c>
      <c r="L1493" s="20">
        <v>4723.2700000000004</v>
      </c>
      <c r="M1493" s="21">
        <v>0.05</v>
      </c>
      <c r="N1493" s="21">
        <v>0.55809114765053502</v>
      </c>
      <c r="O1493" s="20">
        <f t="shared" si="92"/>
        <v>35896.851999999999</v>
      </c>
      <c r="P1493" s="20">
        <f t="shared" si="93"/>
        <v>20033.715329721403</v>
      </c>
      <c r="Q1493" s="20">
        <f t="shared" si="94"/>
        <v>15863.136670278596</v>
      </c>
      <c r="R1493" s="22">
        <f t="shared" si="95"/>
        <v>0.44190885234946498</v>
      </c>
    </row>
    <row r="1494" spans="1:18">
      <c r="A1494" s="18">
        <v>2493</v>
      </c>
      <c r="B1494" s="19" t="s">
        <v>542</v>
      </c>
      <c r="C1494" s="18">
        <v>2025</v>
      </c>
      <c r="D1494" s="18" t="s">
        <v>45</v>
      </c>
      <c r="E1494" s="18" t="s">
        <v>85</v>
      </c>
      <c r="F1494" s="18" t="s">
        <v>94</v>
      </c>
      <c r="G1494" s="18" t="s">
        <v>41</v>
      </c>
      <c r="H1494" s="18" t="s">
        <v>106</v>
      </c>
      <c r="I1494" s="18" t="s">
        <v>60</v>
      </c>
      <c r="J1494" s="18" t="s">
        <v>82</v>
      </c>
      <c r="K1494" s="18">
        <v>3</v>
      </c>
      <c r="L1494" s="20">
        <v>2593.0100000000002</v>
      </c>
      <c r="M1494" s="21">
        <v>0.15</v>
      </c>
      <c r="N1494" s="21">
        <v>0.55213557591235796</v>
      </c>
      <c r="O1494" s="20">
        <f t="shared" si="92"/>
        <v>6612.1755000000003</v>
      </c>
      <c r="P1494" s="20">
        <f t="shared" si="93"/>
        <v>3650.8173277260835</v>
      </c>
      <c r="Q1494" s="20">
        <f t="shared" si="94"/>
        <v>2961.3581722739168</v>
      </c>
      <c r="R1494" s="22">
        <f t="shared" si="95"/>
        <v>0.44786442408764204</v>
      </c>
    </row>
    <row r="1495" spans="1:18">
      <c r="A1495" s="18">
        <v>2494</v>
      </c>
      <c r="B1495" s="19" t="s">
        <v>542</v>
      </c>
      <c r="C1495" s="18">
        <v>2025</v>
      </c>
      <c r="D1495" s="18" t="s">
        <v>45</v>
      </c>
      <c r="E1495" s="18" t="s">
        <v>79</v>
      </c>
      <c r="F1495" s="18" t="s">
        <v>105</v>
      </c>
      <c r="G1495" s="18" t="s">
        <v>50</v>
      </c>
      <c r="H1495" s="18" t="s">
        <v>83</v>
      </c>
      <c r="I1495" s="18" t="s">
        <v>58</v>
      </c>
      <c r="J1495" s="18" t="s">
        <v>91</v>
      </c>
      <c r="K1495" s="18">
        <v>7</v>
      </c>
      <c r="L1495" s="20">
        <v>3337.59</v>
      </c>
      <c r="M1495" s="21">
        <v>0.2</v>
      </c>
      <c r="N1495" s="21">
        <v>0.60405673786529301</v>
      </c>
      <c r="O1495" s="20">
        <f t="shared" si="92"/>
        <v>18690.504000000001</v>
      </c>
      <c r="P1495" s="20">
        <f t="shared" si="93"/>
        <v>11290.124875298212</v>
      </c>
      <c r="Q1495" s="20">
        <f t="shared" si="94"/>
        <v>7400.3791247017889</v>
      </c>
      <c r="R1495" s="22">
        <f t="shared" si="95"/>
        <v>0.39594326213470693</v>
      </c>
    </row>
    <row r="1496" spans="1:18">
      <c r="A1496" s="18">
        <v>2495</v>
      </c>
      <c r="B1496" s="19" t="s">
        <v>543</v>
      </c>
      <c r="C1496" s="18">
        <v>2025</v>
      </c>
      <c r="D1496" s="18" t="s">
        <v>45</v>
      </c>
      <c r="E1496" s="18" t="s">
        <v>98</v>
      </c>
      <c r="F1496" s="18" t="s">
        <v>109</v>
      </c>
      <c r="G1496" s="18" t="s">
        <v>50</v>
      </c>
      <c r="H1496" s="18" t="s">
        <v>97</v>
      </c>
      <c r="I1496" s="18" t="s">
        <v>54</v>
      </c>
      <c r="J1496" s="18" t="s">
        <v>82</v>
      </c>
      <c r="K1496" s="18">
        <v>6</v>
      </c>
      <c r="L1496" s="20">
        <v>12262.94</v>
      </c>
      <c r="M1496" s="21">
        <v>0.15</v>
      </c>
      <c r="N1496" s="21">
        <v>0.58858068658237195</v>
      </c>
      <c r="O1496" s="20">
        <f t="shared" si="92"/>
        <v>62540.993999999999</v>
      </c>
      <c r="P1496" s="20">
        <f t="shared" si="93"/>
        <v>36810.421188064007</v>
      </c>
      <c r="Q1496" s="20">
        <f t="shared" si="94"/>
        <v>25730.572811935992</v>
      </c>
      <c r="R1496" s="22">
        <f t="shared" si="95"/>
        <v>0.411419313417628</v>
      </c>
    </row>
    <row r="1497" spans="1:18">
      <c r="A1497" s="18">
        <v>2496</v>
      </c>
      <c r="B1497" s="19" t="s">
        <v>543</v>
      </c>
      <c r="C1497" s="18">
        <v>2025</v>
      </c>
      <c r="D1497" s="18" t="s">
        <v>45</v>
      </c>
      <c r="E1497" s="18" t="s">
        <v>98</v>
      </c>
      <c r="F1497" s="18" t="s">
        <v>109</v>
      </c>
      <c r="G1497" s="18" t="s">
        <v>41</v>
      </c>
      <c r="H1497" s="18" t="s">
        <v>112</v>
      </c>
      <c r="I1497" s="18" t="s">
        <v>43</v>
      </c>
      <c r="J1497" s="18" t="s">
        <v>102</v>
      </c>
      <c r="K1497" s="18">
        <v>6</v>
      </c>
      <c r="L1497" s="20">
        <v>6216.89</v>
      </c>
      <c r="M1497" s="21">
        <v>0</v>
      </c>
      <c r="N1497" s="21">
        <v>0.55460149170570805</v>
      </c>
      <c r="O1497" s="20">
        <f t="shared" si="92"/>
        <v>37301.340000000004</v>
      </c>
      <c r="P1497" s="20">
        <f t="shared" si="93"/>
        <v>20687.378806621797</v>
      </c>
      <c r="Q1497" s="20">
        <f t="shared" si="94"/>
        <v>16613.961193378207</v>
      </c>
      <c r="R1497" s="22">
        <f t="shared" si="95"/>
        <v>0.44539850829429201</v>
      </c>
    </row>
    <row r="1498" spans="1:18">
      <c r="A1498" s="18">
        <v>2497</v>
      </c>
      <c r="B1498" s="19" t="s">
        <v>543</v>
      </c>
      <c r="C1498" s="18">
        <v>2025</v>
      </c>
      <c r="D1498" s="18" t="s">
        <v>45</v>
      </c>
      <c r="E1498" s="18" t="s">
        <v>88</v>
      </c>
      <c r="F1498" s="18" t="s">
        <v>110</v>
      </c>
      <c r="G1498" s="18" t="s">
        <v>44</v>
      </c>
      <c r="H1498" s="18" t="s">
        <v>119</v>
      </c>
      <c r="I1498" s="18" t="s">
        <v>46</v>
      </c>
      <c r="J1498" s="18" t="s">
        <v>91</v>
      </c>
      <c r="K1498" s="18">
        <v>2</v>
      </c>
      <c r="L1498" s="20">
        <v>6757.8</v>
      </c>
      <c r="M1498" s="21">
        <v>0</v>
      </c>
      <c r="N1498" s="21">
        <v>0.705775335561316</v>
      </c>
      <c r="O1498" s="20">
        <f t="shared" si="92"/>
        <v>13515.6</v>
      </c>
      <c r="P1498" s="20">
        <f t="shared" si="93"/>
        <v>9538.9771253125236</v>
      </c>
      <c r="Q1498" s="20">
        <f t="shared" si="94"/>
        <v>3976.6228746874767</v>
      </c>
      <c r="R1498" s="22">
        <f t="shared" si="95"/>
        <v>0.29422466443868395</v>
      </c>
    </row>
    <row r="1499" spans="1:18">
      <c r="A1499" s="18">
        <v>2498</v>
      </c>
      <c r="B1499" s="19" t="s">
        <v>543</v>
      </c>
      <c r="C1499" s="18">
        <v>2025</v>
      </c>
      <c r="D1499" s="18" t="s">
        <v>45</v>
      </c>
      <c r="E1499" s="18" t="s">
        <v>79</v>
      </c>
      <c r="F1499" s="18" t="s">
        <v>100</v>
      </c>
      <c r="G1499" s="18" t="s">
        <v>41</v>
      </c>
      <c r="H1499" s="18" t="s">
        <v>106</v>
      </c>
      <c r="I1499" s="18" t="s">
        <v>62</v>
      </c>
      <c r="J1499" s="18" t="s">
        <v>82</v>
      </c>
      <c r="K1499" s="18">
        <v>3</v>
      </c>
      <c r="L1499" s="20">
        <v>2520.69</v>
      </c>
      <c r="M1499" s="21">
        <v>0.1</v>
      </c>
      <c r="N1499" s="21">
        <v>0.67620058338850997</v>
      </c>
      <c r="O1499" s="20">
        <f t="shared" si="92"/>
        <v>6805.8630000000003</v>
      </c>
      <c r="P1499" s="20">
        <f t="shared" si="93"/>
        <v>4602.1285310622752</v>
      </c>
      <c r="Q1499" s="20">
        <f t="shared" si="94"/>
        <v>2203.7344689377251</v>
      </c>
      <c r="R1499" s="22">
        <f t="shared" si="95"/>
        <v>0.32379941661148998</v>
      </c>
    </row>
    <row r="1500" spans="1:18">
      <c r="A1500" s="18">
        <v>2499</v>
      </c>
      <c r="B1500" s="19" t="s">
        <v>543</v>
      </c>
      <c r="C1500" s="18">
        <v>2025</v>
      </c>
      <c r="D1500" s="18" t="s">
        <v>45</v>
      </c>
      <c r="E1500" s="18" t="s">
        <v>98</v>
      </c>
      <c r="F1500" s="18" t="s">
        <v>99</v>
      </c>
      <c r="G1500" s="18" t="s">
        <v>41</v>
      </c>
      <c r="H1500" s="18" t="s">
        <v>90</v>
      </c>
      <c r="I1500" s="18" t="s">
        <v>40</v>
      </c>
      <c r="J1500" s="18" t="s">
        <v>102</v>
      </c>
      <c r="K1500" s="18">
        <v>3</v>
      </c>
      <c r="L1500" s="20">
        <v>17459.14</v>
      </c>
      <c r="M1500" s="21">
        <v>0.2</v>
      </c>
      <c r="N1500" s="21">
        <v>0.73531238597803705</v>
      </c>
      <c r="O1500" s="20">
        <f t="shared" si="92"/>
        <v>41901.936000000002</v>
      </c>
      <c r="P1500" s="20">
        <f t="shared" si="93"/>
        <v>30811.012537259008</v>
      </c>
      <c r="Q1500" s="20">
        <f t="shared" si="94"/>
        <v>11090.923462740993</v>
      </c>
      <c r="R1500" s="22">
        <f t="shared" si="95"/>
        <v>0.26468761402196295</v>
      </c>
    </row>
    <row r="1501" spans="1:18">
      <c r="A1501" s="18">
        <v>2500</v>
      </c>
      <c r="B1501" s="19" t="s">
        <v>544</v>
      </c>
      <c r="C1501" s="18">
        <v>2025</v>
      </c>
      <c r="D1501" s="18" t="s">
        <v>45</v>
      </c>
      <c r="E1501" s="18" t="s">
        <v>79</v>
      </c>
      <c r="F1501" s="18" t="s">
        <v>80</v>
      </c>
      <c r="G1501" s="18" t="s">
        <v>41</v>
      </c>
      <c r="H1501" s="18" t="s">
        <v>90</v>
      </c>
      <c r="I1501" s="18" t="s">
        <v>56</v>
      </c>
      <c r="J1501" s="18" t="s">
        <v>102</v>
      </c>
      <c r="K1501" s="18">
        <v>4</v>
      </c>
      <c r="L1501" s="20">
        <v>17478.39</v>
      </c>
      <c r="M1501" s="21">
        <v>0.2</v>
      </c>
      <c r="N1501" s="21">
        <v>0.56588239131406104</v>
      </c>
      <c r="O1501" s="20">
        <f t="shared" si="92"/>
        <v>55930.847999999998</v>
      </c>
      <c r="P1501" s="20">
        <f t="shared" si="93"/>
        <v>31650.282014463268</v>
      </c>
      <c r="Q1501" s="20">
        <f t="shared" si="94"/>
        <v>24280.56598553673</v>
      </c>
      <c r="R1501" s="22">
        <f t="shared" si="95"/>
        <v>0.43411760868593896</v>
      </c>
    </row>
    <row r="1502" spans="1:18">
      <c r="A1502" s="18">
        <v>2501</v>
      </c>
      <c r="B1502" s="19" t="s">
        <v>544</v>
      </c>
      <c r="C1502" s="18">
        <v>2025</v>
      </c>
      <c r="D1502" s="18" t="s">
        <v>45</v>
      </c>
      <c r="E1502" s="18" t="s">
        <v>98</v>
      </c>
      <c r="F1502" s="18" t="s">
        <v>99</v>
      </c>
      <c r="G1502" s="18" t="s">
        <v>44</v>
      </c>
      <c r="H1502" s="18" t="s">
        <v>114</v>
      </c>
      <c r="I1502" s="18" t="s">
        <v>49</v>
      </c>
      <c r="J1502" s="18" t="s">
        <v>102</v>
      </c>
      <c r="K1502" s="18">
        <v>8</v>
      </c>
      <c r="L1502" s="20">
        <v>9094.91</v>
      </c>
      <c r="M1502" s="21">
        <v>0</v>
      </c>
      <c r="N1502" s="21">
        <v>0.64384209109554202</v>
      </c>
      <c r="O1502" s="20">
        <f t="shared" si="92"/>
        <v>72759.28</v>
      </c>
      <c r="P1502" s="20">
        <f t="shared" si="93"/>
        <v>46845.486981806047</v>
      </c>
      <c r="Q1502" s="20">
        <f t="shared" si="94"/>
        <v>25913.793018193952</v>
      </c>
      <c r="R1502" s="22">
        <f t="shared" si="95"/>
        <v>0.35615790890445798</v>
      </c>
    </row>
    <row r="1503" spans="1:18">
      <c r="A1503" s="18">
        <v>2502</v>
      </c>
      <c r="B1503" s="19" t="s">
        <v>544</v>
      </c>
      <c r="C1503" s="18">
        <v>2025</v>
      </c>
      <c r="D1503" s="18" t="s">
        <v>45</v>
      </c>
      <c r="E1503" s="18" t="s">
        <v>79</v>
      </c>
      <c r="F1503" s="18" t="s">
        <v>105</v>
      </c>
      <c r="G1503" s="18" t="s">
        <v>44</v>
      </c>
      <c r="H1503" s="18" t="s">
        <v>95</v>
      </c>
      <c r="I1503" s="18" t="s">
        <v>40</v>
      </c>
      <c r="J1503" s="18" t="s">
        <v>82</v>
      </c>
      <c r="K1503" s="18">
        <v>3</v>
      </c>
      <c r="L1503" s="20">
        <v>4713.3900000000003</v>
      </c>
      <c r="M1503" s="21">
        <v>0.05</v>
      </c>
      <c r="N1503" s="21">
        <v>0.57877855431761804</v>
      </c>
      <c r="O1503" s="20">
        <f t="shared" si="92"/>
        <v>13433.161500000002</v>
      </c>
      <c r="P1503" s="20">
        <f t="shared" si="93"/>
        <v>7774.8257928850862</v>
      </c>
      <c r="Q1503" s="20">
        <f t="shared" si="94"/>
        <v>5658.3357071149157</v>
      </c>
      <c r="R1503" s="22">
        <f t="shared" si="95"/>
        <v>0.42122144568238201</v>
      </c>
    </row>
    <row r="1504" spans="1:18">
      <c r="A1504" s="18">
        <v>2503</v>
      </c>
      <c r="B1504" s="19" t="s">
        <v>545</v>
      </c>
      <c r="C1504" s="18">
        <v>2025</v>
      </c>
      <c r="D1504" s="18" t="s">
        <v>45</v>
      </c>
      <c r="E1504" s="18" t="s">
        <v>79</v>
      </c>
      <c r="F1504" s="18" t="s">
        <v>80</v>
      </c>
      <c r="G1504" s="18" t="s">
        <v>41</v>
      </c>
      <c r="H1504" s="18" t="s">
        <v>101</v>
      </c>
      <c r="I1504" s="18" t="s">
        <v>46</v>
      </c>
      <c r="J1504" s="18" t="s">
        <v>91</v>
      </c>
      <c r="K1504" s="18">
        <v>4</v>
      </c>
      <c r="L1504" s="20">
        <v>53143.33</v>
      </c>
      <c r="M1504" s="21">
        <v>0.2</v>
      </c>
      <c r="N1504" s="21">
        <v>0.71720808087633303</v>
      </c>
      <c r="O1504" s="20">
        <f t="shared" si="92"/>
        <v>170058.65600000002</v>
      </c>
      <c r="P1504" s="20">
        <f t="shared" si="93"/>
        <v>121967.44230616851</v>
      </c>
      <c r="Q1504" s="20">
        <f t="shared" si="94"/>
        <v>48091.213693831509</v>
      </c>
      <c r="R1504" s="22">
        <f t="shared" si="95"/>
        <v>0.28279191912366697</v>
      </c>
    </row>
    <row r="1505" spans="1:18">
      <c r="A1505" s="18">
        <v>2504</v>
      </c>
      <c r="B1505" s="19" t="s">
        <v>545</v>
      </c>
      <c r="C1505" s="18">
        <v>2025</v>
      </c>
      <c r="D1505" s="18" t="s">
        <v>45</v>
      </c>
      <c r="E1505" s="18" t="s">
        <v>98</v>
      </c>
      <c r="F1505" s="18" t="s">
        <v>99</v>
      </c>
      <c r="G1505" s="18" t="s">
        <v>50</v>
      </c>
      <c r="H1505" s="18" t="s">
        <v>87</v>
      </c>
      <c r="I1505" s="18" t="s">
        <v>52</v>
      </c>
      <c r="J1505" s="18" t="s">
        <v>82</v>
      </c>
      <c r="K1505" s="18">
        <v>7</v>
      </c>
      <c r="L1505" s="20">
        <v>9263.4</v>
      </c>
      <c r="M1505" s="21">
        <v>0.05</v>
      </c>
      <c r="N1505" s="21">
        <v>0.69708863085623196</v>
      </c>
      <c r="O1505" s="20">
        <f t="shared" si="92"/>
        <v>61601.609999999993</v>
      </c>
      <c r="P1505" s="20">
        <f t="shared" si="93"/>
        <v>42941.78197343956</v>
      </c>
      <c r="Q1505" s="20">
        <f t="shared" si="94"/>
        <v>18659.828026560433</v>
      </c>
      <c r="R1505" s="22">
        <f t="shared" si="95"/>
        <v>0.30291136914376809</v>
      </c>
    </row>
    <row r="1506" spans="1:18">
      <c r="A1506" s="18">
        <v>2505</v>
      </c>
      <c r="B1506" s="19" t="s">
        <v>545</v>
      </c>
      <c r="C1506" s="18">
        <v>2025</v>
      </c>
      <c r="D1506" s="18" t="s">
        <v>45</v>
      </c>
      <c r="E1506" s="18" t="s">
        <v>79</v>
      </c>
      <c r="F1506" s="18" t="s">
        <v>80</v>
      </c>
      <c r="G1506" s="18" t="s">
        <v>47</v>
      </c>
      <c r="H1506" s="18" t="s">
        <v>107</v>
      </c>
      <c r="I1506" s="18" t="s">
        <v>46</v>
      </c>
      <c r="J1506" s="18" t="s">
        <v>82</v>
      </c>
      <c r="K1506" s="18">
        <v>1</v>
      </c>
      <c r="L1506" s="20">
        <v>2103.81</v>
      </c>
      <c r="M1506" s="21">
        <v>0.05</v>
      </c>
      <c r="N1506" s="21">
        <v>0.730538692672423</v>
      </c>
      <c r="O1506" s="20">
        <f t="shared" si="92"/>
        <v>1998.6194999999998</v>
      </c>
      <c r="P1506" s="20">
        <f t="shared" si="93"/>
        <v>1460.0688766796115</v>
      </c>
      <c r="Q1506" s="20">
        <f t="shared" si="94"/>
        <v>538.55062332038824</v>
      </c>
      <c r="R1506" s="22">
        <f t="shared" si="95"/>
        <v>0.269461307327577</v>
      </c>
    </row>
    <row r="1507" spans="1:18">
      <c r="A1507" s="18">
        <v>2506</v>
      </c>
      <c r="B1507" s="19" t="s">
        <v>546</v>
      </c>
      <c r="C1507" s="18">
        <v>2025</v>
      </c>
      <c r="D1507" s="18" t="s">
        <v>45</v>
      </c>
      <c r="E1507" s="18" t="s">
        <v>85</v>
      </c>
      <c r="F1507" s="18" t="s">
        <v>86</v>
      </c>
      <c r="G1507" s="18" t="s">
        <v>50</v>
      </c>
      <c r="H1507" s="18" t="s">
        <v>83</v>
      </c>
      <c r="I1507" s="18" t="s">
        <v>43</v>
      </c>
      <c r="J1507" s="18" t="s">
        <v>91</v>
      </c>
      <c r="K1507" s="18">
        <v>10</v>
      </c>
      <c r="L1507" s="20">
        <v>3594.99</v>
      </c>
      <c r="M1507" s="21">
        <v>0.05</v>
      </c>
      <c r="N1507" s="21">
        <v>0.689615195514382</v>
      </c>
      <c r="O1507" s="20">
        <f t="shared" si="92"/>
        <v>34152.404999999992</v>
      </c>
      <c r="P1507" s="20">
        <f t="shared" si="93"/>
        <v>23552.017451361353</v>
      </c>
      <c r="Q1507" s="20">
        <f t="shared" si="94"/>
        <v>10600.387548638639</v>
      </c>
      <c r="R1507" s="22">
        <f t="shared" si="95"/>
        <v>0.31038480448561795</v>
      </c>
    </row>
    <row r="1508" spans="1:18">
      <c r="A1508" s="18">
        <v>2507</v>
      </c>
      <c r="B1508" s="19" t="s">
        <v>546</v>
      </c>
      <c r="C1508" s="18">
        <v>2025</v>
      </c>
      <c r="D1508" s="18" t="s">
        <v>45</v>
      </c>
      <c r="E1508" s="18" t="s">
        <v>79</v>
      </c>
      <c r="F1508" s="18" t="s">
        <v>80</v>
      </c>
      <c r="G1508" s="18" t="s">
        <v>47</v>
      </c>
      <c r="H1508" s="18" t="s">
        <v>103</v>
      </c>
      <c r="I1508" s="18" t="s">
        <v>54</v>
      </c>
      <c r="J1508" s="18" t="s">
        <v>91</v>
      </c>
      <c r="K1508" s="18">
        <v>6</v>
      </c>
      <c r="L1508" s="20">
        <v>3277.5</v>
      </c>
      <c r="M1508" s="21">
        <v>0.1</v>
      </c>
      <c r="N1508" s="21">
        <v>0.62408867850854199</v>
      </c>
      <c r="O1508" s="20">
        <f t="shared" si="92"/>
        <v>17698.5</v>
      </c>
      <c r="P1508" s="20">
        <f t="shared" si="93"/>
        <v>11045.43347658343</v>
      </c>
      <c r="Q1508" s="20">
        <f t="shared" si="94"/>
        <v>6653.0665234165699</v>
      </c>
      <c r="R1508" s="22">
        <f t="shared" si="95"/>
        <v>0.37591132149145801</v>
      </c>
    </row>
    <row r="1509" spans="1:18">
      <c r="A1509" s="18">
        <v>2508</v>
      </c>
      <c r="B1509" s="19" t="s">
        <v>547</v>
      </c>
      <c r="C1509" s="18">
        <v>2025</v>
      </c>
      <c r="D1509" s="18" t="s">
        <v>45</v>
      </c>
      <c r="E1509" s="18" t="s">
        <v>85</v>
      </c>
      <c r="F1509" s="18" t="s">
        <v>121</v>
      </c>
      <c r="G1509" s="18" t="s">
        <v>44</v>
      </c>
      <c r="H1509" s="18" t="s">
        <v>119</v>
      </c>
      <c r="I1509" s="18" t="s">
        <v>62</v>
      </c>
      <c r="J1509" s="18" t="s">
        <v>82</v>
      </c>
      <c r="K1509" s="18">
        <v>1</v>
      </c>
      <c r="L1509" s="20">
        <v>7133.61</v>
      </c>
      <c r="M1509" s="21">
        <v>0.1</v>
      </c>
      <c r="N1509" s="21">
        <v>0.64298896324630805</v>
      </c>
      <c r="O1509" s="20">
        <f t="shared" si="92"/>
        <v>6420.2489999999998</v>
      </c>
      <c r="P1509" s="20">
        <f t="shared" si="93"/>
        <v>4128.1492482931462</v>
      </c>
      <c r="Q1509" s="20">
        <f t="shared" si="94"/>
        <v>2292.0997517068536</v>
      </c>
      <c r="R1509" s="22">
        <f t="shared" si="95"/>
        <v>0.35701103675369189</v>
      </c>
    </row>
    <row r="1510" spans="1:18">
      <c r="A1510" s="18">
        <v>2509</v>
      </c>
      <c r="B1510" s="19" t="s">
        <v>547</v>
      </c>
      <c r="C1510" s="18">
        <v>2025</v>
      </c>
      <c r="D1510" s="18" t="s">
        <v>45</v>
      </c>
      <c r="E1510" s="18" t="s">
        <v>85</v>
      </c>
      <c r="F1510" s="18" t="s">
        <v>121</v>
      </c>
      <c r="G1510" s="18" t="s">
        <v>50</v>
      </c>
      <c r="H1510" s="18" t="s">
        <v>97</v>
      </c>
      <c r="I1510" s="18" t="s">
        <v>58</v>
      </c>
      <c r="J1510" s="18" t="s">
        <v>91</v>
      </c>
      <c r="K1510" s="18">
        <v>3</v>
      </c>
      <c r="L1510" s="20">
        <v>11570.5</v>
      </c>
      <c r="M1510" s="21">
        <v>0.1</v>
      </c>
      <c r="N1510" s="21">
        <v>0.63391943268423401</v>
      </c>
      <c r="O1510" s="20">
        <f t="shared" si="92"/>
        <v>31240.350000000002</v>
      </c>
      <c r="P1510" s="20">
        <f t="shared" si="93"/>
        <v>19803.86494885691</v>
      </c>
      <c r="Q1510" s="20">
        <f t="shared" si="94"/>
        <v>11436.485051143092</v>
      </c>
      <c r="R1510" s="22">
        <f t="shared" si="95"/>
        <v>0.36608056731576605</v>
      </c>
    </row>
    <row r="1511" spans="1:18">
      <c r="A1511" s="18">
        <v>2510</v>
      </c>
      <c r="B1511" s="19" t="s">
        <v>547</v>
      </c>
      <c r="C1511" s="18">
        <v>2025</v>
      </c>
      <c r="D1511" s="18" t="s">
        <v>45</v>
      </c>
      <c r="E1511" s="18" t="s">
        <v>79</v>
      </c>
      <c r="F1511" s="18" t="s">
        <v>100</v>
      </c>
      <c r="G1511" s="18" t="s">
        <v>47</v>
      </c>
      <c r="H1511" s="18" t="s">
        <v>107</v>
      </c>
      <c r="I1511" s="18" t="s">
        <v>46</v>
      </c>
      <c r="J1511" s="18" t="s">
        <v>91</v>
      </c>
      <c r="K1511" s="18">
        <v>6</v>
      </c>
      <c r="L1511" s="20">
        <v>2093.0700000000002</v>
      </c>
      <c r="M1511" s="21">
        <v>0.2</v>
      </c>
      <c r="N1511" s="21">
        <v>0.73107246186253405</v>
      </c>
      <c r="O1511" s="20">
        <f t="shared" si="92"/>
        <v>10046.736000000003</v>
      </c>
      <c r="P1511" s="20">
        <f t="shared" si="93"/>
        <v>7344.8920212029498</v>
      </c>
      <c r="Q1511" s="20">
        <f t="shared" si="94"/>
        <v>2701.8439787970528</v>
      </c>
      <c r="R1511" s="22">
        <f t="shared" si="95"/>
        <v>0.26892753813746595</v>
      </c>
    </row>
    <row r="1512" spans="1:18">
      <c r="A1512" s="18">
        <v>2511</v>
      </c>
      <c r="B1512" s="19" t="s">
        <v>547</v>
      </c>
      <c r="C1512" s="18">
        <v>2025</v>
      </c>
      <c r="D1512" s="18" t="s">
        <v>45</v>
      </c>
      <c r="E1512" s="18" t="s">
        <v>88</v>
      </c>
      <c r="F1512" s="18" t="s">
        <v>93</v>
      </c>
      <c r="G1512" s="18" t="s">
        <v>44</v>
      </c>
      <c r="H1512" s="18" t="s">
        <v>119</v>
      </c>
      <c r="I1512" s="18" t="s">
        <v>43</v>
      </c>
      <c r="J1512" s="18" t="s">
        <v>82</v>
      </c>
      <c r="K1512" s="18">
        <v>7</v>
      </c>
      <c r="L1512" s="20">
        <v>6980.6</v>
      </c>
      <c r="M1512" s="21">
        <v>0.05</v>
      </c>
      <c r="N1512" s="21">
        <v>0.61746304362677995</v>
      </c>
      <c r="O1512" s="20">
        <f t="shared" si="92"/>
        <v>46420.990000000005</v>
      </c>
      <c r="P1512" s="20">
        <f t="shared" si="93"/>
        <v>28663.24577356832</v>
      </c>
      <c r="Q1512" s="20">
        <f t="shared" si="94"/>
        <v>17757.744226431685</v>
      </c>
      <c r="R1512" s="22">
        <f t="shared" si="95"/>
        <v>0.38253695637322005</v>
      </c>
    </row>
    <row r="1513" spans="1:18">
      <c r="A1513" s="18">
        <v>2512</v>
      </c>
      <c r="B1513" s="19" t="s">
        <v>548</v>
      </c>
      <c r="C1513" s="18">
        <v>2025</v>
      </c>
      <c r="D1513" s="18" t="s">
        <v>45</v>
      </c>
      <c r="E1513" s="18" t="s">
        <v>85</v>
      </c>
      <c r="F1513" s="18" t="s">
        <v>121</v>
      </c>
      <c r="G1513" s="18" t="s">
        <v>44</v>
      </c>
      <c r="H1513" s="18" t="s">
        <v>114</v>
      </c>
      <c r="I1513" s="18" t="s">
        <v>60</v>
      </c>
      <c r="J1513" s="18" t="s">
        <v>91</v>
      </c>
      <c r="K1513" s="18">
        <v>4</v>
      </c>
      <c r="L1513" s="20">
        <v>8720.9500000000007</v>
      </c>
      <c r="M1513" s="21">
        <v>0.15</v>
      </c>
      <c r="N1513" s="21">
        <v>0.69474584087600799</v>
      </c>
      <c r="O1513" s="20">
        <f t="shared" si="92"/>
        <v>29651.230000000003</v>
      </c>
      <c r="P1513" s="20">
        <f t="shared" si="93"/>
        <v>20600.068719357918</v>
      </c>
      <c r="Q1513" s="20">
        <f t="shared" si="94"/>
        <v>9051.1612806420853</v>
      </c>
      <c r="R1513" s="22">
        <f t="shared" si="95"/>
        <v>0.30525415912399195</v>
      </c>
    </row>
    <row r="1514" spans="1:18">
      <c r="A1514" s="18">
        <v>2513</v>
      </c>
      <c r="B1514" s="19" t="s">
        <v>548</v>
      </c>
      <c r="C1514" s="18">
        <v>2025</v>
      </c>
      <c r="D1514" s="18" t="s">
        <v>45</v>
      </c>
      <c r="E1514" s="18" t="s">
        <v>85</v>
      </c>
      <c r="F1514" s="18" t="s">
        <v>121</v>
      </c>
      <c r="G1514" s="18" t="s">
        <v>44</v>
      </c>
      <c r="H1514" s="18" t="s">
        <v>114</v>
      </c>
      <c r="I1514" s="18" t="s">
        <v>40</v>
      </c>
      <c r="J1514" s="18" t="s">
        <v>91</v>
      </c>
      <c r="K1514" s="18">
        <v>2</v>
      </c>
      <c r="L1514" s="20">
        <v>8610.2199999999993</v>
      </c>
      <c r="M1514" s="21">
        <v>0.05</v>
      </c>
      <c r="N1514" s="21">
        <v>0.691204821283669</v>
      </c>
      <c r="O1514" s="20">
        <f t="shared" si="92"/>
        <v>16359.417999999998</v>
      </c>
      <c r="P1514" s="20">
        <f t="shared" si="93"/>
        <v>11307.708594994836</v>
      </c>
      <c r="Q1514" s="20">
        <f t="shared" si="94"/>
        <v>5051.7094050051619</v>
      </c>
      <c r="R1514" s="22">
        <f t="shared" si="95"/>
        <v>0.308795178716331</v>
      </c>
    </row>
    <row r="1515" spans="1:18">
      <c r="A1515" s="18">
        <v>2514</v>
      </c>
      <c r="B1515" s="19" t="s">
        <v>549</v>
      </c>
      <c r="C1515" s="18">
        <v>2025</v>
      </c>
      <c r="D1515" s="18" t="s">
        <v>45</v>
      </c>
      <c r="E1515" s="18" t="s">
        <v>88</v>
      </c>
      <c r="F1515" s="18" t="s">
        <v>110</v>
      </c>
      <c r="G1515" s="18" t="s">
        <v>50</v>
      </c>
      <c r="H1515" s="18" t="s">
        <v>83</v>
      </c>
      <c r="I1515" s="18" t="s">
        <v>56</v>
      </c>
      <c r="J1515" s="18" t="s">
        <v>91</v>
      </c>
      <c r="K1515" s="18">
        <v>1</v>
      </c>
      <c r="L1515" s="20">
        <v>3659.9</v>
      </c>
      <c r="M1515" s="21">
        <v>0.2</v>
      </c>
      <c r="N1515" s="21">
        <v>0.58172047933724602</v>
      </c>
      <c r="O1515" s="20">
        <f t="shared" si="92"/>
        <v>2927.92</v>
      </c>
      <c r="P1515" s="20">
        <f t="shared" si="93"/>
        <v>1703.2310258611094</v>
      </c>
      <c r="Q1515" s="20">
        <f t="shared" si="94"/>
        <v>1224.6889741388907</v>
      </c>
      <c r="R1515" s="22">
        <f t="shared" si="95"/>
        <v>0.41827952066275398</v>
      </c>
    </row>
    <row r="1516" spans="1:18">
      <c r="A1516" s="18">
        <v>2515</v>
      </c>
      <c r="B1516" s="19" t="s">
        <v>549</v>
      </c>
      <c r="C1516" s="18">
        <v>2025</v>
      </c>
      <c r="D1516" s="18" t="s">
        <v>45</v>
      </c>
      <c r="E1516" s="18" t="s">
        <v>98</v>
      </c>
      <c r="F1516" s="18" t="s">
        <v>99</v>
      </c>
      <c r="G1516" s="18" t="s">
        <v>50</v>
      </c>
      <c r="H1516" s="18" t="s">
        <v>87</v>
      </c>
      <c r="I1516" s="18" t="s">
        <v>43</v>
      </c>
      <c r="J1516" s="18" t="s">
        <v>102</v>
      </c>
      <c r="K1516" s="18">
        <v>3</v>
      </c>
      <c r="L1516" s="20">
        <v>9528.15</v>
      </c>
      <c r="M1516" s="21">
        <v>0.05</v>
      </c>
      <c r="N1516" s="21">
        <v>0.69495135005318298</v>
      </c>
      <c r="O1516" s="20">
        <f t="shared" si="92"/>
        <v>27155.227499999997</v>
      </c>
      <c r="P1516" s="20">
        <f t="shared" si="93"/>
        <v>18871.56201212632</v>
      </c>
      <c r="Q1516" s="20">
        <f t="shared" si="94"/>
        <v>8283.6654878736772</v>
      </c>
      <c r="R1516" s="22">
        <f t="shared" si="95"/>
        <v>0.30504864994681696</v>
      </c>
    </row>
    <row r="1517" spans="1:18">
      <c r="A1517" s="18">
        <v>2516</v>
      </c>
      <c r="B1517" s="19" t="s">
        <v>549</v>
      </c>
      <c r="C1517" s="18">
        <v>2025</v>
      </c>
      <c r="D1517" s="18" t="s">
        <v>45</v>
      </c>
      <c r="E1517" s="18" t="s">
        <v>88</v>
      </c>
      <c r="F1517" s="18" t="s">
        <v>89</v>
      </c>
      <c r="G1517" s="18" t="s">
        <v>50</v>
      </c>
      <c r="H1517" s="18" t="s">
        <v>83</v>
      </c>
      <c r="I1517" s="18" t="s">
        <v>40</v>
      </c>
      <c r="J1517" s="18" t="s">
        <v>91</v>
      </c>
      <c r="K1517" s="18">
        <v>6</v>
      </c>
      <c r="L1517" s="20">
        <v>3470.95</v>
      </c>
      <c r="M1517" s="21">
        <v>0</v>
      </c>
      <c r="N1517" s="21">
        <v>0.73891535002917097</v>
      </c>
      <c r="O1517" s="20">
        <f t="shared" si="92"/>
        <v>20825.699999999997</v>
      </c>
      <c r="P1517" s="20">
        <f t="shared" si="93"/>
        <v>15388.429405102504</v>
      </c>
      <c r="Q1517" s="20">
        <f t="shared" si="94"/>
        <v>5437.2705948974926</v>
      </c>
      <c r="R1517" s="22">
        <f t="shared" si="95"/>
        <v>0.26108464997082897</v>
      </c>
    </row>
    <row r="1518" spans="1:18">
      <c r="A1518" s="18">
        <v>2517</v>
      </c>
      <c r="B1518" s="19" t="s">
        <v>549</v>
      </c>
      <c r="C1518" s="18">
        <v>2025</v>
      </c>
      <c r="D1518" s="18" t="s">
        <v>45</v>
      </c>
      <c r="E1518" s="18" t="s">
        <v>88</v>
      </c>
      <c r="F1518" s="18" t="s">
        <v>89</v>
      </c>
      <c r="G1518" s="18" t="s">
        <v>50</v>
      </c>
      <c r="H1518" s="18" t="s">
        <v>97</v>
      </c>
      <c r="I1518" s="18" t="s">
        <v>60</v>
      </c>
      <c r="J1518" s="18" t="s">
        <v>91</v>
      </c>
      <c r="K1518" s="18">
        <v>10</v>
      </c>
      <c r="L1518" s="20">
        <v>12352.58</v>
      </c>
      <c r="M1518" s="21">
        <v>0.2</v>
      </c>
      <c r="N1518" s="21">
        <v>0.588875554355764</v>
      </c>
      <c r="O1518" s="20">
        <f t="shared" si="92"/>
        <v>98820.640000000014</v>
      </c>
      <c r="P1518" s="20">
        <f t="shared" si="93"/>
        <v>58193.059161791396</v>
      </c>
      <c r="Q1518" s="20">
        <f t="shared" si="94"/>
        <v>40627.580838208618</v>
      </c>
      <c r="R1518" s="22">
        <f t="shared" si="95"/>
        <v>0.411124445644236</v>
      </c>
    </row>
    <row r="1519" spans="1:18">
      <c r="A1519" s="18">
        <v>2518</v>
      </c>
      <c r="B1519" s="19" t="s">
        <v>550</v>
      </c>
      <c r="C1519" s="18">
        <v>2025</v>
      </c>
      <c r="D1519" s="18" t="s">
        <v>45</v>
      </c>
      <c r="E1519" s="18" t="s">
        <v>98</v>
      </c>
      <c r="F1519" s="18" t="s">
        <v>99</v>
      </c>
      <c r="G1519" s="18" t="s">
        <v>44</v>
      </c>
      <c r="H1519" s="18" t="s">
        <v>95</v>
      </c>
      <c r="I1519" s="18" t="s">
        <v>62</v>
      </c>
      <c r="J1519" s="18" t="s">
        <v>102</v>
      </c>
      <c r="K1519" s="18">
        <v>4</v>
      </c>
      <c r="L1519" s="20">
        <v>4640.99</v>
      </c>
      <c r="M1519" s="21">
        <v>0</v>
      </c>
      <c r="N1519" s="21">
        <v>0.64771758401885304</v>
      </c>
      <c r="O1519" s="20">
        <f t="shared" si="92"/>
        <v>18563.96</v>
      </c>
      <c r="P1519" s="20">
        <f t="shared" si="93"/>
        <v>12024.203321022627</v>
      </c>
      <c r="Q1519" s="20">
        <f t="shared" si="94"/>
        <v>6539.7566789773718</v>
      </c>
      <c r="R1519" s="22">
        <f t="shared" si="95"/>
        <v>0.3522824159811469</v>
      </c>
    </row>
    <row r="1520" spans="1:18">
      <c r="A1520" s="18">
        <v>2519</v>
      </c>
      <c r="B1520" s="19" t="s">
        <v>550</v>
      </c>
      <c r="C1520" s="18">
        <v>2025</v>
      </c>
      <c r="D1520" s="18" t="s">
        <v>45</v>
      </c>
      <c r="E1520" s="18" t="s">
        <v>85</v>
      </c>
      <c r="F1520" s="18" t="s">
        <v>86</v>
      </c>
      <c r="G1520" s="18" t="s">
        <v>47</v>
      </c>
      <c r="H1520" s="18" t="s">
        <v>103</v>
      </c>
      <c r="I1520" s="18" t="s">
        <v>43</v>
      </c>
      <c r="J1520" s="18" t="s">
        <v>91</v>
      </c>
      <c r="K1520" s="18">
        <v>3</v>
      </c>
      <c r="L1520" s="20">
        <v>3239.55</v>
      </c>
      <c r="M1520" s="21">
        <v>0</v>
      </c>
      <c r="N1520" s="21">
        <v>0.65584711207589597</v>
      </c>
      <c r="O1520" s="20">
        <f t="shared" si="92"/>
        <v>9718.6500000000015</v>
      </c>
      <c r="P1520" s="20">
        <f t="shared" si="93"/>
        <v>6373.948535776407</v>
      </c>
      <c r="Q1520" s="20">
        <f t="shared" si="94"/>
        <v>3344.7014642235945</v>
      </c>
      <c r="R1520" s="22">
        <f t="shared" si="95"/>
        <v>0.34415288792410409</v>
      </c>
    </row>
    <row r="1521" spans="1:18">
      <c r="A1521" s="18">
        <v>2520</v>
      </c>
      <c r="B1521" s="19" t="s">
        <v>550</v>
      </c>
      <c r="C1521" s="18">
        <v>2025</v>
      </c>
      <c r="D1521" s="18" t="s">
        <v>45</v>
      </c>
      <c r="E1521" s="18" t="s">
        <v>85</v>
      </c>
      <c r="F1521" s="18" t="s">
        <v>94</v>
      </c>
      <c r="G1521" s="18" t="s">
        <v>47</v>
      </c>
      <c r="H1521" s="18" t="s">
        <v>81</v>
      </c>
      <c r="I1521" s="18" t="s">
        <v>58</v>
      </c>
      <c r="J1521" s="18" t="s">
        <v>91</v>
      </c>
      <c r="K1521" s="18">
        <v>4</v>
      </c>
      <c r="L1521" s="20">
        <v>823.3</v>
      </c>
      <c r="M1521" s="21">
        <v>0.05</v>
      </c>
      <c r="N1521" s="21">
        <v>0.69238152376276796</v>
      </c>
      <c r="O1521" s="20">
        <f t="shared" si="92"/>
        <v>3128.5399999999995</v>
      </c>
      <c r="P1521" s="20">
        <f t="shared" si="93"/>
        <v>2166.1432923527695</v>
      </c>
      <c r="Q1521" s="20">
        <f t="shared" si="94"/>
        <v>962.39670764722996</v>
      </c>
      <c r="R1521" s="22">
        <f t="shared" si="95"/>
        <v>0.3076184762372321</v>
      </c>
    </row>
    <row r="1522" spans="1:18">
      <c r="A1522" s="18">
        <v>2521</v>
      </c>
      <c r="B1522" s="19" t="s">
        <v>551</v>
      </c>
      <c r="C1522" s="18">
        <v>2025</v>
      </c>
      <c r="D1522" s="18" t="s">
        <v>45</v>
      </c>
      <c r="E1522" s="18" t="s">
        <v>79</v>
      </c>
      <c r="F1522" s="18" t="s">
        <v>105</v>
      </c>
      <c r="G1522" s="18" t="s">
        <v>44</v>
      </c>
      <c r="H1522" s="18" t="s">
        <v>119</v>
      </c>
      <c r="I1522" s="18" t="s">
        <v>40</v>
      </c>
      <c r="J1522" s="18" t="s">
        <v>91</v>
      </c>
      <c r="K1522" s="18">
        <v>6</v>
      </c>
      <c r="L1522" s="20">
        <v>7227.39</v>
      </c>
      <c r="M1522" s="21">
        <v>0.1</v>
      </c>
      <c r="N1522" s="21">
        <v>0.66237557999211605</v>
      </c>
      <c r="O1522" s="20">
        <f t="shared" si="92"/>
        <v>39027.906000000003</v>
      </c>
      <c r="P1522" s="20">
        <f t="shared" si="93"/>
        <v>25851.131872627786</v>
      </c>
      <c r="Q1522" s="20">
        <f t="shared" si="94"/>
        <v>13176.774127372217</v>
      </c>
      <c r="R1522" s="22">
        <f t="shared" si="95"/>
        <v>0.33762442000788401</v>
      </c>
    </row>
    <row r="1523" spans="1:18">
      <c r="A1523" s="18">
        <v>2522</v>
      </c>
      <c r="B1523" s="19" t="s">
        <v>551</v>
      </c>
      <c r="C1523" s="18">
        <v>2025</v>
      </c>
      <c r="D1523" s="18" t="s">
        <v>45</v>
      </c>
      <c r="E1523" s="18" t="s">
        <v>98</v>
      </c>
      <c r="F1523" s="18" t="s">
        <v>109</v>
      </c>
      <c r="G1523" s="18" t="s">
        <v>50</v>
      </c>
      <c r="H1523" s="18" t="s">
        <v>97</v>
      </c>
      <c r="I1523" s="18" t="s">
        <v>62</v>
      </c>
      <c r="J1523" s="18" t="s">
        <v>102</v>
      </c>
      <c r="K1523" s="18">
        <v>4</v>
      </c>
      <c r="L1523" s="20">
        <v>12388.96</v>
      </c>
      <c r="M1523" s="21">
        <v>0.2</v>
      </c>
      <c r="N1523" s="21">
        <v>0.58763901137966801</v>
      </c>
      <c r="O1523" s="20">
        <f t="shared" si="92"/>
        <v>39644.671999999999</v>
      </c>
      <c r="P1523" s="20">
        <f t="shared" si="93"/>
        <v>23296.755860551206</v>
      </c>
      <c r="Q1523" s="20">
        <f t="shared" si="94"/>
        <v>16347.916139448793</v>
      </c>
      <c r="R1523" s="22">
        <f t="shared" si="95"/>
        <v>0.41236098862033199</v>
      </c>
    </row>
    <row r="1524" spans="1:18">
      <c r="A1524" s="18">
        <v>2523</v>
      </c>
      <c r="B1524" s="19" t="s">
        <v>551</v>
      </c>
      <c r="C1524" s="18">
        <v>2025</v>
      </c>
      <c r="D1524" s="18" t="s">
        <v>45</v>
      </c>
      <c r="E1524" s="18" t="s">
        <v>79</v>
      </c>
      <c r="F1524" s="18" t="s">
        <v>105</v>
      </c>
      <c r="G1524" s="18" t="s">
        <v>41</v>
      </c>
      <c r="H1524" s="18" t="s">
        <v>101</v>
      </c>
      <c r="I1524" s="18" t="s">
        <v>60</v>
      </c>
      <c r="J1524" s="18" t="s">
        <v>102</v>
      </c>
      <c r="K1524" s="18">
        <v>5</v>
      </c>
      <c r="L1524" s="20">
        <v>53615.25</v>
      </c>
      <c r="M1524" s="21">
        <v>0.1</v>
      </c>
      <c r="N1524" s="21">
        <v>0.63459826514221196</v>
      </c>
      <c r="O1524" s="20">
        <f t="shared" si="92"/>
        <v>241268.625</v>
      </c>
      <c r="P1524" s="20">
        <f t="shared" si="93"/>
        <v>153108.6508582469</v>
      </c>
      <c r="Q1524" s="20">
        <f t="shared" si="94"/>
        <v>88159.974141753104</v>
      </c>
      <c r="R1524" s="22">
        <f t="shared" si="95"/>
        <v>0.3654017348577881</v>
      </c>
    </row>
    <row r="1525" spans="1:18">
      <c r="A1525" s="18">
        <v>2524</v>
      </c>
      <c r="B1525" s="19" t="s">
        <v>551</v>
      </c>
      <c r="C1525" s="18">
        <v>2025</v>
      </c>
      <c r="D1525" s="18" t="s">
        <v>45</v>
      </c>
      <c r="E1525" s="18" t="s">
        <v>79</v>
      </c>
      <c r="F1525" s="18" t="s">
        <v>105</v>
      </c>
      <c r="G1525" s="18" t="s">
        <v>47</v>
      </c>
      <c r="H1525" s="18" t="s">
        <v>81</v>
      </c>
      <c r="I1525" s="18" t="s">
        <v>46</v>
      </c>
      <c r="J1525" s="18" t="s">
        <v>91</v>
      </c>
      <c r="K1525" s="18">
        <v>1</v>
      </c>
      <c r="L1525" s="20">
        <v>762.31</v>
      </c>
      <c r="M1525" s="21">
        <v>0.2</v>
      </c>
      <c r="N1525" s="21">
        <v>0.70247472587439896</v>
      </c>
      <c r="O1525" s="20">
        <f t="shared" si="92"/>
        <v>609.84799999999996</v>
      </c>
      <c r="P1525" s="20">
        <f t="shared" si="93"/>
        <v>428.4028066250504</v>
      </c>
      <c r="Q1525" s="20">
        <f t="shared" si="94"/>
        <v>181.44519337494955</v>
      </c>
      <c r="R1525" s="22">
        <f t="shared" si="95"/>
        <v>0.29752527412560109</v>
      </c>
    </row>
    <row r="1526" spans="1:18">
      <c r="A1526" s="18">
        <v>2525</v>
      </c>
      <c r="B1526" s="19" t="s">
        <v>552</v>
      </c>
      <c r="C1526" s="18">
        <v>2025</v>
      </c>
      <c r="D1526" s="18" t="s">
        <v>45</v>
      </c>
      <c r="E1526" s="18" t="s">
        <v>98</v>
      </c>
      <c r="F1526" s="18" t="s">
        <v>109</v>
      </c>
      <c r="G1526" s="18" t="s">
        <v>44</v>
      </c>
      <c r="H1526" s="18" t="s">
        <v>114</v>
      </c>
      <c r="I1526" s="18" t="s">
        <v>56</v>
      </c>
      <c r="J1526" s="18" t="s">
        <v>102</v>
      </c>
      <c r="K1526" s="18">
        <v>3</v>
      </c>
      <c r="L1526" s="20">
        <v>9084.4599999999991</v>
      </c>
      <c r="M1526" s="21">
        <v>0.05</v>
      </c>
      <c r="N1526" s="21">
        <v>0.57154897441998598</v>
      </c>
      <c r="O1526" s="20">
        <f t="shared" si="92"/>
        <v>25890.710999999996</v>
      </c>
      <c r="P1526" s="20">
        <f t="shared" si="93"/>
        <v>14797.809319054248</v>
      </c>
      <c r="Q1526" s="20">
        <f t="shared" si="94"/>
        <v>11092.901680945748</v>
      </c>
      <c r="R1526" s="22">
        <f t="shared" si="95"/>
        <v>0.42845102558001402</v>
      </c>
    </row>
    <row r="1527" spans="1:18">
      <c r="A1527" s="18">
        <v>2526</v>
      </c>
      <c r="B1527" s="19" t="s">
        <v>552</v>
      </c>
      <c r="C1527" s="18">
        <v>2025</v>
      </c>
      <c r="D1527" s="18" t="s">
        <v>45</v>
      </c>
      <c r="E1527" s="18" t="s">
        <v>98</v>
      </c>
      <c r="F1527" s="18" t="s">
        <v>109</v>
      </c>
      <c r="G1527" s="18" t="s">
        <v>47</v>
      </c>
      <c r="H1527" s="18" t="s">
        <v>81</v>
      </c>
      <c r="I1527" s="18" t="s">
        <v>62</v>
      </c>
      <c r="J1527" s="18" t="s">
        <v>91</v>
      </c>
      <c r="K1527" s="18">
        <v>5</v>
      </c>
      <c r="L1527" s="20">
        <v>773.03</v>
      </c>
      <c r="M1527" s="21">
        <v>0</v>
      </c>
      <c r="N1527" s="21">
        <v>0.61456074410096595</v>
      </c>
      <c r="O1527" s="20">
        <f t="shared" si="92"/>
        <v>3865.1499999999996</v>
      </c>
      <c r="P1527" s="20">
        <f t="shared" si="93"/>
        <v>2375.3694600618483</v>
      </c>
      <c r="Q1527" s="20">
        <f t="shared" si="94"/>
        <v>1489.7805399381514</v>
      </c>
      <c r="R1527" s="22">
        <f t="shared" si="95"/>
        <v>0.38543925589903405</v>
      </c>
    </row>
    <row r="1528" spans="1:18">
      <c r="A1528" s="18">
        <v>2527</v>
      </c>
      <c r="B1528" s="19" t="s">
        <v>553</v>
      </c>
      <c r="C1528" s="18">
        <v>2025</v>
      </c>
      <c r="D1528" s="18" t="s">
        <v>45</v>
      </c>
      <c r="E1528" s="18" t="s">
        <v>79</v>
      </c>
      <c r="F1528" s="18" t="s">
        <v>100</v>
      </c>
      <c r="G1528" s="18" t="s">
        <v>47</v>
      </c>
      <c r="H1528" s="18" t="s">
        <v>103</v>
      </c>
      <c r="I1528" s="18" t="s">
        <v>58</v>
      </c>
      <c r="J1528" s="18" t="s">
        <v>91</v>
      </c>
      <c r="K1528" s="18">
        <v>3</v>
      </c>
      <c r="L1528" s="20">
        <v>3140.89</v>
      </c>
      <c r="M1528" s="21">
        <v>0.2</v>
      </c>
      <c r="N1528" s="21">
        <v>0.62500580929238703</v>
      </c>
      <c r="O1528" s="20">
        <f t="shared" si="92"/>
        <v>7538.1360000000004</v>
      </c>
      <c r="P1528" s="20">
        <f t="shared" si="93"/>
        <v>4711.3787912360776</v>
      </c>
      <c r="Q1528" s="20">
        <f t="shared" si="94"/>
        <v>2826.7572087639228</v>
      </c>
      <c r="R1528" s="22">
        <f t="shared" si="95"/>
        <v>0.37499419070761297</v>
      </c>
    </row>
    <row r="1529" spans="1:18">
      <c r="A1529" s="18">
        <v>2528</v>
      </c>
      <c r="B1529" s="19" t="s">
        <v>553</v>
      </c>
      <c r="C1529" s="18">
        <v>2025</v>
      </c>
      <c r="D1529" s="18" t="s">
        <v>45</v>
      </c>
      <c r="E1529" s="18" t="s">
        <v>79</v>
      </c>
      <c r="F1529" s="18" t="s">
        <v>80</v>
      </c>
      <c r="G1529" s="18" t="s">
        <v>50</v>
      </c>
      <c r="H1529" s="18" t="s">
        <v>87</v>
      </c>
      <c r="I1529" s="18" t="s">
        <v>54</v>
      </c>
      <c r="J1529" s="18" t="s">
        <v>91</v>
      </c>
      <c r="K1529" s="18">
        <v>3</v>
      </c>
      <c r="L1529" s="20">
        <v>9335.2800000000007</v>
      </c>
      <c r="M1529" s="21">
        <v>0</v>
      </c>
      <c r="N1529" s="21">
        <v>0.67872419548468099</v>
      </c>
      <c r="O1529" s="20">
        <f t="shared" si="92"/>
        <v>28005.840000000004</v>
      </c>
      <c r="P1529" s="20">
        <f t="shared" si="93"/>
        <v>19008.241222872701</v>
      </c>
      <c r="Q1529" s="20">
        <f t="shared" si="94"/>
        <v>8997.598777127303</v>
      </c>
      <c r="R1529" s="22">
        <f t="shared" si="95"/>
        <v>0.32127580451531901</v>
      </c>
    </row>
    <row r="1530" spans="1:18">
      <c r="A1530" s="18">
        <v>2529</v>
      </c>
      <c r="B1530" s="19" t="s">
        <v>554</v>
      </c>
      <c r="C1530" s="18">
        <v>2025</v>
      </c>
      <c r="D1530" s="18" t="s">
        <v>45</v>
      </c>
      <c r="E1530" s="18" t="s">
        <v>79</v>
      </c>
      <c r="F1530" s="18" t="s">
        <v>80</v>
      </c>
      <c r="G1530" s="18" t="s">
        <v>41</v>
      </c>
      <c r="H1530" s="18" t="s">
        <v>101</v>
      </c>
      <c r="I1530" s="18" t="s">
        <v>58</v>
      </c>
      <c r="J1530" s="18" t="s">
        <v>82</v>
      </c>
      <c r="K1530" s="18">
        <v>2</v>
      </c>
      <c r="L1530" s="20">
        <v>53019.51</v>
      </c>
      <c r="M1530" s="21">
        <v>0</v>
      </c>
      <c r="N1530" s="21">
        <v>0.65455611670521197</v>
      </c>
      <c r="O1530" s="20">
        <f t="shared" si="92"/>
        <v>106039.02</v>
      </c>
      <c r="P1530" s="20">
        <f t="shared" si="93"/>
        <v>69408.489150426307</v>
      </c>
      <c r="Q1530" s="20">
        <f t="shared" si="94"/>
        <v>36630.530849573697</v>
      </c>
      <c r="R1530" s="22">
        <f t="shared" si="95"/>
        <v>0.34544388329478803</v>
      </c>
    </row>
    <row r="1531" spans="1:18">
      <c r="A1531" s="18">
        <v>2530</v>
      </c>
      <c r="B1531" s="19" t="s">
        <v>554</v>
      </c>
      <c r="C1531" s="18">
        <v>2025</v>
      </c>
      <c r="D1531" s="18" t="s">
        <v>45</v>
      </c>
      <c r="E1531" s="18" t="s">
        <v>88</v>
      </c>
      <c r="F1531" s="18" t="s">
        <v>110</v>
      </c>
      <c r="G1531" s="18" t="s">
        <v>47</v>
      </c>
      <c r="H1531" s="18" t="s">
        <v>107</v>
      </c>
      <c r="I1531" s="18" t="s">
        <v>54</v>
      </c>
      <c r="J1531" s="18" t="s">
        <v>82</v>
      </c>
      <c r="K1531" s="18">
        <v>7</v>
      </c>
      <c r="L1531" s="20">
        <v>2165.59</v>
      </c>
      <c r="M1531" s="21">
        <v>0</v>
      </c>
      <c r="N1531" s="21">
        <v>0.64849114030682997</v>
      </c>
      <c r="O1531" s="20">
        <f t="shared" si="92"/>
        <v>15159.130000000001</v>
      </c>
      <c r="P1531" s="20">
        <f t="shared" si="93"/>
        <v>9830.5614997594766</v>
      </c>
      <c r="Q1531" s="20">
        <f t="shared" si="94"/>
        <v>5328.5685002405244</v>
      </c>
      <c r="R1531" s="22">
        <f t="shared" si="95"/>
        <v>0.35150885969316997</v>
      </c>
    </row>
    <row r="1532" spans="1:18">
      <c r="A1532" s="18">
        <v>2531</v>
      </c>
      <c r="B1532" s="19" t="s">
        <v>554</v>
      </c>
      <c r="C1532" s="18">
        <v>2025</v>
      </c>
      <c r="D1532" s="18" t="s">
        <v>45</v>
      </c>
      <c r="E1532" s="18" t="s">
        <v>79</v>
      </c>
      <c r="F1532" s="18" t="s">
        <v>80</v>
      </c>
      <c r="G1532" s="18" t="s">
        <v>50</v>
      </c>
      <c r="H1532" s="18" t="s">
        <v>87</v>
      </c>
      <c r="I1532" s="18" t="s">
        <v>56</v>
      </c>
      <c r="J1532" s="18" t="s">
        <v>102</v>
      </c>
      <c r="K1532" s="18">
        <v>3</v>
      </c>
      <c r="L1532" s="20">
        <v>9545.69</v>
      </c>
      <c r="M1532" s="21">
        <v>0</v>
      </c>
      <c r="N1532" s="21">
        <v>0.712872830342136</v>
      </c>
      <c r="O1532" s="20">
        <f t="shared" si="92"/>
        <v>28637.07</v>
      </c>
      <c r="P1532" s="20">
        <f t="shared" si="93"/>
        <v>20414.589143605874</v>
      </c>
      <c r="Q1532" s="20">
        <f t="shared" si="94"/>
        <v>8222.480856394126</v>
      </c>
      <c r="R1532" s="22">
        <f t="shared" si="95"/>
        <v>0.28712716965786395</v>
      </c>
    </row>
    <row r="1533" spans="1:18">
      <c r="A1533" s="18">
        <v>2532</v>
      </c>
      <c r="B1533" s="19" t="s">
        <v>554</v>
      </c>
      <c r="C1533" s="18">
        <v>2025</v>
      </c>
      <c r="D1533" s="18" t="s">
        <v>45</v>
      </c>
      <c r="E1533" s="18" t="s">
        <v>85</v>
      </c>
      <c r="F1533" s="18" t="s">
        <v>86</v>
      </c>
      <c r="G1533" s="18" t="s">
        <v>41</v>
      </c>
      <c r="H1533" s="18" t="s">
        <v>106</v>
      </c>
      <c r="I1533" s="18" t="s">
        <v>49</v>
      </c>
      <c r="J1533" s="18" t="s">
        <v>82</v>
      </c>
      <c r="K1533" s="18">
        <v>1</v>
      </c>
      <c r="L1533" s="20">
        <v>2536.19</v>
      </c>
      <c r="M1533" s="21">
        <v>0.15</v>
      </c>
      <c r="N1533" s="21">
        <v>0.554845039624696</v>
      </c>
      <c r="O1533" s="20">
        <f t="shared" si="92"/>
        <v>2155.7615000000001</v>
      </c>
      <c r="P1533" s="20">
        <f t="shared" si="93"/>
        <v>1196.1135748888942</v>
      </c>
      <c r="Q1533" s="20">
        <f t="shared" si="94"/>
        <v>959.64792511110591</v>
      </c>
      <c r="R1533" s="22">
        <f t="shared" si="95"/>
        <v>0.445154960375304</v>
      </c>
    </row>
    <row r="1534" spans="1:18">
      <c r="A1534" s="18">
        <v>2533</v>
      </c>
      <c r="B1534" s="19" t="s">
        <v>555</v>
      </c>
      <c r="C1534" s="18">
        <v>2025</v>
      </c>
      <c r="D1534" s="18" t="s">
        <v>45</v>
      </c>
      <c r="E1534" s="18" t="s">
        <v>85</v>
      </c>
      <c r="F1534" s="18" t="s">
        <v>86</v>
      </c>
      <c r="G1534" s="18" t="s">
        <v>41</v>
      </c>
      <c r="H1534" s="18" t="s">
        <v>101</v>
      </c>
      <c r="I1534" s="18" t="s">
        <v>49</v>
      </c>
      <c r="J1534" s="18" t="s">
        <v>82</v>
      </c>
      <c r="K1534" s="18">
        <v>3</v>
      </c>
      <c r="L1534" s="20">
        <v>55003.21</v>
      </c>
      <c r="M1534" s="21">
        <v>0.05</v>
      </c>
      <c r="N1534" s="21">
        <v>0.62750505321616401</v>
      </c>
      <c r="O1534" s="20">
        <f t="shared" si="92"/>
        <v>156759.14850000001</v>
      </c>
      <c r="P1534" s="20">
        <f t="shared" si="93"/>
        <v>98367.157821613058</v>
      </c>
      <c r="Q1534" s="20">
        <f t="shared" si="94"/>
        <v>58391.990678386952</v>
      </c>
      <c r="R1534" s="22">
        <f t="shared" si="95"/>
        <v>0.37249494678383605</v>
      </c>
    </row>
    <row r="1535" spans="1:18">
      <c r="A1535" s="18">
        <v>2534</v>
      </c>
      <c r="B1535" s="19" t="s">
        <v>555</v>
      </c>
      <c r="C1535" s="18">
        <v>2025</v>
      </c>
      <c r="D1535" s="18" t="s">
        <v>45</v>
      </c>
      <c r="E1535" s="18" t="s">
        <v>85</v>
      </c>
      <c r="F1535" s="18" t="s">
        <v>86</v>
      </c>
      <c r="G1535" s="18" t="s">
        <v>47</v>
      </c>
      <c r="H1535" s="18" t="s">
        <v>107</v>
      </c>
      <c r="I1535" s="18" t="s">
        <v>40</v>
      </c>
      <c r="J1535" s="18" t="s">
        <v>102</v>
      </c>
      <c r="K1535" s="18">
        <v>12</v>
      </c>
      <c r="L1535" s="20">
        <v>2243.37</v>
      </c>
      <c r="M1535" s="21">
        <v>0.15</v>
      </c>
      <c r="N1535" s="21">
        <v>0.56359230732937204</v>
      </c>
      <c r="O1535" s="20">
        <f t="shared" si="92"/>
        <v>22882.374</v>
      </c>
      <c r="P1535" s="20">
        <f t="shared" si="93"/>
        <v>12896.329959833633</v>
      </c>
      <c r="Q1535" s="20">
        <f t="shared" si="94"/>
        <v>9986.0440401663673</v>
      </c>
      <c r="R1535" s="22">
        <f t="shared" si="95"/>
        <v>0.43640769267062796</v>
      </c>
    </row>
    <row r="1536" spans="1:18">
      <c r="A1536" s="18">
        <v>2535</v>
      </c>
      <c r="B1536" s="19" t="s">
        <v>555</v>
      </c>
      <c r="C1536" s="18">
        <v>2025</v>
      </c>
      <c r="D1536" s="18" t="s">
        <v>45</v>
      </c>
      <c r="E1536" s="18" t="s">
        <v>88</v>
      </c>
      <c r="F1536" s="18" t="s">
        <v>93</v>
      </c>
      <c r="G1536" s="18" t="s">
        <v>41</v>
      </c>
      <c r="H1536" s="18" t="s">
        <v>101</v>
      </c>
      <c r="I1536" s="18" t="s">
        <v>49</v>
      </c>
      <c r="J1536" s="18" t="s">
        <v>102</v>
      </c>
      <c r="K1536" s="18">
        <v>8</v>
      </c>
      <c r="L1536" s="20">
        <v>52289.34</v>
      </c>
      <c r="M1536" s="21">
        <v>0.2</v>
      </c>
      <c r="N1536" s="21">
        <v>0.56612548765776005</v>
      </c>
      <c r="O1536" s="20">
        <f t="shared" si="92"/>
        <v>334651.77600000001</v>
      </c>
      <c r="P1536" s="20">
        <f t="shared" si="93"/>
        <v>189454.89988353549</v>
      </c>
      <c r="Q1536" s="20">
        <f t="shared" si="94"/>
        <v>145196.87611646453</v>
      </c>
      <c r="R1536" s="22">
        <f t="shared" si="95"/>
        <v>0.43387451234223995</v>
      </c>
    </row>
    <row r="1537" spans="1:18">
      <c r="A1537" s="18">
        <v>2536</v>
      </c>
      <c r="B1537" s="19" t="s">
        <v>556</v>
      </c>
      <c r="C1537" s="18">
        <v>2025</v>
      </c>
      <c r="D1537" s="18" t="s">
        <v>45</v>
      </c>
      <c r="E1537" s="18" t="s">
        <v>88</v>
      </c>
      <c r="F1537" s="18" t="s">
        <v>89</v>
      </c>
      <c r="G1537" s="18" t="s">
        <v>44</v>
      </c>
      <c r="H1537" s="18" t="s">
        <v>119</v>
      </c>
      <c r="I1537" s="18" t="s">
        <v>60</v>
      </c>
      <c r="J1537" s="18" t="s">
        <v>82</v>
      </c>
      <c r="K1537" s="18">
        <v>11</v>
      </c>
      <c r="L1537" s="20">
        <v>7170.98</v>
      </c>
      <c r="M1537" s="21">
        <v>0.05</v>
      </c>
      <c r="N1537" s="21">
        <v>0.60312934451738398</v>
      </c>
      <c r="O1537" s="20">
        <f t="shared" si="92"/>
        <v>74936.740999999995</v>
      </c>
      <c r="P1537" s="20">
        <f t="shared" si="93"/>
        <v>45196.547479598972</v>
      </c>
      <c r="Q1537" s="20">
        <f t="shared" si="94"/>
        <v>29740.193520401022</v>
      </c>
      <c r="R1537" s="22">
        <f t="shared" si="95"/>
        <v>0.39687065548261602</v>
      </c>
    </row>
    <row r="1538" spans="1:18">
      <c r="A1538" s="18">
        <v>2537</v>
      </c>
      <c r="B1538" s="19" t="s">
        <v>556</v>
      </c>
      <c r="C1538" s="18">
        <v>2025</v>
      </c>
      <c r="D1538" s="18" t="s">
        <v>45</v>
      </c>
      <c r="E1538" s="18" t="s">
        <v>98</v>
      </c>
      <c r="F1538" s="18" t="s">
        <v>99</v>
      </c>
      <c r="G1538" s="18" t="s">
        <v>50</v>
      </c>
      <c r="H1538" s="18" t="s">
        <v>83</v>
      </c>
      <c r="I1538" s="18" t="s">
        <v>49</v>
      </c>
      <c r="J1538" s="18" t="s">
        <v>102</v>
      </c>
      <c r="K1538" s="18">
        <v>5</v>
      </c>
      <c r="L1538" s="20">
        <v>3442.07</v>
      </c>
      <c r="M1538" s="21">
        <v>0.05</v>
      </c>
      <c r="N1538" s="21">
        <v>0.72958562561920604</v>
      </c>
      <c r="O1538" s="20">
        <f t="shared" ref="O1538:O1601" si="96">K1538*L1538*(1-M1538)</f>
        <v>16349.8325</v>
      </c>
      <c r="P1538" s="20">
        <f t="shared" ref="P1538:P1601" si="97">O1538*N1538</f>
        <v>11928.602773281727</v>
      </c>
      <c r="Q1538" s="20">
        <f t="shared" ref="Q1538:Q1601" si="98">O1538-P1538</f>
        <v>4421.229726718273</v>
      </c>
      <c r="R1538" s="22">
        <f t="shared" ref="R1538:R1601" si="99">IF(O1538=0,0,Q1538/O1538)</f>
        <v>0.27041437438079396</v>
      </c>
    </row>
    <row r="1539" spans="1:18">
      <c r="A1539" s="18">
        <v>2538</v>
      </c>
      <c r="B1539" s="19" t="s">
        <v>556</v>
      </c>
      <c r="C1539" s="18">
        <v>2025</v>
      </c>
      <c r="D1539" s="18" t="s">
        <v>45</v>
      </c>
      <c r="E1539" s="18" t="s">
        <v>85</v>
      </c>
      <c r="F1539" s="18" t="s">
        <v>86</v>
      </c>
      <c r="G1539" s="18" t="s">
        <v>47</v>
      </c>
      <c r="H1539" s="18" t="s">
        <v>107</v>
      </c>
      <c r="I1539" s="18" t="s">
        <v>40</v>
      </c>
      <c r="J1539" s="18" t="s">
        <v>91</v>
      </c>
      <c r="K1539" s="18">
        <v>10</v>
      </c>
      <c r="L1539" s="20">
        <v>2302.9</v>
      </c>
      <c r="M1539" s="21">
        <v>0.2</v>
      </c>
      <c r="N1539" s="21">
        <v>0.65236102159323806</v>
      </c>
      <c r="O1539" s="20">
        <f t="shared" si="96"/>
        <v>18423.2</v>
      </c>
      <c r="P1539" s="20">
        <f t="shared" si="97"/>
        <v>12018.577573016544</v>
      </c>
      <c r="Q1539" s="20">
        <f t="shared" si="98"/>
        <v>6404.6224269834565</v>
      </c>
      <c r="R1539" s="22">
        <f t="shared" si="99"/>
        <v>0.34763897840676194</v>
      </c>
    </row>
    <row r="1540" spans="1:18">
      <c r="A1540" s="18">
        <v>2539</v>
      </c>
      <c r="B1540" s="19" t="s">
        <v>556</v>
      </c>
      <c r="C1540" s="18">
        <v>2025</v>
      </c>
      <c r="D1540" s="18" t="s">
        <v>45</v>
      </c>
      <c r="E1540" s="18" t="s">
        <v>85</v>
      </c>
      <c r="F1540" s="18" t="s">
        <v>86</v>
      </c>
      <c r="G1540" s="18" t="s">
        <v>44</v>
      </c>
      <c r="H1540" s="18" t="s">
        <v>119</v>
      </c>
      <c r="I1540" s="18" t="s">
        <v>40</v>
      </c>
      <c r="J1540" s="18" t="s">
        <v>91</v>
      </c>
      <c r="K1540" s="18">
        <v>2</v>
      </c>
      <c r="L1540" s="20">
        <v>7169.97</v>
      </c>
      <c r="M1540" s="21">
        <v>0</v>
      </c>
      <c r="N1540" s="21">
        <v>0.59002852702105002</v>
      </c>
      <c r="O1540" s="20">
        <f t="shared" si="96"/>
        <v>14339.94</v>
      </c>
      <c r="P1540" s="20">
        <f t="shared" si="97"/>
        <v>8460.9736757702358</v>
      </c>
      <c r="Q1540" s="20">
        <f t="shared" si="98"/>
        <v>5878.9663242297647</v>
      </c>
      <c r="R1540" s="22">
        <f t="shared" si="99"/>
        <v>0.40997147297895004</v>
      </c>
    </row>
    <row r="1541" spans="1:18">
      <c r="A1541" s="18">
        <v>2540</v>
      </c>
      <c r="B1541" s="19" t="s">
        <v>557</v>
      </c>
      <c r="C1541" s="18">
        <v>2025</v>
      </c>
      <c r="D1541" s="18" t="s">
        <v>45</v>
      </c>
      <c r="E1541" s="18" t="s">
        <v>88</v>
      </c>
      <c r="F1541" s="18" t="s">
        <v>93</v>
      </c>
      <c r="G1541" s="18" t="s">
        <v>47</v>
      </c>
      <c r="H1541" s="18" t="s">
        <v>107</v>
      </c>
      <c r="I1541" s="18" t="s">
        <v>58</v>
      </c>
      <c r="J1541" s="18" t="s">
        <v>82</v>
      </c>
      <c r="K1541" s="18">
        <v>11</v>
      </c>
      <c r="L1541" s="20">
        <v>2227.75</v>
      </c>
      <c r="M1541" s="21">
        <v>0.15</v>
      </c>
      <c r="N1541" s="21">
        <v>0.72804130298551994</v>
      </c>
      <c r="O1541" s="20">
        <f t="shared" si="96"/>
        <v>20829.462499999998</v>
      </c>
      <c r="P1541" s="20">
        <f t="shared" si="97"/>
        <v>15164.709018988024</v>
      </c>
      <c r="Q1541" s="20">
        <f t="shared" si="98"/>
        <v>5664.7534810119741</v>
      </c>
      <c r="R1541" s="22">
        <f t="shared" si="99"/>
        <v>0.27195869701448006</v>
      </c>
    </row>
    <row r="1542" spans="1:18">
      <c r="A1542" s="18">
        <v>2541</v>
      </c>
      <c r="B1542" s="19" t="s">
        <v>557</v>
      </c>
      <c r="C1542" s="18">
        <v>2025</v>
      </c>
      <c r="D1542" s="18" t="s">
        <v>45</v>
      </c>
      <c r="E1542" s="18" t="s">
        <v>98</v>
      </c>
      <c r="F1542" s="18" t="s">
        <v>117</v>
      </c>
      <c r="G1542" s="18" t="s">
        <v>41</v>
      </c>
      <c r="H1542" s="18" t="s">
        <v>106</v>
      </c>
      <c r="I1542" s="18" t="s">
        <v>40</v>
      </c>
      <c r="J1542" s="18" t="s">
        <v>82</v>
      </c>
      <c r="K1542" s="18">
        <v>3</v>
      </c>
      <c r="L1542" s="20">
        <v>2590.09</v>
      </c>
      <c r="M1542" s="21">
        <v>0</v>
      </c>
      <c r="N1542" s="21">
        <v>0.64991854272305205</v>
      </c>
      <c r="O1542" s="20">
        <f t="shared" si="96"/>
        <v>7770.27</v>
      </c>
      <c r="P1542" s="20">
        <f t="shared" si="97"/>
        <v>5050.0425549646498</v>
      </c>
      <c r="Q1542" s="20">
        <f t="shared" si="98"/>
        <v>2720.2274450353507</v>
      </c>
      <c r="R1542" s="22">
        <f t="shared" si="99"/>
        <v>0.35008145727694795</v>
      </c>
    </row>
    <row r="1543" spans="1:18">
      <c r="A1543" s="18">
        <v>2542</v>
      </c>
      <c r="B1543" s="19" t="s">
        <v>557</v>
      </c>
      <c r="C1543" s="18">
        <v>2025</v>
      </c>
      <c r="D1543" s="18" t="s">
        <v>45</v>
      </c>
      <c r="E1543" s="18" t="s">
        <v>85</v>
      </c>
      <c r="F1543" s="18" t="s">
        <v>94</v>
      </c>
      <c r="G1543" s="18" t="s">
        <v>47</v>
      </c>
      <c r="H1543" s="18" t="s">
        <v>107</v>
      </c>
      <c r="I1543" s="18" t="s">
        <v>56</v>
      </c>
      <c r="J1543" s="18" t="s">
        <v>102</v>
      </c>
      <c r="K1543" s="18">
        <v>3</v>
      </c>
      <c r="L1543" s="20">
        <v>2292.58</v>
      </c>
      <c r="M1543" s="21">
        <v>0.1</v>
      </c>
      <c r="N1543" s="21">
        <v>0.662165973479659</v>
      </c>
      <c r="O1543" s="20">
        <f t="shared" si="96"/>
        <v>6189.9660000000003</v>
      </c>
      <c r="P1543" s="20">
        <f t="shared" si="97"/>
        <v>4098.7848621959911</v>
      </c>
      <c r="Q1543" s="20">
        <f t="shared" si="98"/>
        <v>2091.1811378040093</v>
      </c>
      <c r="R1543" s="22">
        <f t="shared" si="99"/>
        <v>0.337834026520341</v>
      </c>
    </row>
    <row r="1544" spans="1:18">
      <c r="A1544" s="18">
        <v>2543</v>
      </c>
      <c r="B1544" s="19" t="s">
        <v>557</v>
      </c>
      <c r="C1544" s="18">
        <v>2025</v>
      </c>
      <c r="D1544" s="18" t="s">
        <v>45</v>
      </c>
      <c r="E1544" s="18" t="s">
        <v>98</v>
      </c>
      <c r="F1544" s="18" t="s">
        <v>99</v>
      </c>
      <c r="G1544" s="18" t="s">
        <v>44</v>
      </c>
      <c r="H1544" s="18" t="s">
        <v>119</v>
      </c>
      <c r="I1544" s="18" t="s">
        <v>62</v>
      </c>
      <c r="J1544" s="18" t="s">
        <v>82</v>
      </c>
      <c r="K1544" s="18">
        <v>1</v>
      </c>
      <c r="L1544" s="20">
        <v>7246.88</v>
      </c>
      <c r="M1544" s="21">
        <v>0.15</v>
      </c>
      <c r="N1544" s="21">
        <v>0.56000560798818799</v>
      </c>
      <c r="O1544" s="20">
        <f t="shared" si="96"/>
        <v>6159.848</v>
      </c>
      <c r="P1544" s="20">
        <f t="shared" si="97"/>
        <v>3449.5494243548237</v>
      </c>
      <c r="Q1544" s="20">
        <f t="shared" si="98"/>
        <v>2710.2985756451762</v>
      </c>
      <c r="R1544" s="22">
        <f t="shared" si="99"/>
        <v>0.43999439201181201</v>
      </c>
    </row>
    <row r="1545" spans="1:18">
      <c r="A1545" s="18">
        <v>2544</v>
      </c>
      <c r="B1545" s="19" t="s">
        <v>558</v>
      </c>
      <c r="C1545" s="18">
        <v>2025</v>
      </c>
      <c r="D1545" s="18" t="s">
        <v>45</v>
      </c>
      <c r="E1545" s="18" t="s">
        <v>98</v>
      </c>
      <c r="F1545" s="18" t="s">
        <v>117</v>
      </c>
      <c r="G1545" s="18" t="s">
        <v>47</v>
      </c>
      <c r="H1545" s="18" t="s">
        <v>107</v>
      </c>
      <c r="I1545" s="18" t="s">
        <v>56</v>
      </c>
      <c r="J1545" s="18" t="s">
        <v>102</v>
      </c>
      <c r="K1545" s="18">
        <v>10</v>
      </c>
      <c r="L1545" s="20">
        <v>2301.4699999999998</v>
      </c>
      <c r="M1545" s="21">
        <v>0</v>
      </c>
      <c r="N1545" s="21">
        <v>0.56070756818063505</v>
      </c>
      <c r="O1545" s="20">
        <f t="shared" si="96"/>
        <v>23014.699999999997</v>
      </c>
      <c r="P1545" s="20">
        <f t="shared" si="97"/>
        <v>12904.516469406861</v>
      </c>
      <c r="Q1545" s="20">
        <f t="shared" si="98"/>
        <v>10110.183530593136</v>
      </c>
      <c r="R1545" s="22">
        <f t="shared" si="99"/>
        <v>0.43929243181936489</v>
      </c>
    </row>
    <row r="1546" spans="1:18">
      <c r="A1546" s="18">
        <v>2545</v>
      </c>
      <c r="B1546" s="19" t="s">
        <v>558</v>
      </c>
      <c r="C1546" s="18">
        <v>2025</v>
      </c>
      <c r="D1546" s="18" t="s">
        <v>45</v>
      </c>
      <c r="E1546" s="18" t="s">
        <v>88</v>
      </c>
      <c r="F1546" s="18" t="s">
        <v>93</v>
      </c>
      <c r="G1546" s="18" t="s">
        <v>44</v>
      </c>
      <c r="H1546" s="18" t="s">
        <v>114</v>
      </c>
      <c r="I1546" s="18" t="s">
        <v>54</v>
      </c>
      <c r="J1546" s="18" t="s">
        <v>82</v>
      </c>
      <c r="K1546" s="18">
        <v>5</v>
      </c>
      <c r="L1546" s="20">
        <v>8925.74</v>
      </c>
      <c r="M1546" s="21">
        <v>0</v>
      </c>
      <c r="N1546" s="21">
        <v>0.60949398543006705</v>
      </c>
      <c r="O1546" s="20">
        <f t="shared" si="96"/>
        <v>44628.7</v>
      </c>
      <c r="P1546" s="20">
        <f t="shared" si="97"/>
        <v>27200.924227562831</v>
      </c>
      <c r="Q1546" s="20">
        <f t="shared" si="98"/>
        <v>17427.775772437166</v>
      </c>
      <c r="R1546" s="22">
        <f t="shared" si="99"/>
        <v>0.39050601456993295</v>
      </c>
    </row>
    <row r="1547" spans="1:18">
      <c r="A1547" s="18">
        <v>2546</v>
      </c>
      <c r="B1547" s="19" t="s">
        <v>559</v>
      </c>
      <c r="C1547" s="18">
        <v>2025</v>
      </c>
      <c r="D1547" s="18" t="s">
        <v>45</v>
      </c>
      <c r="E1547" s="18" t="s">
        <v>79</v>
      </c>
      <c r="F1547" s="18" t="s">
        <v>105</v>
      </c>
      <c r="G1547" s="18" t="s">
        <v>44</v>
      </c>
      <c r="H1547" s="18" t="s">
        <v>114</v>
      </c>
      <c r="I1547" s="18" t="s">
        <v>58</v>
      </c>
      <c r="J1547" s="18" t="s">
        <v>82</v>
      </c>
      <c r="K1547" s="18">
        <v>2</v>
      </c>
      <c r="L1547" s="20">
        <v>9377.4699999999993</v>
      </c>
      <c r="M1547" s="21">
        <v>0.2</v>
      </c>
      <c r="N1547" s="21">
        <v>0.74048499864612305</v>
      </c>
      <c r="O1547" s="20">
        <f t="shared" si="96"/>
        <v>15003.951999999999</v>
      </c>
      <c r="P1547" s="20">
        <f t="shared" si="97"/>
        <v>11110.201376406494</v>
      </c>
      <c r="Q1547" s="20">
        <f t="shared" si="98"/>
        <v>3893.7506235935052</v>
      </c>
      <c r="R1547" s="22">
        <f t="shared" si="99"/>
        <v>0.25951500135387701</v>
      </c>
    </row>
    <row r="1548" spans="1:18">
      <c r="A1548" s="18">
        <v>2547</v>
      </c>
      <c r="B1548" s="19" t="s">
        <v>559</v>
      </c>
      <c r="C1548" s="18">
        <v>2025</v>
      </c>
      <c r="D1548" s="18" t="s">
        <v>45</v>
      </c>
      <c r="E1548" s="18" t="s">
        <v>79</v>
      </c>
      <c r="F1548" s="18" t="s">
        <v>105</v>
      </c>
      <c r="G1548" s="18" t="s">
        <v>44</v>
      </c>
      <c r="H1548" s="18" t="s">
        <v>119</v>
      </c>
      <c r="I1548" s="18" t="s">
        <v>43</v>
      </c>
      <c r="J1548" s="18" t="s">
        <v>82</v>
      </c>
      <c r="K1548" s="18">
        <v>12</v>
      </c>
      <c r="L1548" s="20">
        <v>6814.36</v>
      </c>
      <c r="M1548" s="21">
        <v>0.15</v>
      </c>
      <c r="N1548" s="21">
        <v>0.68898371541119297</v>
      </c>
      <c r="O1548" s="20">
        <f t="shared" si="96"/>
        <v>69506.471999999994</v>
      </c>
      <c r="P1548" s="20">
        <f t="shared" si="97"/>
        <v>47888.827323684047</v>
      </c>
      <c r="Q1548" s="20">
        <f t="shared" si="98"/>
        <v>21617.644676315947</v>
      </c>
      <c r="R1548" s="22">
        <f t="shared" si="99"/>
        <v>0.31101628458880703</v>
      </c>
    </row>
    <row r="1549" spans="1:18">
      <c r="A1549" s="18">
        <v>2548</v>
      </c>
      <c r="B1549" s="19" t="s">
        <v>560</v>
      </c>
      <c r="C1549" s="18">
        <v>2025</v>
      </c>
      <c r="D1549" s="18" t="s">
        <v>45</v>
      </c>
      <c r="E1549" s="18" t="s">
        <v>98</v>
      </c>
      <c r="F1549" s="18" t="s">
        <v>117</v>
      </c>
      <c r="G1549" s="18" t="s">
        <v>50</v>
      </c>
      <c r="H1549" s="18" t="s">
        <v>83</v>
      </c>
      <c r="I1549" s="18" t="s">
        <v>46</v>
      </c>
      <c r="J1549" s="18" t="s">
        <v>82</v>
      </c>
      <c r="K1549" s="18">
        <v>2</v>
      </c>
      <c r="L1549" s="20">
        <v>3464.14</v>
      </c>
      <c r="M1549" s="21">
        <v>0.1</v>
      </c>
      <c r="N1549" s="21">
        <v>0.55597962295586101</v>
      </c>
      <c r="O1549" s="20">
        <f t="shared" si="96"/>
        <v>6235.4520000000002</v>
      </c>
      <c r="P1549" s="20">
        <f t="shared" si="97"/>
        <v>3466.7842519193696</v>
      </c>
      <c r="Q1549" s="20">
        <f t="shared" si="98"/>
        <v>2768.6677480806306</v>
      </c>
      <c r="R1549" s="22">
        <f t="shared" si="99"/>
        <v>0.44402037704413899</v>
      </c>
    </row>
    <row r="1550" spans="1:18">
      <c r="A1550" s="18">
        <v>2549</v>
      </c>
      <c r="B1550" s="19" t="s">
        <v>560</v>
      </c>
      <c r="C1550" s="18">
        <v>2025</v>
      </c>
      <c r="D1550" s="18" t="s">
        <v>45</v>
      </c>
      <c r="E1550" s="18" t="s">
        <v>85</v>
      </c>
      <c r="F1550" s="18" t="s">
        <v>121</v>
      </c>
      <c r="G1550" s="18" t="s">
        <v>50</v>
      </c>
      <c r="H1550" s="18" t="s">
        <v>97</v>
      </c>
      <c r="I1550" s="18" t="s">
        <v>46</v>
      </c>
      <c r="J1550" s="18" t="s">
        <v>82</v>
      </c>
      <c r="K1550" s="18">
        <v>10</v>
      </c>
      <c r="L1550" s="20">
        <v>12476.89</v>
      </c>
      <c r="M1550" s="21">
        <v>0.2</v>
      </c>
      <c r="N1550" s="21">
        <v>0.56260204905186395</v>
      </c>
      <c r="O1550" s="20">
        <f t="shared" si="96"/>
        <v>99815.12</v>
      </c>
      <c r="P1550" s="20">
        <f t="shared" si="97"/>
        <v>56156.191038357683</v>
      </c>
      <c r="Q1550" s="20">
        <f t="shared" si="98"/>
        <v>43658.928961642312</v>
      </c>
      <c r="R1550" s="22">
        <f t="shared" si="99"/>
        <v>0.43739795094813605</v>
      </c>
    </row>
    <row r="1551" spans="1:18">
      <c r="A1551" s="18">
        <v>2550</v>
      </c>
      <c r="B1551" s="19" t="s">
        <v>560</v>
      </c>
      <c r="C1551" s="18">
        <v>2025</v>
      </c>
      <c r="D1551" s="18" t="s">
        <v>45</v>
      </c>
      <c r="E1551" s="18" t="s">
        <v>98</v>
      </c>
      <c r="F1551" s="18" t="s">
        <v>99</v>
      </c>
      <c r="G1551" s="18" t="s">
        <v>47</v>
      </c>
      <c r="H1551" s="18" t="s">
        <v>103</v>
      </c>
      <c r="I1551" s="18" t="s">
        <v>58</v>
      </c>
      <c r="J1551" s="18" t="s">
        <v>82</v>
      </c>
      <c r="K1551" s="18">
        <v>5</v>
      </c>
      <c r="L1551" s="20">
        <v>3047.81</v>
      </c>
      <c r="M1551" s="21">
        <v>0.05</v>
      </c>
      <c r="N1551" s="21">
        <v>0.742637921679007</v>
      </c>
      <c r="O1551" s="20">
        <f t="shared" si="96"/>
        <v>14477.097499999998</v>
      </c>
      <c r="P1551" s="20">
        <f t="shared" si="97"/>
        <v>10751.241599344346</v>
      </c>
      <c r="Q1551" s="20">
        <f t="shared" si="98"/>
        <v>3725.8559006556516</v>
      </c>
      <c r="R1551" s="22">
        <f t="shared" si="99"/>
        <v>0.257362078320993</v>
      </c>
    </row>
    <row r="1552" spans="1:18">
      <c r="A1552" s="18">
        <v>2551</v>
      </c>
      <c r="B1552" s="19" t="s">
        <v>560</v>
      </c>
      <c r="C1552" s="18">
        <v>2025</v>
      </c>
      <c r="D1552" s="18" t="s">
        <v>45</v>
      </c>
      <c r="E1552" s="18" t="s">
        <v>88</v>
      </c>
      <c r="F1552" s="18" t="s">
        <v>110</v>
      </c>
      <c r="G1552" s="18" t="s">
        <v>50</v>
      </c>
      <c r="H1552" s="18" t="s">
        <v>83</v>
      </c>
      <c r="I1552" s="18" t="s">
        <v>40</v>
      </c>
      <c r="J1552" s="18" t="s">
        <v>102</v>
      </c>
      <c r="K1552" s="18">
        <v>7</v>
      </c>
      <c r="L1552" s="20">
        <v>3520.63</v>
      </c>
      <c r="M1552" s="21">
        <v>0.2</v>
      </c>
      <c r="N1552" s="21">
        <v>0.64770552484983801</v>
      </c>
      <c r="O1552" s="20">
        <f t="shared" si="96"/>
        <v>19715.528000000002</v>
      </c>
      <c r="P1552" s="20">
        <f t="shared" si="97"/>
        <v>12769.856410931678</v>
      </c>
      <c r="Q1552" s="20">
        <f t="shared" si="98"/>
        <v>6945.6715890683245</v>
      </c>
      <c r="R1552" s="22">
        <f t="shared" si="99"/>
        <v>0.35229447515016205</v>
      </c>
    </row>
    <row r="1553" spans="1:18">
      <c r="A1553" s="18">
        <v>2552</v>
      </c>
      <c r="B1553" s="19" t="s">
        <v>561</v>
      </c>
      <c r="C1553" s="18">
        <v>2025</v>
      </c>
      <c r="D1553" s="18" t="s">
        <v>45</v>
      </c>
      <c r="E1553" s="18" t="s">
        <v>79</v>
      </c>
      <c r="F1553" s="18" t="s">
        <v>105</v>
      </c>
      <c r="G1553" s="18" t="s">
        <v>47</v>
      </c>
      <c r="H1553" s="18" t="s">
        <v>81</v>
      </c>
      <c r="I1553" s="18" t="s">
        <v>62</v>
      </c>
      <c r="J1553" s="18" t="s">
        <v>91</v>
      </c>
      <c r="K1553" s="18">
        <v>8</v>
      </c>
      <c r="L1553" s="20">
        <v>825.66</v>
      </c>
      <c r="M1553" s="21">
        <v>0.15</v>
      </c>
      <c r="N1553" s="21">
        <v>0.58277894314120304</v>
      </c>
      <c r="O1553" s="20">
        <f t="shared" si="96"/>
        <v>5614.4879999999994</v>
      </c>
      <c r="P1553" s="20">
        <f t="shared" si="97"/>
        <v>3272.0053829189665</v>
      </c>
      <c r="Q1553" s="20">
        <f t="shared" si="98"/>
        <v>2342.4826170810329</v>
      </c>
      <c r="R1553" s="22">
        <f t="shared" si="99"/>
        <v>0.41722105685879696</v>
      </c>
    </row>
    <row r="1554" spans="1:18">
      <c r="A1554" s="18">
        <v>2553</v>
      </c>
      <c r="B1554" s="19" t="s">
        <v>561</v>
      </c>
      <c r="C1554" s="18">
        <v>2025</v>
      </c>
      <c r="D1554" s="18" t="s">
        <v>45</v>
      </c>
      <c r="E1554" s="18" t="s">
        <v>98</v>
      </c>
      <c r="F1554" s="18" t="s">
        <v>99</v>
      </c>
      <c r="G1554" s="18" t="s">
        <v>44</v>
      </c>
      <c r="H1554" s="18" t="s">
        <v>114</v>
      </c>
      <c r="I1554" s="18" t="s">
        <v>54</v>
      </c>
      <c r="J1554" s="18" t="s">
        <v>91</v>
      </c>
      <c r="K1554" s="18">
        <v>3</v>
      </c>
      <c r="L1554" s="20">
        <v>9072.19</v>
      </c>
      <c r="M1554" s="21">
        <v>0.05</v>
      </c>
      <c r="N1554" s="21">
        <v>0.64349683520721301</v>
      </c>
      <c r="O1554" s="20">
        <f t="shared" si="96"/>
        <v>25855.7415</v>
      </c>
      <c r="P1554" s="20">
        <f t="shared" si="97"/>
        <v>16638.087827185798</v>
      </c>
      <c r="Q1554" s="20">
        <f t="shared" si="98"/>
        <v>9217.6536728142019</v>
      </c>
      <c r="R1554" s="22">
        <f t="shared" si="99"/>
        <v>0.35650316479278699</v>
      </c>
    </row>
    <row r="1555" spans="1:18">
      <c r="A1555" s="18">
        <v>2554</v>
      </c>
      <c r="B1555" s="19" t="s">
        <v>561</v>
      </c>
      <c r="C1555" s="18">
        <v>2025</v>
      </c>
      <c r="D1555" s="18" t="s">
        <v>45</v>
      </c>
      <c r="E1555" s="18" t="s">
        <v>98</v>
      </c>
      <c r="F1555" s="18" t="s">
        <v>109</v>
      </c>
      <c r="G1555" s="18" t="s">
        <v>44</v>
      </c>
      <c r="H1555" s="18" t="s">
        <v>95</v>
      </c>
      <c r="I1555" s="18" t="s">
        <v>58</v>
      </c>
      <c r="J1555" s="18" t="s">
        <v>102</v>
      </c>
      <c r="K1555" s="18">
        <v>9</v>
      </c>
      <c r="L1555" s="20">
        <v>4458.5200000000004</v>
      </c>
      <c r="M1555" s="21">
        <v>0.1</v>
      </c>
      <c r="N1555" s="21">
        <v>0.56728911191545695</v>
      </c>
      <c r="O1555" s="20">
        <f t="shared" si="96"/>
        <v>36114.01200000001</v>
      </c>
      <c r="P1555" s="20">
        <f t="shared" si="97"/>
        <v>20487.085795184161</v>
      </c>
      <c r="Q1555" s="20">
        <f t="shared" si="98"/>
        <v>15626.926204815849</v>
      </c>
      <c r="R1555" s="22">
        <f t="shared" si="99"/>
        <v>0.43271088808454305</v>
      </c>
    </row>
    <row r="1556" spans="1:18">
      <c r="A1556" s="18">
        <v>2555</v>
      </c>
      <c r="B1556" s="19" t="s">
        <v>562</v>
      </c>
      <c r="C1556" s="18">
        <v>2025</v>
      </c>
      <c r="D1556" s="18" t="s">
        <v>45</v>
      </c>
      <c r="E1556" s="18" t="s">
        <v>88</v>
      </c>
      <c r="F1556" s="18" t="s">
        <v>89</v>
      </c>
      <c r="G1556" s="18" t="s">
        <v>47</v>
      </c>
      <c r="H1556" s="18" t="s">
        <v>103</v>
      </c>
      <c r="I1556" s="18" t="s">
        <v>58</v>
      </c>
      <c r="J1556" s="18" t="s">
        <v>91</v>
      </c>
      <c r="K1556" s="18">
        <v>9</v>
      </c>
      <c r="L1556" s="20">
        <v>3315.78</v>
      </c>
      <c r="M1556" s="21">
        <v>0</v>
      </c>
      <c r="N1556" s="21">
        <v>0.72794818139486905</v>
      </c>
      <c r="O1556" s="20">
        <f t="shared" si="96"/>
        <v>29842.02</v>
      </c>
      <c r="P1556" s="20">
        <f t="shared" si="97"/>
        <v>21723.444188149311</v>
      </c>
      <c r="Q1556" s="20">
        <f t="shared" si="98"/>
        <v>8118.5758118506892</v>
      </c>
      <c r="R1556" s="22">
        <f t="shared" si="99"/>
        <v>0.27205181860513095</v>
      </c>
    </row>
    <row r="1557" spans="1:18">
      <c r="A1557" s="18">
        <v>2556</v>
      </c>
      <c r="B1557" s="19" t="s">
        <v>562</v>
      </c>
      <c r="C1557" s="18">
        <v>2025</v>
      </c>
      <c r="D1557" s="18" t="s">
        <v>45</v>
      </c>
      <c r="E1557" s="18" t="s">
        <v>98</v>
      </c>
      <c r="F1557" s="18" t="s">
        <v>99</v>
      </c>
      <c r="G1557" s="18" t="s">
        <v>44</v>
      </c>
      <c r="H1557" s="18" t="s">
        <v>95</v>
      </c>
      <c r="I1557" s="18" t="s">
        <v>54</v>
      </c>
      <c r="J1557" s="18" t="s">
        <v>102</v>
      </c>
      <c r="K1557" s="18">
        <v>11</v>
      </c>
      <c r="L1557" s="20">
        <v>4649.41</v>
      </c>
      <c r="M1557" s="21">
        <v>0</v>
      </c>
      <c r="N1557" s="21">
        <v>0.720219571588539</v>
      </c>
      <c r="O1557" s="20">
        <f t="shared" si="96"/>
        <v>51143.509999999995</v>
      </c>
      <c r="P1557" s="20">
        <f t="shared" si="97"/>
        <v>36834.556861734156</v>
      </c>
      <c r="Q1557" s="20">
        <f t="shared" si="98"/>
        <v>14308.953138265839</v>
      </c>
      <c r="R1557" s="22">
        <f t="shared" si="99"/>
        <v>0.279780428411461</v>
      </c>
    </row>
    <row r="1558" spans="1:18">
      <c r="A1558" s="18">
        <v>2557</v>
      </c>
      <c r="B1558" s="19" t="s">
        <v>562</v>
      </c>
      <c r="C1558" s="18">
        <v>2025</v>
      </c>
      <c r="D1558" s="18" t="s">
        <v>45</v>
      </c>
      <c r="E1558" s="18" t="s">
        <v>88</v>
      </c>
      <c r="F1558" s="18" t="s">
        <v>110</v>
      </c>
      <c r="G1558" s="18" t="s">
        <v>50</v>
      </c>
      <c r="H1558" s="18" t="s">
        <v>83</v>
      </c>
      <c r="I1558" s="18" t="s">
        <v>56</v>
      </c>
      <c r="J1558" s="18" t="s">
        <v>82</v>
      </c>
      <c r="K1558" s="18">
        <v>9</v>
      </c>
      <c r="L1558" s="20">
        <v>3515.4</v>
      </c>
      <c r="M1558" s="21">
        <v>0.15</v>
      </c>
      <c r="N1558" s="21">
        <v>0.57076306279817901</v>
      </c>
      <c r="O1558" s="20">
        <f t="shared" si="96"/>
        <v>26892.81</v>
      </c>
      <c r="P1558" s="20">
        <f t="shared" si="97"/>
        <v>15349.422602849498</v>
      </c>
      <c r="Q1558" s="20">
        <f t="shared" si="98"/>
        <v>11543.387397150504</v>
      </c>
      <c r="R1558" s="22">
        <f t="shared" si="99"/>
        <v>0.42923693720182099</v>
      </c>
    </row>
    <row r="1559" spans="1:18">
      <c r="A1559" s="18">
        <v>2558</v>
      </c>
      <c r="B1559" s="19" t="s">
        <v>562</v>
      </c>
      <c r="C1559" s="18">
        <v>2025</v>
      </c>
      <c r="D1559" s="18" t="s">
        <v>45</v>
      </c>
      <c r="E1559" s="18" t="s">
        <v>79</v>
      </c>
      <c r="F1559" s="18" t="s">
        <v>105</v>
      </c>
      <c r="G1559" s="18" t="s">
        <v>44</v>
      </c>
      <c r="H1559" s="18" t="s">
        <v>95</v>
      </c>
      <c r="I1559" s="18" t="s">
        <v>49</v>
      </c>
      <c r="J1559" s="18" t="s">
        <v>102</v>
      </c>
      <c r="K1559" s="18">
        <v>12</v>
      </c>
      <c r="L1559" s="20">
        <v>4629.4799999999996</v>
      </c>
      <c r="M1559" s="21">
        <v>0.1</v>
      </c>
      <c r="N1559" s="21">
        <v>0.573384269066881</v>
      </c>
      <c r="O1559" s="20">
        <f t="shared" si="96"/>
        <v>49998.383999999998</v>
      </c>
      <c r="P1559" s="20">
        <f t="shared" si="97"/>
        <v>28668.286864365236</v>
      </c>
      <c r="Q1559" s="20">
        <f t="shared" si="98"/>
        <v>21330.097135634762</v>
      </c>
      <c r="R1559" s="22">
        <f t="shared" si="99"/>
        <v>0.426615730933119</v>
      </c>
    </row>
    <row r="1560" spans="1:18">
      <c r="A1560" s="18">
        <v>2559</v>
      </c>
      <c r="B1560" s="19" t="s">
        <v>563</v>
      </c>
      <c r="C1560" s="18">
        <v>2025</v>
      </c>
      <c r="D1560" s="18" t="s">
        <v>45</v>
      </c>
      <c r="E1560" s="18" t="s">
        <v>85</v>
      </c>
      <c r="F1560" s="18" t="s">
        <v>94</v>
      </c>
      <c r="G1560" s="18" t="s">
        <v>50</v>
      </c>
      <c r="H1560" s="18" t="s">
        <v>83</v>
      </c>
      <c r="I1560" s="18" t="s">
        <v>62</v>
      </c>
      <c r="J1560" s="18" t="s">
        <v>91</v>
      </c>
      <c r="K1560" s="18">
        <v>12</v>
      </c>
      <c r="L1560" s="20">
        <v>3467.8</v>
      </c>
      <c r="M1560" s="21">
        <v>0</v>
      </c>
      <c r="N1560" s="21">
        <v>0.59516296333144503</v>
      </c>
      <c r="O1560" s="20">
        <f t="shared" si="96"/>
        <v>41613.600000000006</v>
      </c>
      <c r="P1560" s="20">
        <f t="shared" si="97"/>
        <v>24766.873490889426</v>
      </c>
      <c r="Q1560" s="20">
        <f t="shared" si="98"/>
        <v>16846.72650911058</v>
      </c>
      <c r="R1560" s="22">
        <f t="shared" si="99"/>
        <v>0.40483703666855492</v>
      </c>
    </row>
    <row r="1561" spans="1:18">
      <c r="A1561" s="18">
        <v>2560</v>
      </c>
      <c r="B1561" s="19" t="s">
        <v>563</v>
      </c>
      <c r="C1561" s="18">
        <v>2025</v>
      </c>
      <c r="D1561" s="18" t="s">
        <v>45</v>
      </c>
      <c r="E1561" s="18" t="s">
        <v>85</v>
      </c>
      <c r="F1561" s="18" t="s">
        <v>86</v>
      </c>
      <c r="G1561" s="18" t="s">
        <v>44</v>
      </c>
      <c r="H1561" s="18" t="s">
        <v>95</v>
      </c>
      <c r="I1561" s="18" t="s">
        <v>40</v>
      </c>
      <c r="J1561" s="18" t="s">
        <v>102</v>
      </c>
      <c r="K1561" s="18">
        <v>2</v>
      </c>
      <c r="L1561" s="20">
        <v>4497.84</v>
      </c>
      <c r="M1561" s="21">
        <v>0</v>
      </c>
      <c r="N1561" s="21">
        <v>0.68898747853951303</v>
      </c>
      <c r="O1561" s="20">
        <f t="shared" si="96"/>
        <v>8995.68</v>
      </c>
      <c r="P1561" s="20">
        <f t="shared" si="97"/>
        <v>6197.9108809483268</v>
      </c>
      <c r="Q1561" s="20">
        <f t="shared" si="98"/>
        <v>2797.7691190516734</v>
      </c>
      <c r="R1561" s="22">
        <f t="shared" si="99"/>
        <v>0.31101252146048697</v>
      </c>
    </row>
    <row r="1562" spans="1:18">
      <c r="A1562" s="18">
        <v>2561</v>
      </c>
      <c r="B1562" s="19" t="s">
        <v>563</v>
      </c>
      <c r="C1562" s="18">
        <v>2025</v>
      </c>
      <c r="D1562" s="18" t="s">
        <v>45</v>
      </c>
      <c r="E1562" s="18" t="s">
        <v>98</v>
      </c>
      <c r="F1562" s="18" t="s">
        <v>117</v>
      </c>
      <c r="G1562" s="18" t="s">
        <v>50</v>
      </c>
      <c r="H1562" s="18" t="s">
        <v>97</v>
      </c>
      <c r="I1562" s="18" t="s">
        <v>49</v>
      </c>
      <c r="J1562" s="18" t="s">
        <v>102</v>
      </c>
      <c r="K1562" s="18">
        <v>11</v>
      </c>
      <c r="L1562" s="20">
        <v>11515.9</v>
      </c>
      <c r="M1562" s="21">
        <v>0</v>
      </c>
      <c r="N1562" s="21">
        <v>0.55470112266573302</v>
      </c>
      <c r="O1562" s="20">
        <f t="shared" si="96"/>
        <v>126674.9</v>
      </c>
      <c r="P1562" s="20">
        <f t="shared" si="97"/>
        <v>70266.709243569465</v>
      </c>
      <c r="Q1562" s="20">
        <f t="shared" si="98"/>
        <v>56408.190756430529</v>
      </c>
      <c r="R1562" s="22">
        <f t="shared" si="99"/>
        <v>0.44529887733426693</v>
      </c>
    </row>
    <row r="1563" spans="1:18">
      <c r="A1563" s="18">
        <v>2562</v>
      </c>
      <c r="B1563" s="19" t="s">
        <v>563</v>
      </c>
      <c r="C1563" s="18">
        <v>2025</v>
      </c>
      <c r="D1563" s="18" t="s">
        <v>45</v>
      </c>
      <c r="E1563" s="18" t="s">
        <v>79</v>
      </c>
      <c r="F1563" s="18" t="s">
        <v>105</v>
      </c>
      <c r="G1563" s="18" t="s">
        <v>41</v>
      </c>
      <c r="H1563" s="18" t="s">
        <v>101</v>
      </c>
      <c r="I1563" s="18" t="s">
        <v>46</v>
      </c>
      <c r="J1563" s="18" t="s">
        <v>102</v>
      </c>
      <c r="K1563" s="18">
        <v>2</v>
      </c>
      <c r="L1563" s="20">
        <v>52618.62</v>
      </c>
      <c r="M1563" s="21">
        <v>0.1</v>
      </c>
      <c r="N1563" s="21">
        <v>0.74020253139578196</v>
      </c>
      <c r="O1563" s="20">
        <f t="shared" si="96"/>
        <v>94713.516000000003</v>
      </c>
      <c r="P1563" s="20">
        <f t="shared" si="97"/>
        <v>70107.184300594905</v>
      </c>
      <c r="Q1563" s="20">
        <f t="shared" si="98"/>
        <v>24606.331699405098</v>
      </c>
      <c r="R1563" s="22">
        <f t="shared" si="99"/>
        <v>0.25979746860421798</v>
      </c>
    </row>
    <row r="1564" spans="1:18">
      <c r="A1564" s="18">
        <v>2563</v>
      </c>
      <c r="B1564" s="19" t="s">
        <v>564</v>
      </c>
      <c r="C1564" s="18">
        <v>2025</v>
      </c>
      <c r="D1564" s="18" t="s">
        <v>45</v>
      </c>
      <c r="E1564" s="18" t="s">
        <v>98</v>
      </c>
      <c r="F1564" s="18" t="s">
        <v>99</v>
      </c>
      <c r="G1564" s="18" t="s">
        <v>50</v>
      </c>
      <c r="H1564" s="18" t="s">
        <v>83</v>
      </c>
      <c r="I1564" s="18" t="s">
        <v>62</v>
      </c>
      <c r="J1564" s="18" t="s">
        <v>91</v>
      </c>
      <c r="K1564" s="18">
        <v>6</v>
      </c>
      <c r="L1564" s="20">
        <v>3460.71</v>
      </c>
      <c r="M1564" s="21">
        <v>0</v>
      </c>
      <c r="N1564" s="21">
        <v>0.61075732175785902</v>
      </c>
      <c r="O1564" s="20">
        <f t="shared" si="96"/>
        <v>20764.260000000002</v>
      </c>
      <c r="P1564" s="20">
        <f t="shared" si="97"/>
        <v>12681.923825883843</v>
      </c>
      <c r="Q1564" s="20">
        <f t="shared" si="98"/>
        <v>8082.3361741161589</v>
      </c>
      <c r="R1564" s="22">
        <f t="shared" si="99"/>
        <v>0.38924267824214098</v>
      </c>
    </row>
    <row r="1565" spans="1:18">
      <c r="A1565" s="18">
        <v>2564</v>
      </c>
      <c r="B1565" s="19" t="s">
        <v>564</v>
      </c>
      <c r="C1565" s="18">
        <v>2025</v>
      </c>
      <c r="D1565" s="18" t="s">
        <v>45</v>
      </c>
      <c r="E1565" s="18" t="s">
        <v>85</v>
      </c>
      <c r="F1565" s="18" t="s">
        <v>94</v>
      </c>
      <c r="G1565" s="18" t="s">
        <v>41</v>
      </c>
      <c r="H1565" s="18" t="s">
        <v>112</v>
      </c>
      <c r="I1565" s="18" t="s">
        <v>40</v>
      </c>
      <c r="J1565" s="18" t="s">
        <v>91</v>
      </c>
      <c r="K1565" s="18">
        <v>6</v>
      </c>
      <c r="L1565" s="20">
        <v>5910.9</v>
      </c>
      <c r="M1565" s="21">
        <v>0.05</v>
      </c>
      <c r="N1565" s="21">
        <v>0.69012630056380897</v>
      </c>
      <c r="O1565" s="20">
        <f t="shared" si="96"/>
        <v>33692.12999999999</v>
      </c>
      <c r="P1565" s="20">
        <f t="shared" si="97"/>
        <v>23251.825035014917</v>
      </c>
      <c r="Q1565" s="20">
        <f t="shared" si="98"/>
        <v>10440.304964985073</v>
      </c>
      <c r="R1565" s="22">
        <f t="shared" si="99"/>
        <v>0.30987369943619103</v>
      </c>
    </row>
    <row r="1566" spans="1:18">
      <c r="A1566" s="18">
        <v>2565</v>
      </c>
      <c r="B1566" s="19" t="s">
        <v>564</v>
      </c>
      <c r="C1566" s="18">
        <v>2025</v>
      </c>
      <c r="D1566" s="18" t="s">
        <v>45</v>
      </c>
      <c r="E1566" s="18" t="s">
        <v>85</v>
      </c>
      <c r="F1566" s="18" t="s">
        <v>94</v>
      </c>
      <c r="G1566" s="18" t="s">
        <v>41</v>
      </c>
      <c r="H1566" s="18" t="s">
        <v>112</v>
      </c>
      <c r="I1566" s="18" t="s">
        <v>62</v>
      </c>
      <c r="J1566" s="18" t="s">
        <v>102</v>
      </c>
      <c r="K1566" s="18">
        <v>6</v>
      </c>
      <c r="L1566" s="20">
        <v>6269.47</v>
      </c>
      <c r="M1566" s="21">
        <v>0.2</v>
      </c>
      <c r="N1566" s="21">
        <v>0.648061692706702</v>
      </c>
      <c r="O1566" s="20">
        <f t="shared" si="96"/>
        <v>30093.456000000002</v>
      </c>
      <c r="P1566" s="20">
        <f t="shared" si="97"/>
        <v>19502.41603475466</v>
      </c>
      <c r="Q1566" s="20">
        <f t="shared" si="98"/>
        <v>10591.039965245342</v>
      </c>
      <c r="R1566" s="22">
        <f t="shared" si="99"/>
        <v>0.35193830729329795</v>
      </c>
    </row>
    <row r="1567" spans="1:18">
      <c r="A1567" s="18">
        <v>2566</v>
      </c>
      <c r="B1567" s="19" t="s">
        <v>564</v>
      </c>
      <c r="C1567" s="18">
        <v>2025</v>
      </c>
      <c r="D1567" s="18" t="s">
        <v>45</v>
      </c>
      <c r="E1567" s="18" t="s">
        <v>79</v>
      </c>
      <c r="F1567" s="18" t="s">
        <v>105</v>
      </c>
      <c r="G1567" s="18" t="s">
        <v>41</v>
      </c>
      <c r="H1567" s="18" t="s">
        <v>112</v>
      </c>
      <c r="I1567" s="18" t="s">
        <v>43</v>
      </c>
      <c r="J1567" s="18" t="s">
        <v>91</v>
      </c>
      <c r="K1567" s="18">
        <v>5</v>
      </c>
      <c r="L1567" s="20">
        <v>6026.24</v>
      </c>
      <c r="M1567" s="21">
        <v>0</v>
      </c>
      <c r="N1567" s="21">
        <v>0.59907790381353898</v>
      </c>
      <c r="O1567" s="20">
        <f t="shared" si="96"/>
        <v>30131.199999999997</v>
      </c>
      <c r="P1567" s="20">
        <f t="shared" si="97"/>
        <v>18050.936135386502</v>
      </c>
      <c r="Q1567" s="20">
        <f t="shared" si="98"/>
        <v>12080.263864613495</v>
      </c>
      <c r="R1567" s="22">
        <f t="shared" si="99"/>
        <v>0.40092209618646107</v>
      </c>
    </row>
    <row r="1568" spans="1:18">
      <c r="A1568" s="18">
        <v>2567</v>
      </c>
      <c r="B1568" s="19" t="s">
        <v>564</v>
      </c>
      <c r="C1568" s="18">
        <v>2025</v>
      </c>
      <c r="D1568" s="18" t="s">
        <v>45</v>
      </c>
      <c r="E1568" s="18" t="s">
        <v>79</v>
      </c>
      <c r="F1568" s="18" t="s">
        <v>105</v>
      </c>
      <c r="G1568" s="18" t="s">
        <v>50</v>
      </c>
      <c r="H1568" s="18" t="s">
        <v>87</v>
      </c>
      <c r="I1568" s="18" t="s">
        <v>54</v>
      </c>
      <c r="J1568" s="18" t="s">
        <v>82</v>
      </c>
      <c r="K1568" s="18">
        <v>10</v>
      </c>
      <c r="L1568" s="20">
        <v>9959.7999999999993</v>
      </c>
      <c r="M1568" s="21">
        <v>0</v>
      </c>
      <c r="N1568" s="21">
        <v>0.61457450138004699</v>
      </c>
      <c r="O1568" s="20">
        <f t="shared" si="96"/>
        <v>99598</v>
      </c>
      <c r="P1568" s="20">
        <f t="shared" si="97"/>
        <v>61210.391188449918</v>
      </c>
      <c r="Q1568" s="20">
        <f t="shared" si="98"/>
        <v>38387.608811550082</v>
      </c>
      <c r="R1568" s="22">
        <f t="shared" si="99"/>
        <v>0.38542549861995301</v>
      </c>
    </row>
    <row r="1569" spans="1:18">
      <c r="A1569" s="18">
        <v>2568</v>
      </c>
      <c r="B1569" s="19" t="s">
        <v>565</v>
      </c>
      <c r="C1569" s="18">
        <v>2025</v>
      </c>
      <c r="D1569" s="18" t="s">
        <v>45</v>
      </c>
      <c r="E1569" s="18" t="s">
        <v>88</v>
      </c>
      <c r="F1569" s="18" t="s">
        <v>93</v>
      </c>
      <c r="G1569" s="18" t="s">
        <v>50</v>
      </c>
      <c r="H1569" s="18" t="s">
        <v>83</v>
      </c>
      <c r="I1569" s="18" t="s">
        <v>40</v>
      </c>
      <c r="J1569" s="18" t="s">
        <v>102</v>
      </c>
      <c r="K1569" s="18">
        <v>3</v>
      </c>
      <c r="L1569" s="20">
        <v>3532.7</v>
      </c>
      <c r="M1569" s="21">
        <v>0.2</v>
      </c>
      <c r="N1569" s="21">
        <v>0.70616698120271504</v>
      </c>
      <c r="O1569" s="20">
        <f t="shared" si="96"/>
        <v>8478.48</v>
      </c>
      <c r="P1569" s="20">
        <f t="shared" si="97"/>
        <v>5987.2226267875949</v>
      </c>
      <c r="Q1569" s="20">
        <f t="shared" si="98"/>
        <v>2491.2573732124047</v>
      </c>
      <c r="R1569" s="22">
        <f t="shared" si="99"/>
        <v>0.29383301879728496</v>
      </c>
    </row>
    <row r="1570" spans="1:18">
      <c r="A1570" s="18">
        <v>2569</v>
      </c>
      <c r="B1570" s="19" t="s">
        <v>565</v>
      </c>
      <c r="C1570" s="18">
        <v>2025</v>
      </c>
      <c r="D1570" s="18" t="s">
        <v>45</v>
      </c>
      <c r="E1570" s="18" t="s">
        <v>85</v>
      </c>
      <c r="F1570" s="18" t="s">
        <v>86</v>
      </c>
      <c r="G1570" s="18" t="s">
        <v>44</v>
      </c>
      <c r="H1570" s="18" t="s">
        <v>114</v>
      </c>
      <c r="I1570" s="18" t="s">
        <v>52</v>
      </c>
      <c r="J1570" s="18" t="s">
        <v>102</v>
      </c>
      <c r="K1570" s="18">
        <v>10</v>
      </c>
      <c r="L1570" s="20">
        <v>8899.36</v>
      </c>
      <c r="M1570" s="21">
        <v>0.15</v>
      </c>
      <c r="N1570" s="21">
        <v>0.68074046332289395</v>
      </c>
      <c r="O1570" s="20">
        <f t="shared" si="96"/>
        <v>75644.56</v>
      </c>
      <c r="P1570" s="20">
        <f t="shared" si="97"/>
        <v>51494.312822256448</v>
      </c>
      <c r="Q1570" s="20">
        <f t="shared" si="98"/>
        <v>24150.247177743549</v>
      </c>
      <c r="R1570" s="22">
        <f t="shared" si="99"/>
        <v>0.31925953667710605</v>
      </c>
    </row>
    <row r="1571" spans="1:18">
      <c r="A1571" s="18">
        <v>2570</v>
      </c>
      <c r="B1571" s="19" t="s">
        <v>565</v>
      </c>
      <c r="C1571" s="18">
        <v>2025</v>
      </c>
      <c r="D1571" s="18" t="s">
        <v>45</v>
      </c>
      <c r="E1571" s="18" t="s">
        <v>79</v>
      </c>
      <c r="F1571" s="18" t="s">
        <v>105</v>
      </c>
      <c r="G1571" s="18" t="s">
        <v>41</v>
      </c>
      <c r="H1571" s="18" t="s">
        <v>112</v>
      </c>
      <c r="I1571" s="18" t="s">
        <v>46</v>
      </c>
      <c r="J1571" s="18" t="s">
        <v>91</v>
      </c>
      <c r="K1571" s="18">
        <v>5</v>
      </c>
      <c r="L1571" s="20">
        <v>6212.13</v>
      </c>
      <c r="M1571" s="21">
        <v>0</v>
      </c>
      <c r="N1571" s="21">
        <v>0.60805733144450202</v>
      </c>
      <c r="O1571" s="20">
        <f t="shared" si="96"/>
        <v>31060.65</v>
      </c>
      <c r="P1571" s="20">
        <f t="shared" si="97"/>
        <v>18886.655951931672</v>
      </c>
      <c r="Q1571" s="20">
        <f t="shared" si="98"/>
        <v>12173.994048068329</v>
      </c>
      <c r="R1571" s="22">
        <f t="shared" si="99"/>
        <v>0.39194266855549798</v>
      </c>
    </row>
    <row r="1572" spans="1:18">
      <c r="A1572" s="18">
        <v>2571</v>
      </c>
      <c r="B1572" s="19" t="s">
        <v>565</v>
      </c>
      <c r="C1572" s="18">
        <v>2025</v>
      </c>
      <c r="D1572" s="18" t="s">
        <v>45</v>
      </c>
      <c r="E1572" s="18" t="s">
        <v>98</v>
      </c>
      <c r="F1572" s="18" t="s">
        <v>109</v>
      </c>
      <c r="G1572" s="18" t="s">
        <v>41</v>
      </c>
      <c r="H1572" s="18" t="s">
        <v>101</v>
      </c>
      <c r="I1572" s="18" t="s">
        <v>43</v>
      </c>
      <c r="J1572" s="18" t="s">
        <v>82</v>
      </c>
      <c r="K1572" s="18">
        <v>8</v>
      </c>
      <c r="L1572" s="20">
        <v>54924.36</v>
      </c>
      <c r="M1572" s="21">
        <v>0</v>
      </c>
      <c r="N1572" s="21">
        <v>0.62746073570212701</v>
      </c>
      <c r="O1572" s="20">
        <f t="shared" si="96"/>
        <v>439394.88</v>
      </c>
      <c r="P1572" s="20">
        <f t="shared" si="97"/>
        <v>275703.0346685478</v>
      </c>
      <c r="Q1572" s="20">
        <f t="shared" si="98"/>
        <v>163691.8453314522</v>
      </c>
      <c r="R1572" s="22">
        <f t="shared" si="99"/>
        <v>0.37253926429787304</v>
      </c>
    </row>
    <row r="1573" spans="1:18">
      <c r="A1573" s="18">
        <v>2572</v>
      </c>
      <c r="B1573" s="19" t="s">
        <v>565</v>
      </c>
      <c r="C1573" s="18">
        <v>2025</v>
      </c>
      <c r="D1573" s="18" t="s">
        <v>45</v>
      </c>
      <c r="E1573" s="18" t="s">
        <v>88</v>
      </c>
      <c r="F1573" s="18" t="s">
        <v>89</v>
      </c>
      <c r="G1573" s="18" t="s">
        <v>41</v>
      </c>
      <c r="H1573" s="18" t="s">
        <v>106</v>
      </c>
      <c r="I1573" s="18" t="s">
        <v>46</v>
      </c>
      <c r="J1573" s="18" t="s">
        <v>82</v>
      </c>
      <c r="K1573" s="18">
        <v>6</v>
      </c>
      <c r="L1573" s="20">
        <v>2591.39</v>
      </c>
      <c r="M1573" s="21">
        <v>0.15</v>
      </c>
      <c r="N1573" s="21">
        <v>0.71910768373809897</v>
      </c>
      <c r="O1573" s="20">
        <f t="shared" si="96"/>
        <v>13216.089</v>
      </c>
      <c r="P1573" s="20">
        <f t="shared" si="97"/>
        <v>9503.7911488665686</v>
      </c>
      <c r="Q1573" s="20">
        <f t="shared" si="98"/>
        <v>3712.2978511334313</v>
      </c>
      <c r="R1573" s="22">
        <f t="shared" si="99"/>
        <v>0.28089231626190103</v>
      </c>
    </row>
    <row r="1574" spans="1:18">
      <c r="A1574" s="18">
        <v>2573</v>
      </c>
      <c r="B1574" s="19" t="s">
        <v>566</v>
      </c>
      <c r="C1574" s="18">
        <v>2025</v>
      </c>
      <c r="D1574" s="18" t="s">
        <v>48</v>
      </c>
      <c r="E1574" s="18" t="s">
        <v>85</v>
      </c>
      <c r="F1574" s="18" t="s">
        <v>94</v>
      </c>
      <c r="G1574" s="18" t="s">
        <v>41</v>
      </c>
      <c r="H1574" s="18" t="s">
        <v>90</v>
      </c>
      <c r="I1574" s="18" t="s">
        <v>46</v>
      </c>
      <c r="J1574" s="18" t="s">
        <v>82</v>
      </c>
      <c r="K1574" s="18">
        <v>3</v>
      </c>
      <c r="L1574" s="20">
        <v>18432.64</v>
      </c>
      <c r="M1574" s="21">
        <v>0.15</v>
      </c>
      <c r="N1574" s="21">
        <v>0.66255415085506197</v>
      </c>
      <c r="O1574" s="20">
        <f t="shared" si="96"/>
        <v>47003.231999999996</v>
      </c>
      <c r="P1574" s="20">
        <f t="shared" si="97"/>
        <v>31142.186465203475</v>
      </c>
      <c r="Q1574" s="20">
        <f t="shared" si="98"/>
        <v>15861.045534796522</v>
      </c>
      <c r="R1574" s="22">
        <f t="shared" si="99"/>
        <v>0.33744584914493803</v>
      </c>
    </row>
    <row r="1575" spans="1:18">
      <c r="A1575" s="18">
        <v>2574</v>
      </c>
      <c r="B1575" s="19" t="s">
        <v>566</v>
      </c>
      <c r="C1575" s="18">
        <v>2025</v>
      </c>
      <c r="D1575" s="18" t="s">
        <v>48</v>
      </c>
      <c r="E1575" s="18" t="s">
        <v>85</v>
      </c>
      <c r="F1575" s="18" t="s">
        <v>121</v>
      </c>
      <c r="G1575" s="18" t="s">
        <v>47</v>
      </c>
      <c r="H1575" s="18" t="s">
        <v>103</v>
      </c>
      <c r="I1575" s="18" t="s">
        <v>56</v>
      </c>
      <c r="J1575" s="18" t="s">
        <v>82</v>
      </c>
      <c r="K1575" s="18">
        <v>12</v>
      </c>
      <c r="L1575" s="20">
        <v>3208.06</v>
      </c>
      <c r="M1575" s="21">
        <v>0.2</v>
      </c>
      <c r="N1575" s="21">
        <v>0.62365765964214803</v>
      </c>
      <c r="O1575" s="20">
        <f t="shared" si="96"/>
        <v>30797.376000000004</v>
      </c>
      <c r="P1575" s="20">
        <f t="shared" si="97"/>
        <v>19207.019439279262</v>
      </c>
      <c r="Q1575" s="20">
        <f t="shared" si="98"/>
        <v>11590.356560720742</v>
      </c>
      <c r="R1575" s="22">
        <f t="shared" si="99"/>
        <v>0.37634234035785191</v>
      </c>
    </row>
    <row r="1576" spans="1:18">
      <c r="A1576" s="18">
        <v>2575</v>
      </c>
      <c r="B1576" s="19" t="s">
        <v>566</v>
      </c>
      <c r="C1576" s="18">
        <v>2025</v>
      </c>
      <c r="D1576" s="18" t="s">
        <v>48</v>
      </c>
      <c r="E1576" s="18" t="s">
        <v>79</v>
      </c>
      <c r="F1576" s="18" t="s">
        <v>105</v>
      </c>
      <c r="G1576" s="18" t="s">
        <v>50</v>
      </c>
      <c r="H1576" s="18" t="s">
        <v>83</v>
      </c>
      <c r="I1576" s="18" t="s">
        <v>52</v>
      </c>
      <c r="J1576" s="18" t="s">
        <v>91</v>
      </c>
      <c r="K1576" s="18">
        <v>9</v>
      </c>
      <c r="L1576" s="20">
        <v>3570.72</v>
      </c>
      <c r="M1576" s="21">
        <v>0</v>
      </c>
      <c r="N1576" s="21">
        <v>0.56303506804591896</v>
      </c>
      <c r="O1576" s="20">
        <f t="shared" si="96"/>
        <v>32136.48</v>
      </c>
      <c r="P1576" s="20">
        <f t="shared" si="97"/>
        <v>18093.965203556312</v>
      </c>
      <c r="Q1576" s="20">
        <f t="shared" si="98"/>
        <v>14042.514796443687</v>
      </c>
      <c r="R1576" s="22">
        <f t="shared" si="99"/>
        <v>0.43696493195408109</v>
      </c>
    </row>
    <row r="1577" spans="1:18">
      <c r="A1577" s="18">
        <v>2576</v>
      </c>
      <c r="B1577" s="19" t="s">
        <v>567</v>
      </c>
      <c r="C1577" s="18">
        <v>2025</v>
      </c>
      <c r="D1577" s="18" t="s">
        <v>48</v>
      </c>
      <c r="E1577" s="18" t="s">
        <v>98</v>
      </c>
      <c r="F1577" s="18" t="s">
        <v>109</v>
      </c>
      <c r="G1577" s="18" t="s">
        <v>50</v>
      </c>
      <c r="H1577" s="18" t="s">
        <v>87</v>
      </c>
      <c r="I1577" s="18" t="s">
        <v>49</v>
      </c>
      <c r="J1577" s="18" t="s">
        <v>82</v>
      </c>
      <c r="K1577" s="18">
        <v>2</v>
      </c>
      <c r="L1577" s="20">
        <v>9047.9</v>
      </c>
      <c r="M1577" s="21">
        <v>0</v>
      </c>
      <c r="N1577" s="21">
        <v>0.66408412484346402</v>
      </c>
      <c r="O1577" s="20">
        <f t="shared" si="96"/>
        <v>18095.8</v>
      </c>
      <c r="P1577" s="20">
        <f t="shared" si="97"/>
        <v>12017.133506342356</v>
      </c>
      <c r="Q1577" s="20">
        <f t="shared" si="98"/>
        <v>6078.6664936576435</v>
      </c>
      <c r="R1577" s="22">
        <f t="shared" si="99"/>
        <v>0.33591587515653598</v>
      </c>
    </row>
    <row r="1578" spans="1:18">
      <c r="A1578" s="18">
        <v>2577</v>
      </c>
      <c r="B1578" s="19" t="s">
        <v>567</v>
      </c>
      <c r="C1578" s="18">
        <v>2025</v>
      </c>
      <c r="D1578" s="18" t="s">
        <v>48</v>
      </c>
      <c r="E1578" s="18" t="s">
        <v>88</v>
      </c>
      <c r="F1578" s="18" t="s">
        <v>89</v>
      </c>
      <c r="G1578" s="18" t="s">
        <v>47</v>
      </c>
      <c r="H1578" s="18" t="s">
        <v>103</v>
      </c>
      <c r="I1578" s="18" t="s">
        <v>52</v>
      </c>
      <c r="J1578" s="18" t="s">
        <v>91</v>
      </c>
      <c r="K1578" s="18">
        <v>2</v>
      </c>
      <c r="L1578" s="20">
        <v>3350.68</v>
      </c>
      <c r="M1578" s="21">
        <v>0.2</v>
      </c>
      <c r="N1578" s="21">
        <v>0.58710203704553898</v>
      </c>
      <c r="O1578" s="20">
        <f t="shared" si="96"/>
        <v>5361.0879999999997</v>
      </c>
      <c r="P1578" s="20">
        <f t="shared" si="97"/>
        <v>3147.5056855803941</v>
      </c>
      <c r="Q1578" s="20">
        <f t="shared" si="98"/>
        <v>2213.5823144196056</v>
      </c>
      <c r="R1578" s="22">
        <f t="shared" si="99"/>
        <v>0.41289796295446107</v>
      </c>
    </row>
    <row r="1579" spans="1:18">
      <c r="A1579" s="18">
        <v>2578</v>
      </c>
      <c r="B1579" s="19" t="s">
        <v>567</v>
      </c>
      <c r="C1579" s="18">
        <v>2025</v>
      </c>
      <c r="D1579" s="18" t="s">
        <v>48</v>
      </c>
      <c r="E1579" s="18" t="s">
        <v>85</v>
      </c>
      <c r="F1579" s="18" t="s">
        <v>86</v>
      </c>
      <c r="G1579" s="18" t="s">
        <v>41</v>
      </c>
      <c r="H1579" s="18" t="s">
        <v>101</v>
      </c>
      <c r="I1579" s="18" t="s">
        <v>49</v>
      </c>
      <c r="J1579" s="18" t="s">
        <v>82</v>
      </c>
      <c r="K1579" s="18">
        <v>5</v>
      </c>
      <c r="L1579" s="20">
        <v>52982.68</v>
      </c>
      <c r="M1579" s="21">
        <v>0.2</v>
      </c>
      <c r="N1579" s="21">
        <v>0.62814195157765396</v>
      </c>
      <c r="O1579" s="20">
        <f t="shared" si="96"/>
        <v>211930.72000000003</v>
      </c>
      <c r="P1579" s="20">
        <f t="shared" si="97"/>
        <v>133122.57606005736</v>
      </c>
      <c r="Q1579" s="20">
        <f t="shared" si="98"/>
        <v>78808.143939942674</v>
      </c>
      <c r="R1579" s="22">
        <f t="shared" si="99"/>
        <v>0.37185804842234604</v>
      </c>
    </row>
    <row r="1580" spans="1:18">
      <c r="A1580" s="18">
        <v>2579</v>
      </c>
      <c r="B1580" s="19" t="s">
        <v>567</v>
      </c>
      <c r="C1580" s="18">
        <v>2025</v>
      </c>
      <c r="D1580" s="18" t="s">
        <v>48</v>
      </c>
      <c r="E1580" s="18" t="s">
        <v>98</v>
      </c>
      <c r="F1580" s="18" t="s">
        <v>117</v>
      </c>
      <c r="G1580" s="18" t="s">
        <v>41</v>
      </c>
      <c r="H1580" s="18" t="s">
        <v>90</v>
      </c>
      <c r="I1580" s="18" t="s">
        <v>60</v>
      </c>
      <c r="J1580" s="18" t="s">
        <v>102</v>
      </c>
      <c r="K1580" s="18">
        <v>5</v>
      </c>
      <c r="L1580" s="20">
        <v>18154.03</v>
      </c>
      <c r="M1580" s="21">
        <v>0</v>
      </c>
      <c r="N1580" s="21">
        <v>0.61066882890520202</v>
      </c>
      <c r="O1580" s="20">
        <f t="shared" si="96"/>
        <v>90770.15</v>
      </c>
      <c r="P1580" s="20">
        <f t="shared" si="97"/>
        <v>55430.501200049519</v>
      </c>
      <c r="Q1580" s="20">
        <f t="shared" si="98"/>
        <v>35339.648799950475</v>
      </c>
      <c r="R1580" s="22">
        <f t="shared" si="99"/>
        <v>0.38933117109479798</v>
      </c>
    </row>
    <row r="1581" spans="1:18">
      <c r="A1581" s="18">
        <v>2580</v>
      </c>
      <c r="B1581" s="19" t="s">
        <v>568</v>
      </c>
      <c r="C1581" s="18">
        <v>2025</v>
      </c>
      <c r="D1581" s="18" t="s">
        <v>48</v>
      </c>
      <c r="E1581" s="18" t="s">
        <v>98</v>
      </c>
      <c r="F1581" s="18" t="s">
        <v>117</v>
      </c>
      <c r="G1581" s="18" t="s">
        <v>50</v>
      </c>
      <c r="H1581" s="18" t="s">
        <v>83</v>
      </c>
      <c r="I1581" s="18" t="s">
        <v>49</v>
      </c>
      <c r="J1581" s="18" t="s">
        <v>102</v>
      </c>
      <c r="K1581" s="18">
        <v>8</v>
      </c>
      <c r="L1581" s="20">
        <v>3492.4</v>
      </c>
      <c r="M1581" s="21">
        <v>0</v>
      </c>
      <c r="N1581" s="21">
        <v>0.56980940278234804</v>
      </c>
      <c r="O1581" s="20">
        <f t="shared" si="96"/>
        <v>27939.200000000001</v>
      </c>
      <c r="P1581" s="20">
        <f t="shared" si="97"/>
        <v>15920.018866216578</v>
      </c>
      <c r="Q1581" s="20">
        <f t="shared" si="98"/>
        <v>12019.181133783422</v>
      </c>
      <c r="R1581" s="22">
        <f t="shared" si="99"/>
        <v>0.43019059721765196</v>
      </c>
    </row>
    <row r="1582" spans="1:18">
      <c r="A1582" s="18">
        <v>2581</v>
      </c>
      <c r="B1582" s="19" t="s">
        <v>568</v>
      </c>
      <c r="C1582" s="18">
        <v>2025</v>
      </c>
      <c r="D1582" s="18" t="s">
        <v>48</v>
      </c>
      <c r="E1582" s="18" t="s">
        <v>85</v>
      </c>
      <c r="F1582" s="18" t="s">
        <v>94</v>
      </c>
      <c r="G1582" s="18" t="s">
        <v>41</v>
      </c>
      <c r="H1582" s="18" t="s">
        <v>101</v>
      </c>
      <c r="I1582" s="18" t="s">
        <v>46</v>
      </c>
      <c r="J1582" s="18" t="s">
        <v>102</v>
      </c>
      <c r="K1582" s="18">
        <v>3</v>
      </c>
      <c r="L1582" s="20">
        <v>56986.52</v>
      </c>
      <c r="M1582" s="21">
        <v>0</v>
      </c>
      <c r="N1582" s="21">
        <v>0.64553767966238396</v>
      </c>
      <c r="O1582" s="20">
        <f t="shared" si="96"/>
        <v>170959.56</v>
      </c>
      <c r="P1582" s="20">
        <f t="shared" si="97"/>
        <v>110360.83767850211</v>
      </c>
      <c r="Q1582" s="20">
        <f t="shared" si="98"/>
        <v>60598.722321497888</v>
      </c>
      <c r="R1582" s="22">
        <f t="shared" si="99"/>
        <v>0.35446232033761604</v>
      </c>
    </row>
    <row r="1583" spans="1:18">
      <c r="A1583" s="18">
        <v>2582</v>
      </c>
      <c r="B1583" s="19" t="s">
        <v>568</v>
      </c>
      <c r="C1583" s="18">
        <v>2025</v>
      </c>
      <c r="D1583" s="18" t="s">
        <v>48</v>
      </c>
      <c r="E1583" s="18" t="s">
        <v>79</v>
      </c>
      <c r="F1583" s="18" t="s">
        <v>80</v>
      </c>
      <c r="G1583" s="18" t="s">
        <v>44</v>
      </c>
      <c r="H1583" s="18" t="s">
        <v>119</v>
      </c>
      <c r="I1583" s="18" t="s">
        <v>56</v>
      </c>
      <c r="J1583" s="18" t="s">
        <v>102</v>
      </c>
      <c r="K1583" s="18">
        <v>6</v>
      </c>
      <c r="L1583" s="20">
        <v>7306.33</v>
      </c>
      <c r="M1583" s="21">
        <v>0.05</v>
      </c>
      <c r="N1583" s="21">
        <v>0.63127829292367899</v>
      </c>
      <c r="O1583" s="20">
        <f t="shared" si="96"/>
        <v>41646.080999999991</v>
      </c>
      <c r="P1583" s="20">
        <f t="shared" si="97"/>
        <v>26290.266920641257</v>
      </c>
      <c r="Q1583" s="20">
        <f t="shared" si="98"/>
        <v>15355.814079358734</v>
      </c>
      <c r="R1583" s="22">
        <f t="shared" si="99"/>
        <v>0.36872170707632096</v>
      </c>
    </row>
    <row r="1584" spans="1:18">
      <c r="A1584" s="18">
        <v>2583</v>
      </c>
      <c r="B1584" s="19" t="s">
        <v>569</v>
      </c>
      <c r="C1584" s="18">
        <v>2025</v>
      </c>
      <c r="D1584" s="18" t="s">
        <v>48</v>
      </c>
      <c r="E1584" s="18" t="s">
        <v>79</v>
      </c>
      <c r="F1584" s="18" t="s">
        <v>105</v>
      </c>
      <c r="G1584" s="18" t="s">
        <v>50</v>
      </c>
      <c r="H1584" s="18" t="s">
        <v>83</v>
      </c>
      <c r="I1584" s="18" t="s">
        <v>49</v>
      </c>
      <c r="J1584" s="18" t="s">
        <v>102</v>
      </c>
      <c r="K1584" s="18">
        <v>12</v>
      </c>
      <c r="L1584" s="20">
        <v>3650.77</v>
      </c>
      <c r="M1584" s="21">
        <v>0.1</v>
      </c>
      <c r="N1584" s="21">
        <v>0.63996566773420105</v>
      </c>
      <c r="O1584" s="20">
        <f t="shared" si="96"/>
        <v>39428.315999999999</v>
      </c>
      <c r="P1584" s="20">
        <f t="shared" si="97"/>
        <v>25232.768576575083</v>
      </c>
      <c r="Q1584" s="20">
        <f t="shared" si="98"/>
        <v>14195.547423424916</v>
      </c>
      <c r="R1584" s="22">
        <f t="shared" si="99"/>
        <v>0.36003433226579895</v>
      </c>
    </row>
    <row r="1585" spans="1:18">
      <c r="A1585" s="18">
        <v>2584</v>
      </c>
      <c r="B1585" s="19" t="s">
        <v>569</v>
      </c>
      <c r="C1585" s="18">
        <v>2025</v>
      </c>
      <c r="D1585" s="18" t="s">
        <v>48</v>
      </c>
      <c r="E1585" s="18" t="s">
        <v>88</v>
      </c>
      <c r="F1585" s="18" t="s">
        <v>93</v>
      </c>
      <c r="G1585" s="18" t="s">
        <v>44</v>
      </c>
      <c r="H1585" s="18" t="s">
        <v>114</v>
      </c>
      <c r="I1585" s="18" t="s">
        <v>62</v>
      </c>
      <c r="J1585" s="18" t="s">
        <v>102</v>
      </c>
      <c r="K1585" s="18">
        <v>7</v>
      </c>
      <c r="L1585" s="20">
        <v>9131.44</v>
      </c>
      <c r="M1585" s="21">
        <v>0.2</v>
      </c>
      <c r="N1585" s="21">
        <v>0.581457025172324</v>
      </c>
      <c r="O1585" s="20">
        <f t="shared" si="96"/>
        <v>51136.064000000006</v>
      </c>
      <c r="P1585" s="20">
        <f t="shared" si="97"/>
        <v>29733.423652461574</v>
      </c>
      <c r="Q1585" s="20">
        <f t="shared" si="98"/>
        <v>21402.640347538432</v>
      </c>
      <c r="R1585" s="22">
        <f t="shared" si="99"/>
        <v>0.418542974827676</v>
      </c>
    </row>
    <row r="1586" spans="1:18">
      <c r="A1586" s="18">
        <v>2585</v>
      </c>
      <c r="B1586" s="19" t="s">
        <v>569</v>
      </c>
      <c r="C1586" s="18">
        <v>2025</v>
      </c>
      <c r="D1586" s="18" t="s">
        <v>48</v>
      </c>
      <c r="E1586" s="18" t="s">
        <v>98</v>
      </c>
      <c r="F1586" s="18" t="s">
        <v>109</v>
      </c>
      <c r="G1586" s="18" t="s">
        <v>41</v>
      </c>
      <c r="H1586" s="18" t="s">
        <v>112</v>
      </c>
      <c r="I1586" s="18" t="s">
        <v>62</v>
      </c>
      <c r="J1586" s="18" t="s">
        <v>82</v>
      </c>
      <c r="K1586" s="18">
        <v>7</v>
      </c>
      <c r="L1586" s="20">
        <v>5739.8</v>
      </c>
      <c r="M1586" s="21">
        <v>0</v>
      </c>
      <c r="N1586" s="21">
        <v>0.69089487476892797</v>
      </c>
      <c r="O1586" s="20">
        <f t="shared" si="96"/>
        <v>40178.6</v>
      </c>
      <c r="P1586" s="20">
        <f t="shared" si="97"/>
        <v>27759.188815390848</v>
      </c>
      <c r="Q1586" s="20">
        <f t="shared" si="98"/>
        <v>12419.411184609151</v>
      </c>
      <c r="R1586" s="22">
        <f t="shared" si="99"/>
        <v>0.30910512523107203</v>
      </c>
    </row>
    <row r="1587" spans="1:18">
      <c r="A1587" s="18">
        <v>2586</v>
      </c>
      <c r="B1587" s="19" t="s">
        <v>569</v>
      </c>
      <c r="C1587" s="18">
        <v>2025</v>
      </c>
      <c r="D1587" s="18" t="s">
        <v>48</v>
      </c>
      <c r="E1587" s="18" t="s">
        <v>88</v>
      </c>
      <c r="F1587" s="18" t="s">
        <v>93</v>
      </c>
      <c r="G1587" s="18" t="s">
        <v>41</v>
      </c>
      <c r="H1587" s="18" t="s">
        <v>106</v>
      </c>
      <c r="I1587" s="18" t="s">
        <v>52</v>
      </c>
      <c r="J1587" s="18" t="s">
        <v>91</v>
      </c>
      <c r="K1587" s="18">
        <v>5</v>
      </c>
      <c r="L1587" s="20">
        <v>2491.13</v>
      </c>
      <c r="M1587" s="21">
        <v>0.05</v>
      </c>
      <c r="N1587" s="21">
        <v>0.61069937771011096</v>
      </c>
      <c r="O1587" s="20">
        <f t="shared" si="96"/>
        <v>11832.8675</v>
      </c>
      <c r="P1587" s="20">
        <f t="shared" si="97"/>
        <v>7226.3248187761965</v>
      </c>
      <c r="Q1587" s="20">
        <f t="shared" si="98"/>
        <v>4606.5426812238038</v>
      </c>
      <c r="R1587" s="22">
        <f t="shared" si="99"/>
        <v>0.38930062228988904</v>
      </c>
    </row>
    <row r="1588" spans="1:18">
      <c r="A1588" s="18">
        <v>2587</v>
      </c>
      <c r="B1588" s="19" t="s">
        <v>569</v>
      </c>
      <c r="C1588" s="18">
        <v>2025</v>
      </c>
      <c r="D1588" s="18" t="s">
        <v>48</v>
      </c>
      <c r="E1588" s="18" t="s">
        <v>98</v>
      </c>
      <c r="F1588" s="18" t="s">
        <v>109</v>
      </c>
      <c r="G1588" s="18" t="s">
        <v>50</v>
      </c>
      <c r="H1588" s="18" t="s">
        <v>87</v>
      </c>
      <c r="I1588" s="18" t="s">
        <v>58</v>
      </c>
      <c r="J1588" s="18" t="s">
        <v>91</v>
      </c>
      <c r="K1588" s="18">
        <v>12</v>
      </c>
      <c r="L1588" s="20">
        <v>9585.08</v>
      </c>
      <c r="M1588" s="21">
        <v>0.15</v>
      </c>
      <c r="N1588" s="21">
        <v>0.73469079983559804</v>
      </c>
      <c r="O1588" s="20">
        <f t="shared" si="96"/>
        <v>97767.815999999992</v>
      </c>
      <c r="P1588" s="20">
        <f t="shared" si="97"/>
        <v>71829.114935219579</v>
      </c>
      <c r="Q1588" s="20">
        <f t="shared" si="98"/>
        <v>25938.701064780413</v>
      </c>
      <c r="R1588" s="22">
        <f t="shared" si="99"/>
        <v>0.2653092001644019</v>
      </c>
    </row>
    <row r="1589" spans="1:18">
      <c r="A1589" s="18">
        <v>2588</v>
      </c>
      <c r="B1589" s="19" t="s">
        <v>570</v>
      </c>
      <c r="C1589" s="18">
        <v>2025</v>
      </c>
      <c r="D1589" s="18" t="s">
        <v>48</v>
      </c>
      <c r="E1589" s="18" t="s">
        <v>85</v>
      </c>
      <c r="F1589" s="18" t="s">
        <v>121</v>
      </c>
      <c r="G1589" s="18" t="s">
        <v>41</v>
      </c>
      <c r="H1589" s="18" t="s">
        <v>112</v>
      </c>
      <c r="I1589" s="18" t="s">
        <v>54</v>
      </c>
      <c r="J1589" s="18" t="s">
        <v>102</v>
      </c>
      <c r="K1589" s="18">
        <v>9</v>
      </c>
      <c r="L1589" s="20">
        <v>6069.82</v>
      </c>
      <c r="M1589" s="21">
        <v>0</v>
      </c>
      <c r="N1589" s="21">
        <v>0.60031858776378799</v>
      </c>
      <c r="O1589" s="20">
        <f t="shared" si="96"/>
        <v>54628.38</v>
      </c>
      <c r="P1589" s="20">
        <f t="shared" si="97"/>
        <v>32794.431933423562</v>
      </c>
      <c r="Q1589" s="20">
        <f t="shared" si="98"/>
        <v>21833.948066576435</v>
      </c>
      <c r="R1589" s="22">
        <f t="shared" si="99"/>
        <v>0.39968141223621195</v>
      </c>
    </row>
    <row r="1590" spans="1:18">
      <c r="A1590" s="18">
        <v>2589</v>
      </c>
      <c r="B1590" s="19" t="s">
        <v>570</v>
      </c>
      <c r="C1590" s="18">
        <v>2025</v>
      </c>
      <c r="D1590" s="18" t="s">
        <v>48</v>
      </c>
      <c r="E1590" s="18" t="s">
        <v>98</v>
      </c>
      <c r="F1590" s="18" t="s">
        <v>109</v>
      </c>
      <c r="G1590" s="18" t="s">
        <v>47</v>
      </c>
      <c r="H1590" s="18" t="s">
        <v>103</v>
      </c>
      <c r="I1590" s="18" t="s">
        <v>60</v>
      </c>
      <c r="J1590" s="18" t="s">
        <v>82</v>
      </c>
      <c r="K1590" s="18">
        <v>6</v>
      </c>
      <c r="L1590" s="20">
        <v>3336.58</v>
      </c>
      <c r="M1590" s="21">
        <v>0.05</v>
      </c>
      <c r="N1590" s="21">
        <v>0.73144352620752895</v>
      </c>
      <c r="O1590" s="20">
        <f t="shared" si="96"/>
        <v>19018.505999999998</v>
      </c>
      <c r="P1590" s="20">
        <f t="shared" si="97"/>
        <v>13910.963091839045</v>
      </c>
      <c r="Q1590" s="20">
        <f t="shared" si="98"/>
        <v>5107.5429081609527</v>
      </c>
      <c r="R1590" s="22">
        <f t="shared" si="99"/>
        <v>0.26855647379247105</v>
      </c>
    </row>
    <row r="1591" spans="1:18">
      <c r="A1591" s="18">
        <v>2590</v>
      </c>
      <c r="B1591" s="19" t="s">
        <v>570</v>
      </c>
      <c r="C1591" s="18">
        <v>2025</v>
      </c>
      <c r="D1591" s="18" t="s">
        <v>48</v>
      </c>
      <c r="E1591" s="18" t="s">
        <v>88</v>
      </c>
      <c r="F1591" s="18" t="s">
        <v>89</v>
      </c>
      <c r="G1591" s="18" t="s">
        <v>47</v>
      </c>
      <c r="H1591" s="18" t="s">
        <v>81</v>
      </c>
      <c r="I1591" s="18" t="s">
        <v>54</v>
      </c>
      <c r="J1591" s="18" t="s">
        <v>102</v>
      </c>
      <c r="K1591" s="18">
        <v>11</v>
      </c>
      <c r="L1591" s="20">
        <v>792.92</v>
      </c>
      <c r="M1591" s="21">
        <v>0.05</v>
      </c>
      <c r="N1591" s="21">
        <v>0.66955210182644098</v>
      </c>
      <c r="O1591" s="20">
        <f t="shared" si="96"/>
        <v>8286.0139999999992</v>
      </c>
      <c r="P1591" s="20">
        <f t="shared" si="97"/>
        <v>5547.9180894633146</v>
      </c>
      <c r="Q1591" s="20">
        <f t="shared" si="98"/>
        <v>2738.0959105366846</v>
      </c>
      <c r="R1591" s="22">
        <f t="shared" si="99"/>
        <v>0.33044789817355907</v>
      </c>
    </row>
    <row r="1592" spans="1:18">
      <c r="A1592" s="18">
        <v>2591</v>
      </c>
      <c r="B1592" s="19" t="s">
        <v>571</v>
      </c>
      <c r="C1592" s="18">
        <v>2025</v>
      </c>
      <c r="D1592" s="18" t="s">
        <v>48</v>
      </c>
      <c r="E1592" s="18" t="s">
        <v>88</v>
      </c>
      <c r="F1592" s="18" t="s">
        <v>93</v>
      </c>
      <c r="G1592" s="18" t="s">
        <v>47</v>
      </c>
      <c r="H1592" s="18" t="s">
        <v>81</v>
      </c>
      <c r="I1592" s="18" t="s">
        <v>54</v>
      </c>
      <c r="J1592" s="18" t="s">
        <v>102</v>
      </c>
      <c r="K1592" s="18">
        <v>9</v>
      </c>
      <c r="L1592" s="20">
        <v>804.23</v>
      </c>
      <c r="M1592" s="21">
        <v>0</v>
      </c>
      <c r="N1592" s="21">
        <v>0.70960612813039203</v>
      </c>
      <c r="O1592" s="20">
        <f t="shared" si="96"/>
        <v>7238.07</v>
      </c>
      <c r="P1592" s="20">
        <f t="shared" si="97"/>
        <v>5136.1788278367467</v>
      </c>
      <c r="Q1592" s="20">
        <f t="shared" si="98"/>
        <v>2101.891172163253</v>
      </c>
      <c r="R1592" s="22">
        <f t="shared" si="99"/>
        <v>0.29039387186960791</v>
      </c>
    </row>
    <row r="1593" spans="1:18">
      <c r="A1593" s="18">
        <v>2592</v>
      </c>
      <c r="B1593" s="19" t="s">
        <v>571</v>
      </c>
      <c r="C1593" s="18">
        <v>2025</v>
      </c>
      <c r="D1593" s="18" t="s">
        <v>48</v>
      </c>
      <c r="E1593" s="18" t="s">
        <v>88</v>
      </c>
      <c r="F1593" s="18" t="s">
        <v>110</v>
      </c>
      <c r="G1593" s="18" t="s">
        <v>47</v>
      </c>
      <c r="H1593" s="18" t="s">
        <v>103</v>
      </c>
      <c r="I1593" s="18" t="s">
        <v>49</v>
      </c>
      <c r="J1593" s="18" t="s">
        <v>82</v>
      </c>
      <c r="K1593" s="18">
        <v>10</v>
      </c>
      <c r="L1593" s="20">
        <v>3292.78</v>
      </c>
      <c r="M1593" s="21">
        <v>0.05</v>
      </c>
      <c r="N1593" s="21">
        <v>0.58661556674133697</v>
      </c>
      <c r="O1593" s="20">
        <f t="shared" si="96"/>
        <v>31281.41</v>
      </c>
      <c r="P1593" s="20">
        <f t="shared" si="97"/>
        <v>18350.162055618126</v>
      </c>
      <c r="Q1593" s="20">
        <f t="shared" si="98"/>
        <v>12931.247944381874</v>
      </c>
      <c r="R1593" s="22">
        <f t="shared" si="99"/>
        <v>0.41338443325866303</v>
      </c>
    </row>
    <row r="1594" spans="1:18">
      <c r="A1594" s="18">
        <v>2593</v>
      </c>
      <c r="B1594" s="19" t="s">
        <v>571</v>
      </c>
      <c r="C1594" s="18">
        <v>2025</v>
      </c>
      <c r="D1594" s="18" t="s">
        <v>48</v>
      </c>
      <c r="E1594" s="18" t="s">
        <v>85</v>
      </c>
      <c r="F1594" s="18" t="s">
        <v>121</v>
      </c>
      <c r="G1594" s="18" t="s">
        <v>44</v>
      </c>
      <c r="H1594" s="18" t="s">
        <v>114</v>
      </c>
      <c r="I1594" s="18" t="s">
        <v>58</v>
      </c>
      <c r="J1594" s="18" t="s">
        <v>102</v>
      </c>
      <c r="K1594" s="18">
        <v>5</v>
      </c>
      <c r="L1594" s="20">
        <v>9389.24</v>
      </c>
      <c r="M1594" s="21">
        <v>0.1</v>
      </c>
      <c r="N1594" s="21">
        <v>0.65748172304242802</v>
      </c>
      <c r="O1594" s="20">
        <f t="shared" si="96"/>
        <v>42251.58</v>
      </c>
      <c r="P1594" s="20">
        <f t="shared" si="97"/>
        <v>27779.641619664992</v>
      </c>
      <c r="Q1594" s="20">
        <f t="shared" si="98"/>
        <v>14471.93838033501</v>
      </c>
      <c r="R1594" s="22">
        <f t="shared" si="99"/>
        <v>0.34251827695757198</v>
      </c>
    </row>
    <row r="1595" spans="1:18">
      <c r="A1595" s="18">
        <v>2594</v>
      </c>
      <c r="B1595" s="19" t="s">
        <v>572</v>
      </c>
      <c r="C1595" s="18">
        <v>2025</v>
      </c>
      <c r="D1595" s="18" t="s">
        <v>48</v>
      </c>
      <c r="E1595" s="18" t="s">
        <v>98</v>
      </c>
      <c r="F1595" s="18" t="s">
        <v>99</v>
      </c>
      <c r="G1595" s="18" t="s">
        <v>41</v>
      </c>
      <c r="H1595" s="18" t="s">
        <v>106</v>
      </c>
      <c r="I1595" s="18" t="s">
        <v>43</v>
      </c>
      <c r="J1595" s="18" t="s">
        <v>91</v>
      </c>
      <c r="K1595" s="18">
        <v>9</v>
      </c>
      <c r="L1595" s="20">
        <v>2620.9699999999998</v>
      </c>
      <c r="M1595" s="21">
        <v>0</v>
      </c>
      <c r="N1595" s="21">
        <v>0.56330928085584697</v>
      </c>
      <c r="O1595" s="20">
        <f t="shared" si="96"/>
        <v>23588.73</v>
      </c>
      <c r="P1595" s="20">
        <f t="shared" si="97"/>
        <v>13287.750532602742</v>
      </c>
      <c r="Q1595" s="20">
        <f t="shared" si="98"/>
        <v>10300.979467397257</v>
      </c>
      <c r="R1595" s="22">
        <f t="shared" si="99"/>
        <v>0.43669071914415308</v>
      </c>
    </row>
    <row r="1596" spans="1:18">
      <c r="A1596" s="18">
        <v>2595</v>
      </c>
      <c r="B1596" s="19" t="s">
        <v>572</v>
      </c>
      <c r="C1596" s="18">
        <v>2025</v>
      </c>
      <c r="D1596" s="18" t="s">
        <v>48</v>
      </c>
      <c r="E1596" s="18" t="s">
        <v>98</v>
      </c>
      <c r="F1596" s="18" t="s">
        <v>109</v>
      </c>
      <c r="G1596" s="18" t="s">
        <v>50</v>
      </c>
      <c r="H1596" s="18" t="s">
        <v>87</v>
      </c>
      <c r="I1596" s="18" t="s">
        <v>62</v>
      </c>
      <c r="J1596" s="18" t="s">
        <v>91</v>
      </c>
      <c r="K1596" s="18">
        <v>9</v>
      </c>
      <c r="L1596" s="20">
        <v>9564.08</v>
      </c>
      <c r="M1596" s="21">
        <v>0</v>
      </c>
      <c r="N1596" s="21">
        <v>0.60314024098365504</v>
      </c>
      <c r="O1596" s="20">
        <f t="shared" si="96"/>
        <v>86076.72</v>
      </c>
      <c r="P1596" s="20">
        <f t="shared" si="97"/>
        <v>51916.333643882601</v>
      </c>
      <c r="Q1596" s="20">
        <f t="shared" si="98"/>
        <v>34160.3863561174</v>
      </c>
      <c r="R1596" s="22">
        <f t="shared" si="99"/>
        <v>0.39685975901634496</v>
      </c>
    </row>
    <row r="1597" spans="1:18">
      <c r="A1597" s="18">
        <v>2596</v>
      </c>
      <c r="B1597" s="19" t="s">
        <v>572</v>
      </c>
      <c r="C1597" s="18">
        <v>2025</v>
      </c>
      <c r="D1597" s="18" t="s">
        <v>48</v>
      </c>
      <c r="E1597" s="18" t="s">
        <v>85</v>
      </c>
      <c r="F1597" s="18" t="s">
        <v>94</v>
      </c>
      <c r="G1597" s="18" t="s">
        <v>50</v>
      </c>
      <c r="H1597" s="18" t="s">
        <v>87</v>
      </c>
      <c r="I1597" s="18" t="s">
        <v>43</v>
      </c>
      <c r="J1597" s="18" t="s">
        <v>91</v>
      </c>
      <c r="K1597" s="18">
        <v>7</v>
      </c>
      <c r="L1597" s="20">
        <v>9392.5400000000009</v>
      </c>
      <c r="M1597" s="21">
        <v>0</v>
      </c>
      <c r="N1597" s="21">
        <v>0.57794547256992002</v>
      </c>
      <c r="O1597" s="20">
        <f t="shared" si="96"/>
        <v>65747.78</v>
      </c>
      <c r="P1597" s="20">
        <f t="shared" si="97"/>
        <v>37998.631782523138</v>
      </c>
      <c r="Q1597" s="20">
        <f t="shared" si="98"/>
        <v>27749.148217476861</v>
      </c>
      <c r="R1597" s="22">
        <f t="shared" si="99"/>
        <v>0.42205452743007993</v>
      </c>
    </row>
    <row r="1598" spans="1:18">
      <c r="A1598" s="18">
        <v>2597</v>
      </c>
      <c r="B1598" s="19" t="s">
        <v>573</v>
      </c>
      <c r="C1598" s="18">
        <v>2025</v>
      </c>
      <c r="D1598" s="18" t="s">
        <v>48</v>
      </c>
      <c r="E1598" s="18" t="s">
        <v>98</v>
      </c>
      <c r="F1598" s="18" t="s">
        <v>117</v>
      </c>
      <c r="G1598" s="18" t="s">
        <v>41</v>
      </c>
      <c r="H1598" s="18" t="s">
        <v>90</v>
      </c>
      <c r="I1598" s="18" t="s">
        <v>52</v>
      </c>
      <c r="J1598" s="18" t="s">
        <v>82</v>
      </c>
      <c r="K1598" s="18">
        <v>9</v>
      </c>
      <c r="L1598" s="20">
        <v>18063.400000000001</v>
      </c>
      <c r="M1598" s="21">
        <v>0</v>
      </c>
      <c r="N1598" s="21">
        <v>0.70677412762625602</v>
      </c>
      <c r="O1598" s="20">
        <f t="shared" si="96"/>
        <v>162570.6</v>
      </c>
      <c r="P1598" s="20">
        <f t="shared" si="97"/>
        <v>114900.69399267703</v>
      </c>
      <c r="Q1598" s="20">
        <f t="shared" si="98"/>
        <v>47669.906007322978</v>
      </c>
      <c r="R1598" s="22">
        <f t="shared" si="99"/>
        <v>0.29322587237374392</v>
      </c>
    </row>
    <row r="1599" spans="1:18">
      <c r="A1599" s="18">
        <v>2598</v>
      </c>
      <c r="B1599" s="19" t="s">
        <v>573</v>
      </c>
      <c r="C1599" s="18">
        <v>2025</v>
      </c>
      <c r="D1599" s="18" t="s">
        <v>48</v>
      </c>
      <c r="E1599" s="18" t="s">
        <v>85</v>
      </c>
      <c r="F1599" s="18" t="s">
        <v>86</v>
      </c>
      <c r="G1599" s="18" t="s">
        <v>41</v>
      </c>
      <c r="H1599" s="18" t="s">
        <v>90</v>
      </c>
      <c r="I1599" s="18" t="s">
        <v>40</v>
      </c>
      <c r="J1599" s="18" t="s">
        <v>82</v>
      </c>
      <c r="K1599" s="18">
        <v>6</v>
      </c>
      <c r="L1599" s="20">
        <v>18858.310000000001</v>
      </c>
      <c r="M1599" s="21">
        <v>0.2</v>
      </c>
      <c r="N1599" s="21">
        <v>0.60543476087478998</v>
      </c>
      <c r="O1599" s="20">
        <f t="shared" si="96"/>
        <v>90519.888000000021</v>
      </c>
      <c r="P1599" s="20">
        <f t="shared" si="97"/>
        <v>54803.886745692784</v>
      </c>
      <c r="Q1599" s="20">
        <f t="shared" si="98"/>
        <v>35716.001254307237</v>
      </c>
      <c r="R1599" s="22">
        <f t="shared" si="99"/>
        <v>0.39456523912521002</v>
      </c>
    </row>
    <row r="1600" spans="1:18">
      <c r="A1600" s="18">
        <v>2599</v>
      </c>
      <c r="B1600" s="19" t="s">
        <v>574</v>
      </c>
      <c r="C1600" s="18">
        <v>2025</v>
      </c>
      <c r="D1600" s="18" t="s">
        <v>48</v>
      </c>
      <c r="E1600" s="18" t="s">
        <v>88</v>
      </c>
      <c r="F1600" s="18" t="s">
        <v>110</v>
      </c>
      <c r="G1600" s="18" t="s">
        <v>44</v>
      </c>
      <c r="H1600" s="18" t="s">
        <v>95</v>
      </c>
      <c r="I1600" s="18" t="s">
        <v>62</v>
      </c>
      <c r="J1600" s="18" t="s">
        <v>102</v>
      </c>
      <c r="K1600" s="18">
        <v>5</v>
      </c>
      <c r="L1600" s="20">
        <v>4692.53</v>
      </c>
      <c r="M1600" s="21">
        <v>0.05</v>
      </c>
      <c r="N1600" s="21">
        <v>0.71815359925681699</v>
      </c>
      <c r="O1600" s="20">
        <f t="shared" si="96"/>
        <v>22289.517499999998</v>
      </c>
      <c r="P1600" s="20">
        <f t="shared" si="97"/>
        <v>16007.297218322808</v>
      </c>
      <c r="Q1600" s="20">
        <f t="shared" si="98"/>
        <v>6282.2202816771896</v>
      </c>
      <c r="R1600" s="22">
        <f t="shared" si="99"/>
        <v>0.28184640074318301</v>
      </c>
    </row>
    <row r="1601" spans="1:18">
      <c r="A1601" s="18">
        <v>2600</v>
      </c>
      <c r="B1601" s="19" t="s">
        <v>574</v>
      </c>
      <c r="C1601" s="18">
        <v>2025</v>
      </c>
      <c r="D1601" s="18" t="s">
        <v>48</v>
      </c>
      <c r="E1601" s="18" t="s">
        <v>88</v>
      </c>
      <c r="F1601" s="18" t="s">
        <v>110</v>
      </c>
      <c r="G1601" s="18" t="s">
        <v>47</v>
      </c>
      <c r="H1601" s="18" t="s">
        <v>81</v>
      </c>
      <c r="I1601" s="18" t="s">
        <v>46</v>
      </c>
      <c r="J1601" s="18" t="s">
        <v>91</v>
      </c>
      <c r="K1601" s="18">
        <v>4</v>
      </c>
      <c r="L1601" s="20">
        <v>803.34</v>
      </c>
      <c r="M1601" s="21">
        <v>0</v>
      </c>
      <c r="N1601" s="21">
        <v>0.74089466357290101</v>
      </c>
      <c r="O1601" s="20">
        <f t="shared" si="96"/>
        <v>3213.36</v>
      </c>
      <c r="P1601" s="20">
        <f t="shared" si="97"/>
        <v>2380.7612761386172</v>
      </c>
      <c r="Q1601" s="20">
        <f t="shared" si="98"/>
        <v>832.59872386138295</v>
      </c>
      <c r="R1601" s="22">
        <f t="shared" si="99"/>
        <v>0.25910533642709904</v>
      </c>
    </row>
    <row r="1602" spans="1:18">
      <c r="A1602" s="18">
        <v>2601</v>
      </c>
      <c r="B1602" s="19" t="s">
        <v>574</v>
      </c>
      <c r="C1602" s="18">
        <v>2025</v>
      </c>
      <c r="D1602" s="18" t="s">
        <v>48</v>
      </c>
      <c r="E1602" s="18" t="s">
        <v>79</v>
      </c>
      <c r="F1602" s="18" t="s">
        <v>80</v>
      </c>
      <c r="G1602" s="18" t="s">
        <v>47</v>
      </c>
      <c r="H1602" s="18" t="s">
        <v>107</v>
      </c>
      <c r="I1602" s="18" t="s">
        <v>43</v>
      </c>
      <c r="J1602" s="18" t="s">
        <v>82</v>
      </c>
      <c r="K1602" s="18">
        <v>4</v>
      </c>
      <c r="L1602" s="20">
        <v>2275.98</v>
      </c>
      <c r="M1602" s="21">
        <v>0</v>
      </c>
      <c r="N1602" s="21">
        <v>0.59840490141437397</v>
      </c>
      <c r="O1602" s="20">
        <f t="shared" ref="O1602:O1665" si="100">K1602*L1602*(1-M1602)</f>
        <v>9103.92</v>
      </c>
      <c r="P1602" s="20">
        <f t="shared" ref="P1602:P1665" si="101">O1602*N1602</f>
        <v>5447.8303500843476</v>
      </c>
      <c r="Q1602" s="20">
        <f t="shared" ref="Q1602:Q1665" si="102">O1602-P1602</f>
        <v>3656.0896499156524</v>
      </c>
      <c r="R1602" s="22">
        <f t="shared" ref="R1602:R1665" si="103">IF(O1602=0,0,Q1602/O1602)</f>
        <v>0.40159509858562603</v>
      </c>
    </row>
    <row r="1603" spans="1:18">
      <c r="A1603" s="18">
        <v>2602</v>
      </c>
      <c r="B1603" s="19" t="s">
        <v>574</v>
      </c>
      <c r="C1603" s="18">
        <v>2025</v>
      </c>
      <c r="D1603" s="18" t="s">
        <v>48</v>
      </c>
      <c r="E1603" s="18" t="s">
        <v>88</v>
      </c>
      <c r="F1603" s="18" t="s">
        <v>110</v>
      </c>
      <c r="G1603" s="18" t="s">
        <v>44</v>
      </c>
      <c r="H1603" s="18" t="s">
        <v>114</v>
      </c>
      <c r="I1603" s="18" t="s">
        <v>43</v>
      </c>
      <c r="J1603" s="18" t="s">
        <v>82</v>
      </c>
      <c r="K1603" s="18">
        <v>4</v>
      </c>
      <c r="L1603" s="20">
        <v>9154.0499999999993</v>
      </c>
      <c r="M1603" s="21">
        <v>0.1</v>
      </c>
      <c r="N1603" s="21">
        <v>0.66592751422657903</v>
      </c>
      <c r="O1603" s="20">
        <f t="shared" si="100"/>
        <v>32954.58</v>
      </c>
      <c r="P1603" s="20">
        <f t="shared" si="101"/>
        <v>21945.361541780938</v>
      </c>
      <c r="Q1603" s="20">
        <f t="shared" si="102"/>
        <v>11009.218458219064</v>
      </c>
      <c r="R1603" s="22">
        <f t="shared" si="103"/>
        <v>0.33407248577342097</v>
      </c>
    </row>
    <row r="1604" spans="1:18">
      <c r="A1604" s="18">
        <v>2603</v>
      </c>
      <c r="B1604" s="19" t="s">
        <v>574</v>
      </c>
      <c r="C1604" s="18">
        <v>2025</v>
      </c>
      <c r="D1604" s="18" t="s">
        <v>48</v>
      </c>
      <c r="E1604" s="18" t="s">
        <v>85</v>
      </c>
      <c r="F1604" s="18" t="s">
        <v>121</v>
      </c>
      <c r="G1604" s="18" t="s">
        <v>44</v>
      </c>
      <c r="H1604" s="18" t="s">
        <v>119</v>
      </c>
      <c r="I1604" s="18" t="s">
        <v>43</v>
      </c>
      <c r="J1604" s="18" t="s">
        <v>82</v>
      </c>
      <c r="K1604" s="18">
        <v>7</v>
      </c>
      <c r="L1604" s="20">
        <v>7148.7</v>
      </c>
      <c r="M1604" s="21">
        <v>0.1</v>
      </c>
      <c r="N1604" s="21">
        <v>0.58007710686201497</v>
      </c>
      <c r="O1604" s="20">
        <f t="shared" si="100"/>
        <v>45036.810000000005</v>
      </c>
      <c r="P1604" s="20">
        <f t="shared" si="101"/>
        <v>26124.822447094266</v>
      </c>
      <c r="Q1604" s="20">
        <f t="shared" si="102"/>
        <v>18911.987552905739</v>
      </c>
      <c r="R1604" s="22">
        <f t="shared" si="103"/>
        <v>0.41992289313798509</v>
      </c>
    </row>
    <row r="1605" spans="1:18">
      <c r="A1605" s="18">
        <v>2604</v>
      </c>
      <c r="B1605" s="19" t="s">
        <v>575</v>
      </c>
      <c r="C1605" s="18">
        <v>2025</v>
      </c>
      <c r="D1605" s="18" t="s">
        <v>48</v>
      </c>
      <c r="E1605" s="18" t="s">
        <v>85</v>
      </c>
      <c r="F1605" s="18" t="s">
        <v>86</v>
      </c>
      <c r="G1605" s="18" t="s">
        <v>47</v>
      </c>
      <c r="H1605" s="18" t="s">
        <v>81</v>
      </c>
      <c r="I1605" s="18" t="s">
        <v>58</v>
      </c>
      <c r="J1605" s="18" t="s">
        <v>91</v>
      </c>
      <c r="K1605" s="18">
        <v>9</v>
      </c>
      <c r="L1605" s="20">
        <v>787.38</v>
      </c>
      <c r="M1605" s="21">
        <v>0</v>
      </c>
      <c r="N1605" s="21">
        <v>0.64980643020206597</v>
      </c>
      <c r="O1605" s="20">
        <f t="shared" si="100"/>
        <v>7086.42</v>
      </c>
      <c r="P1605" s="20">
        <f t="shared" si="101"/>
        <v>4604.8012831125243</v>
      </c>
      <c r="Q1605" s="20">
        <f t="shared" si="102"/>
        <v>2481.6187168874758</v>
      </c>
      <c r="R1605" s="22">
        <f t="shared" si="103"/>
        <v>0.35019356979793403</v>
      </c>
    </row>
    <row r="1606" spans="1:18">
      <c r="A1606" s="18">
        <v>2605</v>
      </c>
      <c r="B1606" s="19" t="s">
        <v>575</v>
      </c>
      <c r="C1606" s="18">
        <v>2025</v>
      </c>
      <c r="D1606" s="18" t="s">
        <v>48</v>
      </c>
      <c r="E1606" s="18" t="s">
        <v>85</v>
      </c>
      <c r="F1606" s="18" t="s">
        <v>121</v>
      </c>
      <c r="G1606" s="18" t="s">
        <v>44</v>
      </c>
      <c r="H1606" s="18" t="s">
        <v>114</v>
      </c>
      <c r="I1606" s="18" t="s">
        <v>46</v>
      </c>
      <c r="J1606" s="18" t="s">
        <v>102</v>
      </c>
      <c r="K1606" s="18">
        <v>2</v>
      </c>
      <c r="L1606" s="20">
        <v>9090.86</v>
      </c>
      <c r="M1606" s="21">
        <v>0.2</v>
      </c>
      <c r="N1606" s="21">
        <v>0.68665568884859096</v>
      </c>
      <c r="O1606" s="20">
        <f t="shared" si="100"/>
        <v>14545.376000000002</v>
      </c>
      <c r="P1606" s="20">
        <f t="shared" si="101"/>
        <v>9987.6651768417632</v>
      </c>
      <c r="Q1606" s="20">
        <f t="shared" si="102"/>
        <v>4557.7108231582388</v>
      </c>
      <c r="R1606" s="22">
        <f t="shared" si="103"/>
        <v>0.31334431115140909</v>
      </c>
    </row>
    <row r="1607" spans="1:18">
      <c r="A1607" s="18">
        <v>2606</v>
      </c>
      <c r="B1607" s="19" t="s">
        <v>575</v>
      </c>
      <c r="C1607" s="18">
        <v>2025</v>
      </c>
      <c r="D1607" s="18" t="s">
        <v>48</v>
      </c>
      <c r="E1607" s="18" t="s">
        <v>88</v>
      </c>
      <c r="F1607" s="18" t="s">
        <v>89</v>
      </c>
      <c r="G1607" s="18" t="s">
        <v>44</v>
      </c>
      <c r="H1607" s="18" t="s">
        <v>119</v>
      </c>
      <c r="I1607" s="18" t="s">
        <v>54</v>
      </c>
      <c r="J1607" s="18" t="s">
        <v>91</v>
      </c>
      <c r="K1607" s="18">
        <v>7</v>
      </c>
      <c r="L1607" s="20">
        <v>6841.9</v>
      </c>
      <c r="M1607" s="21">
        <v>0.2</v>
      </c>
      <c r="N1607" s="21">
        <v>0.60813576265938996</v>
      </c>
      <c r="O1607" s="20">
        <f t="shared" si="100"/>
        <v>38314.639999999999</v>
      </c>
      <c r="P1607" s="20">
        <f t="shared" si="101"/>
        <v>23300.502817419969</v>
      </c>
      <c r="Q1607" s="20">
        <f t="shared" si="102"/>
        <v>15014.137182580031</v>
      </c>
      <c r="R1607" s="22">
        <f t="shared" si="103"/>
        <v>0.39186423734061004</v>
      </c>
    </row>
    <row r="1608" spans="1:18">
      <c r="A1608" s="18">
        <v>2607</v>
      </c>
      <c r="B1608" s="19" t="s">
        <v>575</v>
      </c>
      <c r="C1608" s="18">
        <v>2025</v>
      </c>
      <c r="D1608" s="18" t="s">
        <v>48</v>
      </c>
      <c r="E1608" s="18" t="s">
        <v>88</v>
      </c>
      <c r="F1608" s="18" t="s">
        <v>89</v>
      </c>
      <c r="G1608" s="18" t="s">
        <v>50</v>
      </c>
      <c r="H1608" s="18" t="s">
        <v>83</v>
      </c>
      <c r="I1608" s="18" t="s">
        <v>62</v>
      </c>
      <c r="J1608" s="18" t="s">
        <v>82</v>
      </c>
      <c r="K1608" s="18">
        <v>11</v>
      </c>
      <c r="L1608" s="20">
        <v>3569.15</v>
      </c>
      <c r="M1608" s="21">
        <v>0.1</v>
      </c>
      <c r="N1608" s="21">
        <v>0.69261393368259205</v>
      </c>
      <c r="O1608" s="20">
        <f t="shared" si="100"/>
        <v>35334.584999999999</v>
      </c>
      <c r="P1608" s="20">
        <f t="shared" si="101"/>
        <v>24473.22591189191</v>
      </c>
      <c r="Q1608" s="20">
        <f t="shared" si="102"/>
        <v>10861.359088108089</v>
      </c>
      <c r="R1608" s="22">
        <f t="shared" si="103"/>
        <v>0.307386066317408</v>
      </c>
    </row>
    <row r="1609" spans="1:18">
      <c r="A1609" s="18">
        <v>2608</v>
      </c>
      <c r="B1609" s="19" t="s">
        <v>575</v>
      </c>
      <c r="C1609" s="18">
        <v>2025</v>
      </c>
      <c r="D1609" s="18" t="s">
        <v>48</v>
      </c>
      <c r="E1609" s="18" t="s">
        <v>79</v>
      </c>
      <c r="F1609" s="18" t="s">
        <v>105</v>
      </c>
      <c r="G1609" s="18" t="s">
        <v>47</v>
      </c>
      <c r="H1609" s="18" t="s">
        <v>107</v>
      </c>
      <c r="I1609" s="18" t="s">
        <v>56</v>
      </c>
      <c r="J1609" s="18" t="s">
        <v>82</v>
      </c>
      <c r="K1609" s="18">
        <v>8</v>
      </c>
      <c r="L1609" s="20">
        <v>2185.98</v>
      </c>
      <c r="M1609" s="21">
        <v>0.1</v>
      </c>
      <c r="N1609" s="21">
        <v>0.73183760706206802</v>
      </c>
      <c r="O1609" s="20">
        <f t="shared" si="100"/>
        <v>15739.056</v>
      </c>
      <c r="P1609" s="20">
        <f t="shared" si="101"/>
        <v>11518.433080455885</v>
      </c>
      <c r="Q1609" s="20">
        <f t="shared" si="102"/>
        <v>4220.6229195441156</v>
      </c>
      <c r="R1609" s="22">
        <f t="shared" si="103"/>
        <v>0.26816239293793193</v>
      </c>
    </row>
    <row r="1610" spans="1:18">
      <c r="A1610" s="18">
        <v>2609</v>
      </c>
      <c r="B1610" s="19" t="s">
        <v>576</v>
      </c>
      <c r="C1610" s="18">
        <v>2025</v>
      </c>
      <c r="D1610" s="18" t="s">
        <v>48</v>
      </c>
      <c r="E1610" s="18" t="s">
        <v>85</v>
      </c>
      <c r="F1610" s="18" t="s">
        <v>121</v>
      </c>
      <c r="G1610" s="18" t="s">
        <v>47</v>
      </c>
      <c r="H1610" s="18" t="s">
        <v>81</v>
      </c>
      <c r="I1610" s="18" t="s">
        <v>52</v>
      </c>
      <c r="J1610" s="18" t="s">
        <v>91</v>
      </c>
      <c r="K1610" s="18">
        <v>5</v>
      </c>
      <c r="L1610" s="20">
        <v>798.28</v>
      </c>
      <c r="M1610" s="21">
        <v>0</v>
      </c>
      <c r="N1610" s="21">
        <v>0.593827354689906</v>
      </c>
      <c r="O1610" s="20">
        <f t="shared" si="100"/>
        <v>3991.3999999999996</v>
      </c>
      <c r="P1610" s="20">
        <f t="shared" si="101"/>
        <v>2370.2025035092906</v>
      </c>
      <c r="Q1610" s="20">
        <f t="shared" si="102"/>
        <v>1621.197496490709</v>
      </c>
      <c r="R1610" s="22">
        <f t="shared" si="103"/>
        <v>0.406172645310094</v>
      </c>
    </row>
    <row r="1611" spans="1:18">
      <c r="A1611" s="18">
        <v>2610</v>
      </c>
      <c r="B1611" s="19" t="s">
        <v>576</v>
      </c>
      <c r="C1611" s="18">
        <v>2025</v>
      </c>
      <c r="D1611" s="18" t="s">
        <v>48</v>
      </c>
      <c r="E1611" s="18" t="s">
        <v>88</v>
      </c>
      <c r="F1611" s="18" t="s">
        <v>110</v>
      </c>
      <c r="G1611" s="18" t="s">
        <v>50</v>
      </c>
      <c r="H1611" s="18" t="s">
        <v>97</v>
      </c>
      <c r="I1611" s="18" t="s">
        <v>40</v>
      </c>
      <c r="J1611" s="18" t="s">
        <v>82</v>
      </c>
      <c r="K1611" s="18">
        <v>2</v>
      </c>
      <c r="L1611" s="20">
        <v>12248.53</v>
      </c>
      <c r="M1611" s="21">
        <v>0</v>
      </c>
      <c r="N1611" s="21">
        <v>0.56847535612501199</v>
      </c>
      <c r="O1611" s="20">
        <f t="shared" si="100"/>
        <v>24497.06</v>
      </c>
      <c r="P1611" s="20">
        <f t="shared" si="101"/>
        <v>13925.974907515787</v>
      </c>
      <c r="Q1611" s="20">
        <f t="shared" si="102"/>
        <v>10571.085092484214</v>
      </c>
      <c r="R1611" s="22">
        <f t="shared" si="103"/>
        <v>0.43152464387498801</v>
      </c>
    </row>
    <row r="1612" spans="1:18">
      <c r="A1612" s="18">
        <v>2611</v>
      </c>
      <c r="B1612" s="19" t="s">
        <v>577</v>
      </c>
      <c r="C1612" s="18">
        <v>2025</v>
      </c>
      <c r="D1612" s="18" t="s">
        <v>48</v>
      </c>
      <c r="E1612" s="18" t="s">
        <v>98</v>
      </c>
      <c r="F1612" s="18" t="s">
        <v>117</v>
      </c>
      <c r="G1612" s="18" t="s">
        <v>47</v>
      </c>
      <c r="H1612" s="18" t="s">
        <v>107</v>
      </c>
      <c r="I1612" s="18" t="s">
        <v>46</v>
      </c>
      <c r="J1612" s="18" t="s">
        <v>91</v>
      </c>
      <c r="K1612" s="18">
        <v>3</v>
      </c>
      <c r="L1612" s="20">
        <v>2278.87</v>
      </c>
      <c r="M1612" s="21">
        <v>0.05</v>
      </c>
      <c r="N1612" s="21">
        <v>0.72420174317950403</v>
      </c>
      <c r="O1612" s="20">
        <f t="shared" si="100"/>
        <v>6494.7794999999996</v>
      </c>
      <c r="P1612" s="20">
        <f t="shared" si="101"/>
        <v>4703.5306354665072</v>
      </c>
      <c r="Q1612" s="20">
        <f t="shared" si="102"/>
        <v>1791.2488645334925</v>
      </c>
      <c r="R1612" s="22">
        <f t="shared" si="103"/>
        <v>0.27579825682049597</v>
      </c>
    </row>
    <row r="1613" spans="1:18">
      <c r="A1613" s="18">
        <v>2612</v>
      </c>
      <c r="B1613" s="19" t="s">
        <v>577</v>
      </c>
      <c r="C1613" s="18">
        <v>2025</v>
      </c>
      <c r="D1613" s="18" t="s">
        <v>48</v>
      </c>
      <c r="E1613" s="18" t="s">
        <v>88</v>
      </c>
      <c r="F1613" s="18" t="s">
        <v>110</v>
      </c>
      <c r="G1613" s="18" t="s">
        <v>50</v>
      </c>
      <c r="H1613" s="18" t="s">
        <v>97</v>
      </c>
      <c r="I1613" s="18" t="s">
        <v>46</v>
      </c>
      <c r="J1613" s="18" t="s">
        <v>102</v>
      </c>
      <c r="K1613" s="18">
        <v>2</v>
      </c>
      <c r="L1613" s="20">
        <v>11678.18</v>
      </c>
      <c r="M1613" s="21">
        <v>0</v>
      </c>
      <c r="N1613" s="21">
        <v>0.67418892987392298</v>
      </c>
      <c r="O1613" s="20">
        <f t="shared" si="100"/>
        <v>23356.36</v>
      </c>
      <c r="P1613" s="20">
        <f t="shared" si="101"/>
        <v>15746.599354150099</v>
      </c>
      <c r="Q1613" s="20">
        <f t="shared" si="102"/>
        <v>7609.7606458499013</v>
      </c>
      <c r="R1613" s="22">
        <f t="shared" si="103"/>
        <v>0.32581107012607707</v>
      </c>
    </row>
    <row r="1614" spans="1:18">
      <c r="A1614" s="18">
        <v>2613</v>
      </c>
      <c r="B1614" s="19" t="s">
        <v>578</v>
      </c>
      <c r="C1614" s="18">
        <v>2025</v>
      </c>
      <c r="D1614" s="18" t="s">
        <v>48</v>
      </c>
      <c r="E1614" s="18" t="s">
        <v>98</v>
      </c>
      <c r="F1614" s="18" t="s">
        <v>99</v>
      </c>
      <c r="G1614" s="18" t="s">
        <v>50</v>
      </c>
      <c r="H1614" s="18" t="s">
        <v>97</v>
      </c>
      <c r="I1614" s="18" t="s">
        <v>46</v>
      </c>
      <c r="J1614" s="18" t="s">
        <v>82</v>
      </c>
      <c r="K1614" s="18">
        <v>1</v>
      </c>
      <c r="L1614" s="20">
        <v>12369.27</v>
      </c>
      <c r="M1614" s="21">
        <v>0</v>
      </c>
      <c r="N1614" s="21">
        <v>0.67052686767656999</v>
      </c>
      <c r="O1614" s="20">
        <f t="shared" si="100"/>
        <v>12369.27</v>
      </c>
      <c r="P1614" s="20">
        <f t="shared" si="101"/>
        <v>8293.9278685457666</v>
      </c>
      <c r="Q1614" s="20">
        <f t="shared" si="102"/>
        <v>4075.3421314542338</v>
      </c>
      <c r="R1614" s="22">
        <f t="shared" si="103"/>
        <v>0.32947313232343006</v>
      </c>
    </row>
    <row r="1615" spans="1:18">
      <c r="A1615" s="18">
        <v>2614</v>
      </c>
      <c r="B1615" s="19" t="s">
        <v>578</v>
      </c>
      <c r="C1615" s="18">
        <v>2025</v>
      </c>
      <c r="D1615" s="18" t="s">
        <v>48</v>
      </c>
      <c r="E1615" s="18" t="s">
        <v>79</v>
      </c>
      <c r="F1615" s="18" t="s">
        <v>100</v>
      </c>
      <c r="G1615" s="18" t="s">
        <v>41</v>
      </c>
      <c r="H1615" s="18" t="s">
        <v>106</v>
      </c>
      <c r="I1615" s="18" t="s">
        <v>46</v>
      </c>
      <c r="J1615" s="18" t="s">
        <v>102</v>
      </c>
      <c r="K1615" s="18">
        <v>2</v>
      </c>
      <c r="L1615" s="20">
        <v>2569.7600000000002</v>
      </c>
      <c r="M1615" s="21">
        <v>0.15</v>
      </c>
      <c r="N1615" s="21">
        <v>0.70217205639024205</v>
      </c>
      <c r="O1615" s="20">
        <f t="shared" si="100"/>
        <v>4368.5920000000006</v>
      </c>
      <c r="P1615" s="20">
        <f t="shared" si="101"/>
        <v>3067.5032281699605</v>
      </c>
      <c r="Q1615" s="20">
        <f t="shared" si="102"/>
        <v>1301.0887718300401</v>
      </c>
      <c r="R1615" s="22">
        <f t="shared" si="103"/>
        <v>0.29782794360975801</v>
      </c>
    </row>
    <row r="1616" spans="1:18">
      <c r="A1616" s="18">
        <v>2615</v>
      </c>
      <c r="B1616" s="19" t="s">
        <v>578</v>
      </c>
      <c r="C1616" s="18">
        <v>2025</v>
      </c>
      <c r="D1616" s="18" t="s">
        <v>48</v>
      </c>
      <c r="E1616" s="18" t="s">
        <v>88</v>
      </c>
      <c r="F1616" s="18" t="s">
        <v>110</v>
      </c>
      <c r="G1616" s="18" t="s">
        <v>44</v>
      </c>
      <c r="H1616" s="18" t="s">
        <v>119</v>
      </c>
      <c r="I1616" s="18" t="s">
        <v>40</v>
      </c>
      <c r="J1616" s="18" t="s">
        <v>91</v>
      </c>
      <c r="K1616" s="18">
        <v>3</v>
      </c>
      <c r="L1616" s="20">
        <v>7186.44</v>
      </c>
      <c r="M1616" s="21">
        <v>0.15</v>
      </c>
      <c r="N1616" s="21">
        <v>0.71266115310895095</v>
      </c>
      <c r="O1616" s="20">
        <f t="shared" si="100"/>
        <v>18325.421999999999</v>
      </c>
      <c r="P1616" s="20">
        <f t="shared" si="101"/>
        <v>13059.816373728137</v>
      </c>
      <c r="Q1616" s="20">
        <f t="shared" si="102"/>
        <v>5265.6056262718612</v>
      </c>
      <c r="R1616" s="22">
        <f t="shared" si="103"/>
        <v>0.28733884689104905</v>
      </c>
    </row>
    <row r="1617" spans="1:18">
      <c r="A1617" s="18">
        <v>2616</v>
      </c>
      <c r="B1617" s="19" t="s">
        <v>579</v>
      </c>
      <c r="C1617" s="18">
        <v>2025</v>
      </c>
      <c r="D1617" s="18" t="s">
        <v>48</v>
      </c>
      <c r="E1617" s="18" t="s">
        <v>85</v>
      </c>
      <c r="F1617" s="18" t="s">
        <v>86</v>
      </c>
      <c r="G1617" s="18" t="s">
        <v>44</v>
      </c>
      <c r="H1617" s="18" t="s">
        <v>119</v>
      </c>
      <c r="I1617" s="18" t="s">
        <v>58</v>
      </c>
      <c r="J1617" s="18" t="s">
        <v>82</v>
      </c>
      <c r="K1617" s="18">
        <v>3</v>
      </c>
      <c r="L1617" s="20">
        <v>6819.35</v>
      </c>
      <c r="M1617" s="21">
        <v>0.15</v>
      </c>
      <c r="N1617" s="21">
        <v>0.716855983983265</v>
      </c>
      <c r="O1617" s="20">
        <f t="shared" si="100"/>
        <v>17389.342500000002</v>
      </c>
      <c r="P1617" s="20">
        <f t="shared" si="101"/>
        <v>12465.65422865951</v>
      </c>
      <c r="Q1617" s="20">
        <f t="shared" si="102"/>
        <v>4923.6882713404921</v>
      </c>
      <c r="R1617" s="22">
        <f t="shared" si="103"/>
        <v>0.28314401601673506</v>
      </c>
    </row>
    <row r="1618" spans="1:18">
      <c r="A1618" s="18">
        <v>2617</v>
      </c>
      <c r="B1618" s="19" t="s">
        <v>579</v>
      </c>
      <c r="C1618" s="18">
        <v>2025</v>
      </c>
      <c r="D1618" s="18" t="s">
        <v>48</v>
      </c>
      <c r="E1618" s="18" t="s">
        <v>98</v>
      </c>
      <c r="F1618" s="18" t="s">
        <v>109</v>
      </c>
      <c r="G1618" s="18" t="s">
        <v>44</v>
      </c>
      <c r="H1618" s="18" t="s">
        <v>114</v>
      </c>
      <c r="I1618" s="18" t="s">
        <v>46</v>
      </c>
      <c r="J1618" s="18" t="s">
        <v>102</v>
      </c>
      <c r="K1618" s="18">
        <v>2</v>
      </c>
      <c r="L1618" s="20">
        <v>9192.09</v>
      </c>
      <c r="M1618" s="21">
        <v>0</v>
      </c>
      <c r="N1618" s="21">
        <v>0.67802722395362103</v>
      </c>
      <c r="O1618" s="20">
        <f t="shared" si="100"/>
        <v>18384.18</v>
      </c>
      <c r="P1618" s="20">
        <f t="shared" si="101"/>
        <v>12464.974530063681</v>
      </c>
      <c r="Q1618" s="20">
        <f t="shared" si="102"/>
        <v>5919.2054699363198</v>
      </c>
      <c r="R1618" s="22">
        <f t="shared" si="103"/>
        <v>0.32197277604637897</v>
      </c>
    </row>
    <row r="1619" spans="1:18">
      <c r="A1619" s="18">
        <v>2618</v>
      </c>
      <c r="B1619" s="19" t="s">
        <v>580</v>
      </c>
      <c r="C1619" s="18">
        <v>2025</v>
      </c>
      <c r="D1619" s="18" t="s">
        <v>48</v>
      </c>
      <c r="E1619" s="18" t="s">
        <v>79</v>
      </c>
      <c r="F1619" s="18" t="s">
        <v>105</v>
      </c>
      <c r="G1619" s="18" t="s">
        <v>44</v>
      </c>
      <c r="H1619" s="18" t="s">
        <v>119</v>
      </c>
      <c r="I1619" s="18" t="s">
        <v>52</v>
      </c>
      <c r="J1619" s="18" t="s">
        <v>91</v>
      </c>
      <c r="K1619" s="18">
        <v>9</v>
      </c>
      <c r="L1619" s="20">
        <v>7209.19</v>
      </c>
      <c r="M1619" s="21">
        <v>0.2</v>
      </c>
      <c r="N1619" s="21">
        <v>0.700851707749094</v>
      </c>
      <c r="O1619" s="20">
        <f t="shared" si="100"/>
        <v>51906.168000000005</v>
      </c>
      <c r="P1619" s="20">
        <f t="shared" si="101"/>
        <v>36378.526485511378</v>
      </c>
      <c r="Q1619" s="20">
        <f t="shared" si="102"/>
        <v>15527.641514488627</v>
      </c>
      <c r="R1619" s="22">
        <f t="shared" si="103"/>
        <v>0.299148292250906</v>
      </c>
    </row>
    <row r="1620" spans="1:18">
      <c r="A1620" s="18">
        <v>2619</v>
      </c>
      <c r="B1620" s="19" t="s">
        <v>580</v>
      </c>
      <c r="C1620" s="18">
        <v>2025</v>
      </c>
      <c r="D1620" s="18" t="s">
        <v>48</v>
      </c>
      <c r="E1620" s="18" t="s">
        <v>85</v>
      </c>
      <c r="F1620" s="18" t="s">
        <v>94</v>
      </c>
      <c r="G1620" s="18" t="s">
        <v>50</v>
      </c>
      <c r="H1620" s="18" t="s">
        <v>87</v>
      </c>
      <c r="I1620" s="18" t="s">
        <v>60</v>
      </c>
      <c r="J1620" s="18" t="s">
        <v>91</v>
      </c>
      <c r="K1620" s="18">
        <v>10</v>
      </c>
      <c r="L1620" s="20">
        <v>9573.6</v>
      </c>
      <c r="M1620" s="21">
        <v>0.2</v>
      </c>
      <c r="N1620" s="21">
        <v>0.63103972338383096</v>
      </c>
      <c r="O1620" s="20">
        <f t="shared" si="100"/>
        <v>76588.800000000003</v>
      </c>
      <c r="P1620" s="20">
        <f t="shared" si="101"/>
        <v>48330.575166299554</v>
      </c>
      <c r="Q1620" s="20">
        <f t="shared" si="102"/>
        <v>28258.224833700449</v>
      </c>
      <c r="R1620" s="22">
        <f t="shared" si="103"/>
        <v>0.36896027661616904</v>
      </c>
    </row>
    <row r="1621" spans="1:18">
      <c r="A1621" s="18">
        <v>2620</v>
      </c>
      <c r="B1621" s="19" t="s">
        <v>581</v>
      </c>
      <c r="C1621" s="18">
        <v>2025</v>
      </c>
      <c r="D1621" s="18" t="s">
        <v>48</v>
      </c>
      <c r="E1621" s="18" t="s">
        <v>85</v>
      </c>
      <c r="F1621" s="18" t="s">
        <v>86</v>
      </c>
      <c r="G1621" s="18" t="s">
        <v>50</v>
      </c>
      <c r="H1621" s="18" t="s">
        <v>83</v>
      </c>
      <c r="I1621" s="18" t="s">
        <v>40</v>
      </c>
      <c r="J1621" s="18" t="s">
        <v>82</v>
      </c>
      <c r="K1621" s="18">
        <v>2</v>
      </c>
      <c r="L1621" s="20">
        <v>3534.93</v>
      </c>
      <c r="M1621" s="21">
        <v>0.05</v>
      </c>
      <c r="N1621" s="21">
        <v>0.71838920309907495</v>
      </c>
      <c r="O1621" s="20">
        <f t="shared" si="100"/>
        <v>6716.3669999999993</v>
      </c>
      <c r="P1621" s="20">
        <f t="shared" si="101"/>
        <v>4824.9655368509239</v>
      </c>
      <c r="Q1621" s="20">
        <f t="shared" si="102"/>
        <v>1891.4014631490754</v>
      </c>
      <c r="R1621" s="22">
        <f t="shared" si="103"/>
        <v>0.28161079690092511</v>
      </c>
    </row>
    <row r="1622" spans="1:18">
      <c r="A1622" s="18">
        <v>2621</v>
      </c>
      <c r="B1622" s="19" t="s">
        <v>581</v>
      </c>
      <c r="C1622" s="18">
        <v>2025</v>
      </c>
      <c r="D1622" s="18" t="s">
        <v>48</v>
      </c>
      <c r="E1622" s="18" t="s">
        <v>79</v>
      </c>
      <c r="F1622" s="18" t="s">
        <v>80</v>
      </c>
      <c r="G1622" s="18" t="s">
        <v>50</v>
      </c>
      <c r="H1622" s="18" t="s">
        <v>97</v>
      </c>
      <c r="I1622" s="18" t="s">
        <v>56</v>
      </c>
      <c r="J1622" s="18" t="s">
        <v>91</v>
      </c>
      <c r="K1622" s="18">
        <v>6</v>
      </c>
      <c r="L1622" s="20">
        <v>11428.65</v>
      </c>
      <c r="M1622" s="21">
        <v>0.1</v>
      </c>
      <c r="N1622" s="21">
        <v>0.58974056951748</v>
      </c>
      <c r="O1622" s="20">
        <f t="shared" si="100"/>
        <v>61714.71</v>
      </c>
      <c r="P1622" s="20">
        <f t="shared" si="101"/>
        <v>36395.66822300612</v>
      </c>
      <c r="Q1622" s="20">
        <f t="shared" si="102"/>
        <v>25319.041776993879</v>
      </c>
      <c r="R1622" s="22">
        <f t="shared" si="103"/>
        <v>0.41025943048251995</v>
      </c>
    </row>
    <row r="1623" spans="1:18">
      <c r="A1623" s="18">
        <v>2622</v>
      </c>
      <c r="B1623" s="19" t="s">
        <v>581</v>
      </c>
      <c r="C1623" s="18">
        <v>2025</v>
      </c>
      <c r="D1623" s="18" t="s">
        <v>48</v>
      </c>
      <c r="E1623" s="18" t="s">
        <v>79</v>
      </c>
      <c r="F1623" s="18" t="s">
        <v>100</v>
      </c>
      <c r="G1623" s="18" t="s">
        <v>50</v>
      </c>
      <c r="H1623" s="18" t="s">
        <v>87</v>
      </c>
      <c r="I1623" s="18" t="s">
        <v>46</v>
      </c>
      <c r="J1623" s="18" t="s">
        <v>91</v>
      </c>
      <c r="K1623" s="18">
        <v>10</v>
      </c>
      <c r="L1623" s="20">
        <v>9776</v>
      </c>
      <c r="M1623" s="21">
        <v>0.2</v>
      </c>
      <c r="N1623" s="21">
        <v>0.57796902306239495</v>
      </c>
      <c r="O1623" s="20">
        <f t="shared" si="100"/>
        <v>78208</v>
      </c>
      <c r="P1623" s="20">
        <f t="shared" si="101"/>
        <v>45201.801355663782</v>
      </c>
      <c r="Q1623" s="20">
        <f t="shared" si="102"/>
        <v>33006.198644336218</v>
      </c>
      <c r="R1623" s="22">
        <f t="shared" si="103"/>
        <v>0.42203097693760511</v>
      </c>
    </row>
    <row r="1624" spans="1:18">
      <c r="A1624" s="18">
        <v>2623</v>
      </c>
      <c r="B1624" s="19" t="s">
        <v>581</v>
      </c>
      <c r="C1624" s="18">
        <v>2025</v>
      </c>
      <c r="D1624" s="18" t="s">
        <v>48</v>
      </c>
      <c r="E1624" s="18" t="s">
        <v>98</v>
      </c>
      <c r="F1624" s="18" t="s">
        <v>109</v>
      </c>
      <c r="G1624" s="18" t="s">
        <v>44</v>
      </c>
      <c r="H1624" s="18" t="s">
        <v>119</v>
      </c>
      <c r="I1624" s="18" t="s">
        <v>40</v>
      </c>
      <c r="J1624" s="18" t="s">
        <v>82</v>
      </c>
      <c r="K1624" s="18">
        <v>8</v>
      </c>
      <c r="L1624" s="20">
        <v>6827.04</v>
      </c>
      <c r="M1624" s="21">
        <v>0.1</v>
      </c>
      <c r="N1624" s="21">
        <v>0.64326980965270097</v>
      </c>
      <c r="O1624" s="20">
        <f t="shared" si="100"/>
        <v>49154.688000000002</v>
      </c>
      <c r="P1624" s="20">
        <f t="shared" si="101"/>
        <v>31619.726793297905</v>
      </c>
      <c r="Q1624" s="20">
        <f t="shared" si="102"/>
        <v>17534.961206702097</v>
      </c>
      <c r="R1624" s="22">
        <f t="shared" si="103"/>
        <v>0.35673019034729903</v>
      </c>
    </row>
    <row r="1625" spans="1:18">
      <c r="A1625" s="18">
        <v>2624</v>
      </c>
      <c r="B1625" s="19" t="s">
        <v>582</v>
      </c>
      <c r="C1625" s="18">
        <v>2025</v>
      </c>
      <c r="D1625" s="18" t="s">
        <v>48</v>
      </c>
      <c r="E1625" s="18" t="s">
        <v>98</v>
      </c>
      <c r="F1625" s="18" t="s">
        <v>117</v>
      </c>
      <c r="G1625" s="18" t="s">
        <v>50</v>
      </c>
      <c r="H1625" s="18" t="s">
        <v>83</v>
      </c>
      <c r="I1625" s="18" t="s">
        <v>56</v>
      </c>
      <c r="J1625" s="18" t="s">
        <v>82</v>
      </c>
      <c r="K1625" s="18">
        <v>4</v>
      </c>
      <c r="L1625" s="20">
        <v>3656.7</v>
      </c>
      <c r="M1625" s="21">
        <v>0.2</v>
      </c>
      <c r="N1625" s="21">
        <v>0.73454934522700999</v>
      </c>
      <c r="O1625" s="20">
        <f t="shared" si="100"/>
        <v>11701.44</v>
      </c>
      <c r="P1625" s="20">
        <f t="shared" si="101"/>
        <v>8595.2850902131449</v>
      </c>
      <c r="Q1625" s="20">
        <f t="shared" si="102"/>
        <v>3106.1549097868556</v>
      </c>
      <c r="R1625" s="22">
        <f t="shared" si="103"/>
        <v>0.26545065477298996</v>
      </c>
    </row>
    <row r="1626" spans="1:18">
      <c r="A1626" s="18">
        <v>2625</v>
      </c>
      <c r="B1626" s="19" t="s">
        <v>582</v>
      </c>
      <c r="C1626" s="18">
        <v>2025</v>
      </c>
      <c r="D1626" s="18" t="s">
        <v>48</v>
      </c>
      <c r="E1626" s="18" t="s">
        <v>98</v>
      </c>
      <c r="F1626" s="18" t="s">
        <v>109</v>
      </c>
      <c r="G1626" s="18" t="s">
        <v>41</v>
      </c>
      <c r="H1626" s="18" t="s">
        <v>106</v>
      </c>
      <c r="I1626" s="18" t="s">
        <v>58</v>
      </c>
      <c r="J1626" s="18" t="s">
        <v>91</v>
      </c>
      <c r="K1626" s="18">
        <v>11</v>
      </c>
      <c r="L1626" s="20">
        <v>2593.0300000000002</v>
      </c>
      <c r="M1626" s="21">
        <v>0</v>
      </c>
      <c r="N1626" s="21">
        <v>0.66964729323081795</v>
      </c>
      <c r="O1626" s="20">
        <f t="shared" si="100"/>
        <v>28523.33</v>
      </c>
      <c r="P1626" s="20">
        <f t="shared" si="101"/>
        <v>19100.570728429389</v>
      </c>
      <c r="Q1626" s="20">
        <f t="shared" si="102"/>
        <v>9422.7592715706123</v>
      </c>
      <c r="R1626" s="22">
        <f t="shared" si="103"/>
        <v>0.33035270676918199</v>
      </c>
    </row>
    <row r="1627" spans="1:18">
      <c r="A1627" s="18">
        <v>2626</v>
      </c>
      <c r="B1627" s="19" t="s">
        <v>582</v>
      </c>
      <c r="C1627" s="18">
        <v>2025</v>
      </c>
      <c r="D1627" s="18" t="s">
        <v>48</v>
      </c>
      <c r="E1627" s="18" t="s">
        <v>98</v>
      </c>
      <c r="F1627" s="18" t="s">
        <v>99</v>
      </c>
      <c r="G1627" s="18" t="s">
        <v>50</v>
      </c>
      <c r="H1627" s="18" t="s">
        <v>83</v>
      </c>
      <c r="I1627" s="18" t="s">
        <v>58</v>
      </c>
      <c r="J1627" s="18" t="s">
        <v>82</v>
      </c>
      <c r="K1627" s="18">
        <v>6</v>
      </c>
      <c r="L1627" s="20">
        <v>3441.01</v>
      </c>
      <c r="M1627" s="21">
        <v>0.05</v>
      </c>
      <c r="N1627" s="21">
        <v>0.73439705745386696</v>
      </c>
      <c r="O1627" s="20">
        <f t="shared" si="100"/>
        <v>19613.757000000001</v>
      </c>
      <c r="P1627" s="20">
        <f t="shared" si="101"/>
        <v>14404.285426415187</v>
      </c>
      <c r="Q1627" s="20">
        <f t="shared" si="102"/>
        <v>5209.4715735848149</v>
      </c>
      <c r="R1627" s="22">
        <f t="shared" si="103"/>
        <v>0.26560294254613304</v>
      </c>
    </row>
    <row r="1628" spans="1:18">
      <c r="A1628" s="18">
        <v>2627</v>
      </c>
      <c r="B1628" s="19" t="s">
        <v>582</v>
      </c>
      <c r="C1628" s="18">
        <v>2025</v>
      </c>
      <c r="D1628" s="18" t="s">
        <v>48</v>
      </c>
      <c r="E1628" s="18" t="s">
        <v>88</v>
      </c>
      <c r="F1628" s="18" t="s">
        <v>110</v>
      </c>
      <c r="G1628" s="18" t="s">
        <v>41</v>
      </c>
      <c r="H1628" s="18" t="s">
        <v>101</v>
      </c>
      <c r="I1628" s="18" t="s">
        <v>60</v>
      </c>
      <c r="J1628" s="18" t="s">
        <v>91</v>
      </c>
      <c r="K1628" s="18">
        <v>1</v>
      </c>
      <c r="L1628" s="20">
        <v>52385.760000000002</v>
      </c>
      <c r="M1628" s="21">
        <v>0</v>
      </c>
      <c r="N1628" s="21">
        <v>0.67613490152521605</v>
      </c>
      <c r="O1628" s="20">
        <f t="shared" si="100"/>
        <v>52385.760000000002</v>
      </c>
      <c r="P1628" s="20">
        <f t="shared" si="101"/>
        <v>35419.840678923603</v>
      </c>
      <c r="Q1628" s="20">
        <f t="shared" si="102"/>
        <v>16965.919321076399</v>
      </c>
      <c r="R1628" s="22">
        <f t="shared" si="103"/>
        <v>0.32386509847478395</v>
      </c>
    </row>
    <row r="1629" spans="1:18">
      <c r="A1629" s="18">
        <v>2628</v>
      </c>
      <c r="B1629" s="19" t="s">
        <v>582</v>
      </c>
      <c r="C1629" s="18">
        <v>2025</v>
      </c>
      <c r="D1629" s="18" t="s">
        <v>48</v>
      </c>
      <c r="E1629" s="18" t="s">
        <v>98</v>
      </c>
      <c r="F1629" s="18" t="s">
        <v>117</v>
      </c>
      <c r="G1629" s="18" t="s">
        <v>50</v>
      </c>
      <c r="H1629" s="18" t="s">
        <v>97</v>
      </c>
      <c r="I1629" s="18" t="s">
        <v>54</v>
      </c>
      <c r="J1629" s="18" t="s">
        <v>102</v>
      </c>
      <c r="K1629" s="18">
        <v>8</v>
      </c>
      <c r="L1629" s="20">
        <v>11816.31</v>
      </c>
      <c r="M1629" s="21">
        <v>0.05</v>
      </c>
      <c r="N1629" s="21">
        <v>0.60698543394799198</v>
      </c>
      <c r="O1629" s="20">
        <f t="shared" si="100"/>
        <v>89803.955999999991</v>
      </c>
      <c r="P1629" s="20">
        <f t="shared" si="101"/>
        <v>54509.693202906376</v>
      </c>
      <c r="Q1629" s="20">
        <f t="shared" si="102"/>
        <v>35294.262797093616</v>
      </c>
      <c r="R1629" s="22">
        <f t="shared" si="103"/>
        <v>0.39301456605200796</v>
      </c>
    </row>
    <row r="1630" spans="1:18">
      <c r="A1630" s="18">
        <v>2629</v>
      </c>
      <c r="B1630" s="19" t="s">
        <v>583</v>
      </c>
      <c r="C1630" s="18">
        <v>2025</v>
      </c>
      <c r="D1630" s="18" t="s">
        <v>48</v>
      </c>
      <c r="E1630" s="18" t="s">
        <v>79</v>
      </c>
      <c r="F1630" s="18" t="s">
        <v>105</v>
      </c>
      <c r="G1630" s="18" t="s">
        <v>50</v>
      </c>
      <c r="H1630" s="18" t="s">
        <v>97</v>
      </c>
      <c r="I1630" s="18" t="s">
        <v>60</v>
      </c>
      <c r="J1630" s="18" t="s">
        <v>82</v>
      </c>
      <c r="K1630" s="18">
        <v>11</v>
      </c>
      <c r="L1630" s="20">
        <v>12335.17</v>
      </c>
      <c r="M1630" s="21">
        <v>0.2</v>
      </c>
      <c r="N1630" s="21">
        <v>0.699787464091704</v>
      </c>
      <c r="O1630" s="20">
        <f t="shared" si="100"/>
        <v>108549.496</v>
      </c>
      <c r="P1630" s="20">
        <f t="shared" si="101"/>
        <v>75961.576534272564</v>
      </c>
      <c r="Q1630" s="20">
        <f t="shared" si="102"/>
        <v>32587.919465727435</v>
      </c>
      <c r="R1630" s="22">
        <f t="shared" si="103"/>
        <v>0.300212535908296</v>
      </c>
    </row>
    <row r="1631" spans="1:18">
      <c r="A1631" s="18">
        <v>2630</v>
      </c>
      <c r="B1631" s="19" t="s">
        <v>583</v>
      </c>
      <c r="C1631" s="18">
        <v>2025</v>
      </c>
      <c r="D1631" s="18" t="s">
        <v>48</v>
      </c>
      <c r="E1631" s="18" t="s">
        <v>79</v>
      </c>
      <c r="F1631" s="18" t="s">
        <v>100</v>
      </c>
      <c r="G1631" s="18" t="s">
        <v>50</v>
      </c>
      <c r="H1631" s="18" t="s">
        <v>97</v>
      </c>
      <c r="I1631" s="18" t="s">
        <v>58</v>
      </c>
      <c r="J1631" s="18" t="s">
        <v>102</v>
      </c>
      <c r="K1631" s="18">
        <v>12</v>
      </c>
      <c r="L1631" s="20">
        <v>12162.25</v>
      </c>
      <c r="M1631" s="21">
        <v>0</v>
      </c>
      <c r="N1631" s="21">
        <v>0.57844224834756397</v>
      </c>
      <c r="O1631" s="20">
        <f t="shared" si="100"/>
        <v>145947</v>
      </c>
      <c r="P1631" s="20">
        <f t="shared" si="101"/>
        <v>84421.910819581914</v>
      </c>
      <c r="Q1631" s="20">
        <f t="shared" si="102"/>
        <v>61525.089180418086</v>
      </c>
      <c r="R1631" s="22">
        <f t="shared" si="103"/>
        <v>0.42155775165243609</v>
      </c>
    </row>
    <row r="1632" spans="1:18">
      <c r="A1632" s="18">
        <v>2631</v>
      </c>
      <c r="B1632" s="19" t="s">
        <v>584</v>
      </c>
      <c r="C1632" s="18">
        <v>2025</v>
      </c>
      <c r="D1632" s="18" t="s">
        <v>48</v>
      </c>
      <c r="E1632" s="18" t="s">
        <v>79</v>
      </c>
      <c r="F1632" s="18" t="s">
        <v>80</v>
      </c>
      <c r="G1632" s="18" t="s">
        <v>50</v>
      </c>
      <c r="H1632" s="18" t="s">
        <v>97</v>
      </c>
      <c r="I1632" s="18" t="s">
        <v>56</v>
      </c>
      <c r="J1632" s="18" t="s">
        <v>82</v>
      </c>
      <c r="K1632" s="18">
        <v>1</v>
      </c>
      <c r="L1632" s="20">
        <v>11452.82</v>
      </c>
      <c r="M1632" s="21">
        <v>0</v>
      </c>
      <c r="N1632" s="21">
        <v>0.74071193208238795</v>
      </c>
      <c r="O1632" s="20">
        <f t="shared" si="100"/>
        <v>11452.82</v>
      </c>
      <c r="P1632" s="20">
        <f t="shared" si="101"/>
        <v>8483.2404299918144</v>
      </c>
      <c r="Q1632" s="20">
        <f t="shared" si="102"/>
        <v>2969.5795700081853</v>
      </c>
      <c r="R1632" s="22">
        <f t="shared" si="103"/>
        <v>0.25928806791761205</v>
      </c>
    </row>
    <row r="1633" spans="1:18">
      <c r="A1633" s="18">
        <v>2632</v>
      </c>
      <c r="B1633" s="19" t="s">
        <v>584</v>
      </c>
      <c r="C1633" s="18">
        <v>2025</v>
      </c>
      <c r="D1633" s="18" t="s">
        <v>48</v>
      </c>
      <c r="E1633" s="18" t="s">
        <v>88</v>
      </c>
      <c r="F1633" s="18" t="s">
        <v>89</v>
      </c>
      <c r="G1633" s="18" t="s">
        <v>44</v>
      </c>
      <c r="H1633" s="18" t="s">
        <v>114</v>
      </c>
      <c r="I1633" s="18" t="s">
        <v>46</v>
      </c>
      <c r="J1633" s="18" t="s">
        <v>91</v>
      </c>
      <c r="K1633" s="18">
        <v>9</v>
      </c>
      <c r="L1633" s="20">
        <v>9061.3700000000008</v>
      </c>
      <c r="M1633" s="21">
        <v>0</v>
      </c>
      <c r="N1633" s="21">
        <v>0.550113396333198</v>
      </c>
      <c r="O1633" s="20">
        <f t="shared" si="100"/>
        <v>81552.33</v>
      </c>
      <c r="P1633" s="20">
        <f t="shared" si="101"/>
        <v>44863.029235185757</v>
      </c>
      <c r="Q1633" s="20">
        <f t="shared" si="102"/>
        <v>36689.300764814245</v>
      </c>
      <c r="R1633" s="22">
        <f t="shared" si="103"/>
        <v>0.44988660366680194</v>
      </c>
    </row>
    <row r="1634" spans="1:18">
      <c r="A1634" s="18">
        <v>2633</v>
      </c>
      <c r="B1634" s="19" t="s">
        <v>584</v>
      </c>
      <c r="C1634" s="18">
        <v>2025</v>
      </c>
      <c r="D1634" s="18" t="s">
        <v>48</v>
      </c>
      <c r="E1634" s="18" t="s">
        <v>79</v>
      </c>
      <c r="F1634" s="18" t="s">
        <v>100</v>
      </c>
      <c r="G1634" s="18" t="s">
        <v>41</v>
      </c>
      <c r="H1634" s="18" t="s">
        <v>106</v>
      </c>
      <c r="I1634" s="18" t="s">
        <v>58</v>
      </c>
      <c r="J1634" s="18" t="s">
        <v>82</v>
      </c>
      <c r="K1634" s="18">
        <v>4</v>
      </c>
      <c r="L1634" s="20">
        <v>2492.08</v>
      </c>
      <c r="M1634" s="21">
        <v>0</v>
      </c>
      <c r="N1634" s="21">
        <v>0.73496435682864802</v>
      </c>
      <c r="O1634" s="20">
        <f t="shared" si="100"/>
        <v>9968.32</v>
      </c>
      <c r="P1634" s="20">
        <f t="shared" si="101"/>
        <v>7326.3598974621482</v>
      </c>
      <c r="Q1634" s="20">
        <f t="shared" si="102"/>
        <v>2641.9601025378515</v>
      </c>
      <c r="R1634" s="22">
        <f t="shared" si="103"/>
        <v>0.26503564317135203</v>
      </c>
    </row>
    <row r="1635" spans="1:18">
      <c r="A1635" s="18">
        <v>2634</v>
      </c>
      <c r="B1635" s="19" t="s">
        <v>585</v>
      </c>
      <c r="C1635" s="18">
        <v>2025</v>
      </c>
      <c r="D1635" s="18" t="s">
        <v>48</v>
      </c>
      <c r="E1635" s="18" t="s">
        <v>79</v>
      </c>
      <c r="F1635" s="18" t="s">
        <v>100</v>
      </c>
      <c r="G1635" s="18" t="s">
        <v>50</v>
      </c>
      <c r="H1635" s="18" t="s">
        <v>97</v>
      </c>
      <c r="I1635" s="18" t="s">
        <v>62</v>
      </c>
      <c r="J1635" s="18" t="s">
        <v>102</v>
      </c>
      <c r="K1635" s="18">
        <v>6</v>
      </c>
      <c r="L1635" s="20">
        <v>12420.71</v>
      </c>
      <c r="M1635" s="21">
        <v>0.05</v>
      </c>
      <c r="N1635" s="21">
        <v>0.66540869110609402</v>
      </c>
      <c r="O1635" s="20">
        <f t="shared" si="100"/>
        <v>70798.046999999991</v>
      </c>
      <c r="P1635" s="20">
        <f t="shared" si="101"/>
        <v>47109.635787137719</v>
      </c>
      <c r="Q1635" s="20">
        <f t="shared" si="102"/>
        <v>23688.411212862273</v>
      </c>
      <c r="R1635" s="22">
        <f t="shared" si="103"/>
        <v>0.33459130889390604</v>
      </c>
    </row>
    <row r="1636" spans="1:18">
      <c r="A1636" s="18">
        <v>2635</v>
      </c>
      <c r="B1636" s="19" t="s">
        <v>585</v>
      </c>
      <c r="C1636" s="18">
        <v>2025</v>
      </c>
      <c r="D1636" s="18" t="s">
        <v>48</v>
      </c>
      <c r="E1636" s="18" t="s">
        <v>98</v>
      </c>
      <c r="F1636" s="18" t="s">
        <v>99</v>
      </c>
      <c r="G1636" s="18" t="s">
        <v>47</v>
      </c>
      <c r="H1636" s="18" t="s">
        <v>103</v>
      </c>
      <c r="I1636" s="18" t="s">
        <v>46</v>
      </c>
      <c r="J1636" s="18" t="s">
        <v>102</v>
      </c>
      <c r="K1636" s="18">
        <v>11</v>
      </c>
      <c r="L1636" s="20">
        <v>3307.31</v>
      </c>
      <c r="M1636" s="21">
        <v>0.15</v>
      </c>
      <c r="N1636" s="21">
        <v>0.65400965613514395</v>
      </c>
      <c r="O1636" s="20">
        <f t="shared" si="100"/>
        <v>30923.348499999996</v>
      </c>
      <c r="P1636" s="20">
        <f t="shared" si="101"/>
        <v>20224.168519032217</v>
      </c>
      <c r="Q1636" s="20">
        <f t="shared" si="102"/>
        <v>10699.17998096778</v>
      </c>
      <c r="R1636" s="22">
        <f t="shared" si="103"/>
        <v>0.34599034386485605</v>
      </c>
    </row>
    <row r="1637" spans="1:18">
      <c r="A1637" s="18">
        <v>2636</v>
      </c>
      <c r="B1637" s="19" t="s">
        <v>585</v>
      </c>
      <c r="C1637" s="18">
        <v>2025</v>
      </c>
      <c r="D1637" s="18" t="s">
        <v>48</v>
      </c>
      <c r="E1637" s="18" t="s">
        <v>98</v>
      </c>
      <c r="F1637" s="18" t="s">
        <v>99</v>
      </c>
      <c r="G1637" s="18" t="s">
        <v>44</v>
      </c>
      <c r="H1637" s="18" t="s">
        <v>119</v>
      </c>
      <c r="I1637" s="18" t="s">
        <v>40</v>
      </c>
      <c r="J1637" s="18" t="s">
        <v>91</v>
      </c>
      <c r="K1637" s="18">
        <v>8</v>
      </c>
      <c r="L1637" s="20">
        <v>6840.53</v>
      </c>
      <c r="M1637" s="21">
        <v>0.15</v>
      </c>
      <c r="N1637" s="21">
        <v>0.610113789884559</v>
      </c>
      <c r="O1637" s="20">
        <f t="shared" si="100"/>
        <v>46515.603999999999</v>
      </c>
      <c r="P1637" s="20">
        <f t="shared" si="101"/>
        <v>28379.81144520935</v>
      </c>
      <c r="Q1637" s="20">
        <f t="shared" si="102"/>
        <v>18135.792554790649</v>
      </c>
      <c r="R1637" s="22">
        <f t="shared" si="103"/>
        <v>0.389886210115441</v>
      </c>
    </row>
    <row r="1638" spans="1:18">
      <c r="A1638" s="18">
        <v>2637</v>
      </c>
      <c r="B1638" s="19" t="s">
        <v>585</v>
      </c>
      <c r="C1638" s="18">
        <v>2025</v>
      </c>
      <c r="D1638" s="18" t="s">
        <v>48</v>
      </c>
      <c r="E1638" s="18" t="s">
        <v>85</v>
      </c>
      <c r="F1638" s="18" t="s">
        <v>86</v>
      </c>
      <c r="G1638" s="18" t="s">
        <v>47</v>
      </c>
      <c r="H1638" s="18" t="s">
        <v>107</v>
      </c>
      <c r="I1638" s="18" t="s">
        <v>43</v>
      </c>
      <c r="J1638" s="18" t="s">
        <v>82</v>
      </c>
      <c r="K1638" s="18">
        <v>9</v>
      </c>
      <c r="L1638" s="20">
        <v>2139.1999999999998</v>
      </c>
      <c r="M1638" s="21">
        <v>0</v>
      </c>
      <c r="N1638" s="21">
        <v>0.72614923113014795</v>
      </c>
      <c r="O1638" s="20">
        <f t="shared" si="100"/>
        <v>19252.8</v>
      </c>
      <c r="P1638" s="20">
        <f t="shared" si="101"/>
        <v>13980.405917102513</v>
      </c>
      <c r="Q1638" s="20">
        <f t="shared" si="102"/>
        <v>5272.3940828974864</v>
      </c>
      <c r="R1638" s="22">
        <f t="shared" si="103"/>
        <v>0.27385076886985199</v>
      </c>
    </row>
    <row r="1639" spans="1:18">
      <c r="A1639" s="18">
        <v>2638</v>
      </c>
      <c r="B1639" s="19" t="s">
        <v>585</v>
      </c>
      <c r="C1639" s="18">
        <v>2025</v>
      </c>
      <c r="D1639" s="18" t="s">
        <v>48</v>
      </c>
      <c r="E1639" s="18" t="s">
        <v>88</v>
      </c>
      <c r="F1639" s="18" t="s">
        <v>89</v>
      </c>
      <c r="G1639" s="18" t="s">
        <v>44</v>
      </c>
      <c r="H1639" s="18" t="s">
        <v>119</v>
      </c>
      <c r="I1639" s="18" t="s">
        <v>60</v>
      </c>
      <c r="J1639" s="18" t="s">
        <v>102</v>
      </c>
      <c r="K1639" s="18">
        <v>6</v>
      </c>
      <c r="L1639" s="20">
        <v>6938.85</v>
      </c>
      <c r="M1639" s="21">
        <v>0.1</v>
      </c>
      <c r="N1639" s="21">
        <v>0.63385830606009497</v>
      </c>
      <c r="O1639" s="20">
        <f t="shared" si="100"/>
        <v>37469.790000000008</v>
      </c>
      <c r="P1639" s="20">
        <f t="shared" si="101"/>
        <v>23750.537617827489</v>
      </c>
      <c r="Q1639" s="20">
        <f t="shared" si="102"/>
        <v>13719.252382172519</v>
      </c>
      <c r="R1639" s="22">
        <f t="shared" si="103"/>
        <v>0.36614169393990509</v>
      </c>
    </row>
    <row r="1640" spans="1:18">
      <c r="A1640" s="18">
        <v>2639</v>
      </c>
      <c r="B1640" s="19" t="s">
        <v>586</v>
      </c>
      <c r="C1640" s="18">
        <v>2025</v>
      </c>
      <c r="D1640" s="18" t="s">
        <v>48</v>
      </c>
      <c r="E1640" s="18" t="s">
        <v>98</v>
      </c>
      <c r="F1640" s="18" t="s">
        <v>117</v>
      </c>
      <c r="G1640" s="18" t="s">
        <v>44</v>
      </c>
      <c r="H1640" s="18" t="s">
        <v>119</v>
      </c>
      <c r="I1640" s="18" t="s">
        <v>62</v>
      </c>
      <c r="J1640" s="18" t="s">
        <v>91</v>
      </c>
      <c r="K1640" s="18">
        <v>11</v>
      </c>
      <c r="L1640" s="20">
        <v>6696.42</v>
      </c>
      <c r="M1640" s="21">
        <v>0.05</v>
      </c>
      <c r="N1640" s="21">
        <v>0.73522490097478999</v>
      </c>
      <c r="O1640" s="20">
        <f t="shared" si="100"/>
        <v>69977.588999999993</v>
      </c>
      <c r="P1640" s="20">
        <f t="shared" si="101"/>
        <v>51449.265942979546</v>
      </c>
      <c r="Q1640" s="20">
        <f t="shared" si="102"/>
        <v>18528.323057020447</v>
      </c>
      <c r="R1640" s="22">
        <f t="shared" si="103"/>
        <v>0.26477509902521001</v>
      </c>
    </row>
    <row r="1641" spans="1:18">
      <c r="A1641" s="18">
        <v>2640</v>
      </c>
      <c r="B1641" s="19" t="s">
        <v>586</v>
      </c>
      <c r="C1641" s="18">
        <v>2025</v>
      </c>
      <c r="D1641" s="18" t="s">
        <v>48</v>
      </c>
      <c r="E1641" s="18" t="s">
        <v>79</v>
      </c>
      <c r="F1641" s="18" t="s">
        <v>105</v>
      </c>
      <c r="G1641" s="18" t="s">
        <v>50</v>
      </c>
      <c r="H1641" s="18" t="s">
        <v>97</v>
      </c>
      <c r="I1641" s="18" t="s">
        <v>46</v>
      </c>
      <c r="J1641" s="18" t="s">
        <v>91</v>
      </c>
      <c r="K1641" s="18">
        <v>8</v>
      </c>
      <c r="L1641" s="20">
        <v>12574.03</v>
      </c>
      <c r="M1641" s="21">
        <v>0.05</v>
      </c>
      <c r="N1641" s="21">
        <v>0.73751880432721995</v>
      </c>
      <c r="O1641" s="20">
        <f t="shared" si="100"/>
        <v>95562.627999999997</v>
      </c>
      <c r="P1641" s="20">
        <f t="shared" si="101"/>
        <v>70479.235140926903</v>
      </c>
      <c r="Q1641" s="20">
        <f t="shared" si="102"/>
        <v>25083.392859073094</v>
      </c>
      <c r="R1641" s="22">
        <f t="shared" si="103"/>
        <v>0.26248119567278011</v>
      </c>
    </row>
    <row r="1642" spans="1:18">
      <c r="A1642" s="18">
        <v>2641</v>
      </c>
      <c r="B1642" s="19" t="s">
        <v>586</v>
      </c>
      <c r="C1642" s="18">
        <v>2025</v>
      </c>
      <c r="D1642" s="18" t="s">
        <v>48</v>
      </c>
      <c r="E1642" s="18" t="s">
        <v>79</v>
      </c>
      <c r="F1642" s="18" t="s">
        <v>105</v>
      </c>
      <c r="G1642" s="18" t="s">
        <v>44</v>
      </c>
      <c r="H1642" s="18" t="s">
        <v>114</v>
      </c>
      <c r="I1642" s="18" t="s">
        <v>58</v>
      </c>
      <c r="J1642" s="18" t="s">
        <v>91</v>
      </c>
      <c r="K1642" s="18">
        <v>10</v>
      </c>
      <c r="L1642" s="20">
        <v>8742.6299999999992</v>
      </c>
      <c r="M1642" s="21">
        <v>0.1</v>
      </c>
      <c r="N1642" s="21">
        <v>0.71989001219736204</v>
      </c>
      <c r="O1642" s="20">
        <f t="shared" si="100"/>
        <v>78683.67</v>
      </c>
      <c r="P1642" s="20">
        <f t="shared" si="101"/>
        <v>56643.588156033205</v>
      </c>
      <c r="Q1642" s="20">
        <f t="shared" si="102"/>
        <v>22040.081843966793</v>
      </c>
      <c r="R1642" s="22">
        <f t="shared" si="103"/>
        <v>0.28010998780263802</v>
      </c>
    </row>
    <row r="1643" spans="1:18">
      <c r="A1643" s="18">
        <v>2642</v>
      </c>
      <c r="B1643" s="19" t="s">
        <v>586</v>
      </c>
      <c r="C1643" s="18">
        <v>2025</v>
      </c>
      <c r="D1643" s="18" t="s">
        <v>48</v>
      </c>
      <c r="E1643" s="18" t="s">
        <v>98</v>
      </c>
      <c r="F1643" s="18" t="s">
        <v>117</v>
      </c>
      <c r="G1643" s="18" t="s">
        <v>44</v>
      </c>
      <c r="H1643" s="18" t="s">
        <v>114</v>
      </c>
      <c r="I1643" s="18" t="s">
        <v>46</v>
      </c>
      <c r="J1643" s="18" t="s">
        <v>102</v>
      </c>
      <c r="K1643" s="18">
        <v>6</v>
      </c>
      <c r="L1643" s="20">
        <v>9084.1</v>
      </c>
      <c r="M1643" s="21">
        <v>0</v>
      </c>
      <c r="N1643" s="21">
        <v>0.570131966594003</v>
      </c>
      <c r="O1643" s="20">
        <f t="shared" si="100"/>
        <v>54504.600000000006</v>
      </c>
      <c r="P1643" s="20">
        <f t="shared" si="101"/>
        <v>31074.814786419498</v>
      </c>
      <c r="Q1643" s="20">
        <f t="shared" si="102"/>
        <v>23429.785213580508</v>
      </c>
      <c r="R1643" s="22">
        <f t="shared" si="103"/>
        <v>0.429868033405997</v>
      </c>
    </row>
    <row r="1644" spans="1:18">
      <c r="A1644" s="18">
        <v>2643</v>
      </c>
      <c r="B1644" s="19" t="s">
        <v>587</v>
      </c>
      <c r="C1644" s="18">
        <v>2025</v>
      </c>
      <c r="D1644" s="18" t="s">
        <v>48</v>
      </c>
      <c r="E1644" s="18" t="s">
        <v>79</v>
      </c>
      <c r="F1644" s="18" t="s">
        <v>100</v>
      </c>
      <c r="G1644" s="18" t="s">
        <v>50</v>
      </c>
      <c r="H1644" s="18" t="s">
        <v>97</v>
      </c>
      <c r="I1644" s="18" t="s">
        <v>43</v>
      </c>
      <c r="J1644" s="18" t="s">
        <v>102</v>
      </c>
      <c r="K1644" s="18">
        <v>11</v>
      </c>
      <c r="L1644" s="20">
        <v>11582.27</v>
      </c>
      <c r="M1644" s="21">
        <v>0</v>
      </c>
      <c r="N1644" s="21">
        <v>0.55041745226265204</v>
      </c>
      <c r="O1644" s="20">
        <f t="shared" si="100"/>
        <v>127404.97</v>
      </c>
      <c r="P1644" s="20">
        <f t="shared" si="101"/>
        <v>70125.918992999621</v>
      </c>
      <c r="Q1644" s="20">
        <f t="shared" si="102"/>
        <v>57279.05100700038</v>
      </c>
      <c r="R1644" s="22">
        <f t="shared" si="103"/>
        <v>0.4495825477373479</v>
      </c>
    </row>
    <row r="1645" spans="1:18">
      <c r="A1645" s="18">
        <v>2644</v>
      </c>
      <c r="B1645" s="19" t="s">
        <v>587</v>
      </c>
      <c r="C1645" s="18">
        <v>2025</v>
      </c>
      <c r="D1645" s="18" t="s">
        <v>48</v>
      </c>
      <c r="E1645" s="18" t="s">
        <v>88</v>
      </c>
      <c r="F1645" s="18" t="s">
        <v>110</v>
      </c>
      <c r="G1645" s="18" t="s">
        <v>44</v>
      </c>
      <c r="H1645" s="18" t="s">
        <v>114</v>
      </c>
      <c r="I1645" s="18" t="s">
        <v>54</v>
      </c>
      <c r="J1645" s="18" t="s">
        <v>102</v>
      </c>
      <c r="K1645" s="18">
        <v>11</v>
      </c>
      <c r="L1645" s="20">
        <v>9376.2800000000007</v>
      </c>
      <c r="M1645" s="21">
        <v>0.2</v>
      </c>
      <c r="N1645" s="21">
        <v>0.62145010034152603</v>
      </c>
      <c r="O1645" s="20">
        <f t="shared" si="100"/>
        <v>82511.26400000001</v>
      </c>
      <c r="P1645" s="20">
        <f t="shared" si="101"/>
        <v>51276.633292106148</v>
      </c>
      <c r="Q1645" s="20">
        <f t="shared" si="102"/>
        <v>31234.630707893863</v>
      </c>
      <c r="R1645" s="22">
        <f t="shared" si="103"/>
        <v>0.37854989965847402</v>
      </c>
    </row>
    <row r="1646" spans="1:18">
      <c r="A1646" s="18">
        <v>2645</v>
      </c>
      <c r="B1646" s="19" t="s">
        <v>588</v>
      </c>
      <c r="C1646" s="18">
        <v>2025</v>
      </c>
      <c r="D1646" s="18" t="s">
        <v>48</v>
      </c>
      <c r="E1646" s="18" t="s">
        <v>79</v>
      </c>
      <c r="F1646" s="18" t="s">
        <v>100</v>
      </c>
      <c r="G1646" s="18" t="s">
        <v>47</v>
      </c>
      <c r="H1646" s="18" t="s">
        <v>107</v>
      </c>
      <c r="I1646" s="18" t="s">
        <v>43</v>
      </c>
      <c r="J1646" s="18" t="s">
        <v>82</v>
      </c>
      <c r="K1646" s="18">
        <v>10</v>
      </c>
      <c r="L1646" s="20">
        <v>2108.12</v>
      </c>
      <c r="M1646" s="21">
        <v>0</v>
      </c>
      <c r="N1646" s="21">
        <v>0.67287266850503302</v>
      </c>
      <c r="O1646" s="20">
        <f t="shared" si="100"/>
        <v>21081.199999999997</v>
      </c>
      <c r="P1646" s="20">
        <f t="shared" si="101"/>
        <v>14184.9632992883</v>
      </c>
      <c r="Q1646" s="20">
        <f t="shared" si="102"/>
        <v>6896.2367007116973</v>
      </c>
      <c r="R1646" s="22">
        <f t="shared" si="103"/>
        <v>0.32712733149496698</v>
      </c>
    </row>
    <row r="1647" spans="1:18">
      <c r="A1647" s="18">
        <v>2646</v>
      </c>
      <c r="B1647" s="19" t="s">
        <v>588</v>
      </c>
      <c r="C1647" s="18">
        <v>2025</v>
      </c>
      <c r="D1647" s="18" t="s">
        <v>48</v>
      </c>
      <c r="E1647" s="18" t="s">
        <v>88</v>
      </c>
      <c r="F1647" s="18" t="s">
        <v>110</v>
      </c>
      <c r="G1647" s="18" t="s">
        <v>50</v>
      </c>
      <c r="H1647" s="18" t="s">
        <v>97</v>
      </c>
      <c r="I1647" s="18" t="s">
        <v>43</v>
      </c>
      <c r="J1647" s="18" t="s">
        <v>91</v>
      </c>
      <c r="K1647" s="18">
        <v>10</v>
      </c>
      <c r="L1647" s="20">
        <v>11749.71</v>
      </c>
      <c r="M1647" s="21">
        <v>0.15</v>
      </c>
      <c r="N1647" s="21">
        <v>0.56433666174382302</v>
      </c>
      <c r="O1647" s="20">
        <f t="shared" si="100"/>
        <v>99872.534999999989</v>
      </c>
      <c r="P1647" s="20">
        <f t="shared" si="101"/>
        <v>56361.733001793116</v>
      </c>
      <c r="Q1647" s="20">
        <f t="shared" si="102"/>
        <v>43510.801998206873</v>
      </c>
      <c r="R1647" s="22">
        <f t="shared" si="103"/>
        <v>0.43566333825617704</v>
      </c>
    </row>
    <row r="1648" spans="1:18">
      <c r="A1648" s="18">
        <v>2647</v>
      </c>
      <c r="B1648" s="19" t="s">
        <v>589</v>
      </c>
      <c r="C1648" s="18">
        <v>2025</v>
      </c>
      <c r="D1648" s="18" t="s">
        <v>48</v>
      </c>
      <c r="E1648" s="18" t="s">
        <v>88</v>
      </c>
      <c r="F1648" s="18" t="s">
        <v>110</v>
      </c>
      <c r="G1648" s="18" t="s">
        <v>50</v>
      </c>
      <c r="H1648" s="18" t="s">
        <v>87</v>
      </c>
      <c r="I1648" s="18" t="s">
        <v>52</v>
      </c>
      <c r="J1648" s="18" t="s">
        <v>82</v>
      </c>
      <c r="K1648" s="18">
        <v>11</v>
      </c>
      <c r="L1648" s="20">
        <v>9762.27</v>
      </c>
      <c r="M1648" s="21">
        <v>0.15</v>
      </c>
      <c r="N1648" s="21">
        <v>0.56922403796973198</v>
      </c>
      <c r="O1648" s="20">
        <f t="shared" si="100"/>
        <v>91277.224499999997</v>
      </c>
      <c r="P1648" s="20">
        <f t="shared" si="101"/>
        <v>51957.19030455975</v>
      </c>
      <c r="Q1648" s="20">
        <f t="shared" si="102"/>
        <v>39320.034195440247</v>
      </c>
      <c r="R1648" s="22">
        <f t="shared" si="103"/>
        <v>0.43077596203026802</v>
      </c>
    </row>
    <row r="1649" spans="1:18">
      <c r="A1649" s="18">
        <v>2648</v>
      </c>
      <c r="B1649" s="19" t="s">
        <v>589</v>
      </c>
      <c r="C1649" s="18">
        <v>2025</v>
      </c>
      <c r="D1649" s="18" t="s">
        <v>48</v>
      </c>
      <c r="E1649" s="18" t="s">
        <v>88</v>
      </c>
      <c r="F1649" s="18" t="s">
        <v>93</v>
      </c>
      <c r="G1649" s="18" t="s">
        <v>47</v>
      </c>
      <c r="H1649" s="18" t="s">
        <v>81</v>
      </c>
      <c r="I1649" s="18" t="s">
        <v>56</v>
      </c>
      <c r="J1649" s="18" t="s">
        <v>91</v>
      </c>
      <c r="K1649" s="18">
        <v>11</v>
      </c>
      <c r="L1649" s="20">
        <v>773.02</v>
      </c>
      <c r="M1649" s="21">
        <v>0.1</v>
      </c>
      <c r="N1649" s="21">
        <v>0.71205415793136995</v>
      </c>
      <c r="O1649" s="20">
        <f t="shared" si="100"/>
        <v>7652.8979999999992</v>
      </c>
      <c r="P1649" s="20">
        <f t="shared" si="101"/>
        <v>5449.2778411246645</v>
      </c>
      <c r="Q1649" s="20">
        <f t="shared" si="102"/>
        <v>2203.6201588753347</v>
      </c>
      <c r="R1649" s="22">
        <f t="shared" si="103"/>
        <v>0.28794584206863005</v>
      </c>
    </row>
    <row r="1650" spans="1:18">
      <c r="A1650" s="18">
        <v>2649</v>
      </c>
      <c r="B1650" s="19" t="s">
        <v>589</v>
      </c>
      <c r="C1650" s="18">
        <v>2025</v>
      </c>
      <c r="D1650" s="18" t="s">
        <v>48</v>
      </c>
      <c r="E1650" s="18" t="s">
        <v>98</v>
      </c>
      <c r="F1650" s="18" t="s">
        <v>99</v>
      </c>
      <c r="G1650" s="18" t="s">
        <v>47</v>
      </c>
      <c r="H1650" s="18" t="s">
        <v>107</v>
      </c>
      <c r="I1650" s="18" t="s">
        <v>56</v>
      </c>
      <c r="J1650" s="18" t="s">
        <v>91</v>
      </c>
      <c r="K1650" s="18">
        <v>4</v>
      </c>
      <c r="L1650" s="20">
        <v>2264.7399999999998</v>
      </c>
      <c r="M1650" s="21">
        <v>0.05</v>
      </c>
      <c r="N1650" s="21">
        <v>0.68325107295305998</v>
      </c>
      <c r="O1650" s="20">
        <f t="shared" si="100"/>
        <v>8606.0119999999988</v>
      </c>
      <c r="P1650" s="20">
        <f t="shared" si="101"/>
        <v>5880.0669328469085</v>
      </c>
      <c r="Q1650" s="20">
        <f t="shared" si="102"/>
        <v>2725.9450671530903</v>
      </c>
      <c r="R1650" s="22">
        <f t="shared" si="103"/>
        <v>0.31674892704694008</v>
      </c>
    </row>
    <row r="1651" spans="1:18">
      <c r="A1651" s="18">
        <v>2650</v>
      </c>
      <c r="B1651" s="19" t="s">
        <v>589</v>
      </c>
      <c r="C1651" s="18">
        <v>2025</v>
      </c>
      <c r="D1651" s="18" t="s">
        <v>48</v>
      </c>
      <c r="E1651" s="18" t="s">
        <v>88</v>
      </c>
      <c r="F1651" s="18" t="s">
        <v>110</v>
      </c>
      <c r="G1651" s="18" t="s">
        <v>50</v>
      </c>
      <c r="H1651" s="18" t="s">
        <v>83</v>
      </c>
      <c r="I1651" s="18" t="s">
        <v>46</v>
      </c>
      <c r="J1651" s="18" t="s">
        <v>82</v>
      </c>
      <c r="K1651" s="18">
        <v>2</v>
      </c>
      <c r="L1651" s="20">
        <v>3345.56</v>
      </c>
      <c r="M1651" s="21">
        <v>0</v>
      </c>
      <c r="N1651" s="21">
        <v>0.57953599409412504</v>
      </c>
      <c r="O1651" s="20">
        <f t="shared" si="100"/>
        <v>6691.12</v>
      </c>
      <c r="P1651" s="20">
        <f t="shared" si="101"/>
        <v>3877.7448808030817</v>
      </c>
      <c r="Q1651" s="20">
        <f t="shared" si="102"/>
        <v>2813.3751191969181</v>
      </c>
      <c r="R1651" s="22">
        <f t="shared" si="103"/>
        <v>0.42046400590587496</v>
      </c>
    </row>
    <row r="1652" spans="1:18">
      <c r="A1652" s="18">
        <v>2651</v>
      </c>
      <c r="B1652" s="19" t="s">
        <v>590</v>
      </c>
      <c r="C1652" s="18">
        <v>2025</v>
      </c>
      <c r="D1652" s="18" t="s">
        <v>48</v>
      </c>
      <c r="E1652" s="18" t="s">
        <v>88</v>
      </c>
      <c r="F1652" s="18" t="s">
        <v>110</v>
      </c>
      <c r="G1652" s="18" t="s">
        <v>41</v>
      </c>
      <c r="H1652" s="18" t="s">
        <v>106</v>
      </c>
      <c r="I1652" s="18" t="s">
        <v>54</v>
      </c>
      <c r="J1652" s="18" t="s">
        <v>102</v>
      </c>
      <c r="K1652" s="18">
        <v>6</v>
      </c>
      <c r="L1652" s="20">
        <v>2519.8200000000002</v>
      </c>
      <c r="M1652" s="21">
        <v>0.2</v>
      </c>
      <c r="N1652" s="21">
        <v>0.64631935273905805</v>
      </c>
      <c r="O1652" s="20">
        <f t="shared" si="100"/>
        <v>12095.136000000002</v>
      </c>
      <c r="P1652" s="20">
        <f t="shared" si="101"/>
        <v>7817.3204708108815</v>
      </c>
      <c r="Q1652" s="20">
        <f t="shared" si="102"/>
        <v>4277.8155291891208</v>
      </c>
      <c r="R1652" s="22">
        <f t="shared" si="103"/>
        <v>0.35368064726094189</v>
      </c>
    </row>
    <row r="1653" spans="1:18">
      <c r="A1653" s="18">
        <v>2652</v>
      </c>
      <c r="B1653" s="19" t="s">
        <v>590</v>
      </c>
      <c r="C1653" s="18">
        <v>2025</v>
      </c>
      <c r="D1653" s="18" t="s">
        <v>48</v>
      </c>
      <c r="E1653" s="18" t="s">
        <v>85</v>
      </c>
      <c r="F1653" s="18" t="s">
        <v>86</v>
      </c>
      <c r="G1653" s="18" t="s">
        <v>47</v>
      </c>
      <c r="H1653" s="18" t="s">
        <v>103</v>
      </c>
      <c r="I1653" s="18" t="s">
        <v>49</v>
      </c>
      <c r="J1653" s="18" t="s">
        <v>91</v>
      </c>
      <c r="K1653" s="18">
        <v>11</v>
      </c>
      <c r="L1653" s="20">
        <v>3050.83</v>
      </c>
      <c r="M1653" s="21">
        <v>0</v>
      </c>
      <c r="N1653" s="21">
        <v>0.628158855723573</v>
      </c>
      <c r="O1653" s="20">
        <f t="shared" si="100"/>
        <v>33559.129999999997</v>
      </c>
      <c r="P1653" s="20">
        <f t="shared" si="101"/>
        <v>21080.46469987863</v>
      </c>
      <c r="Q1653" s="20">
        <f t="shared" si="102"/>
        <v>12478.665300121367</v>
      </c>
      <c r="R1653" s="22">
        <f t="shared" si="103"/>
        <v>0.37184114427642695</v>
      </c>
    </row>
    <row r="1654" spans="1:18">
      <c r="A1654" s="18">
        <v>2653</v>
      </c>
      <c r="B1654" s="19" t="s">
        <v>590</v>
      </c>
      <c r="C1654" s="18">
        <v>2025</v>
      </c>
      <c r="D1654" s="18" t="s">
        <v>48</v>
      </c>
      <c r="E1654" s="18" t="s">
        <v>98</v>
      </c>
      <c r="F1654" s="18" t="s">
        <v>117</v>
      </c>
      <c r="G1654" s="18" t="s">
        <v>41</v>
      </c>
      <c r="H1654" s="18" t="s">
        <v>90</v>
      </c>
      <c r="I1654" s="18" t="s">
        <v>52</v>
      </c>
      <c r="J1654" s="18" t="s">
        <v>91</v>
      </c>
      <c r="K1654" s="18">
        <v>3</v>
      </c>
      <c r="L1654" s="20">
        <v>18562.53</v>
      </c>
      <c r="M1654" s="21">
        <v>0.1</v>
      </c>
      <c r="N1654" s="21">
        <v>0.68166588986896404</v>
      </c>
      <c r="O1654" s="20">
        <f t="shared" si="100"/>
        <v>50118.830999999998</v>
      </c>
      <c r="P1654" s="20">
        <f t="shared" si="101"/>
        <v>34164.297532807221</v>
      </c>
      <c r="Q1654" s="20">
        <f t="shared" si="102"/>
        <v>15954.533467192778</v>
      </c>
      <c r="R1654" s="22">
        <f t="shared" si="103"/>
        <v>0.31833411013103596</v>
      </c>
    </row>
    <row r="1655" spans="1:18">
      <c r="A1655" s="18">
        <v>2654</v>
      </c>
      <c r="B1655" s="19" t="s">
        <v>590</v>
      </c>
      <c r="C1655" s="18">
        <v>2025</v>
      </c>
      <c r="D1655" s="18" t="s">
        <v>48</v>
      </c>
      <c r="E1655" s="18" t="s">
        <v>85</v>
      </c>
      <c r="F1655" s="18" t="s">
        <v>94</v>
      </c>
      <c r="G1655" s="18" t="s">
        <v>47</v>
      </c>
      <c r="H1655" s="18" t="s">
        <v>107</v>
      </c>
      <c r="I1655" s="18" t="s">
        <v>46</v>
      </c>
      <c r="J1655" s="18" t="s">
        <v>91</v>
      </c>
      <c r="K1655" s="18">
        <v>12</v>
      </c>
      <c r="L1655" s="20">
        <v>2302.67</v>
      </c>
      <c r="M1655" s="21">
        <v>0.1</v>
      </c>
      <c r="N1655" s="21">
        <v>0.68168096291242297</v>
      </c>
      <c r="O1655" s="20">
        <f t="shared" si="100"/>
        <v>24868.836000000003</v>
      </c>
      <c r="P1655" s="20">
        <f t="shared" si="101"/>
        <v>16952.61207099113</v>
      </c>
      <c r="Q1655" s="20">
        <f t="shared" si="102"/>
        <v>7916.2239290088728</v>
      </c>
      <c r="R1655" s="22">
        <f t="shared" si="103"/>
        <v>0.31831903708757708</v>
      </c>
    </row>
    <row r="1656" spans="1:18">
      <c r="A1656" s="18">
        <v>2655</v>
      </c>
      <c r="B1656" s="19" t="s">
        <v>590</v>
      </c>
      <c r="C1656" s="18">
        <v>2025</v>
      </c>
      <c r="D1656" s="18" t="s">
        <v>48</v>
      </c>
      <c r="E1656" s="18" t="s">
        <v>88</v>
      </c>
      <c r="F1656" s="18" t="s">
        <v>110</v>
      </c>
      <c r="G1656" s="18" t="s">
        <v>44</v>
      </c>
      <c r="H1656" s="18" t="s">
        <v>114</v>
      </c>
      <c r="I1656" s="18" t="s">
        <v>56</v>
      </c>
      <c r="J1656" s="18" t="s">
        <v>82</v>
      </c>
      <c r="K1656" s="18">
        <v>8</v>
      </c>
      <c r="L1656" s="20">
        <v>9337.9699999999993</v>
      </c>
      <c r="M1656" s="21">
        <v>0.05</v>
      </c>
      <c r="N1656" s="21">
        <v>0.57963355487886903</v>
      </c>
      <c r="O1656" s="20">
        <f t="shared" si="100"/>
        <v>70968.571999999986</v>
      </c>
      <c r="P1656" s="20">
        <f t="shared" si="101"/>
        <v>41135.765673036956</v>
      </c>
      <c r="Q1656" s="20">
        <f t="shared" si="102"/>
        <v>29832.806326963029</v>
      </c>
      <c r="R1656" s="22">
        <f t="shared" si="103"/>
        <v>0.42036644512113103</v>
      </c>
    </row>
    <row r="1657" spans="1:18">
      <c r="A1657" s="18">
        <v>2656</v>
      </c>
      <c r="B1657" s="19" t="s">
        <v>591</v>
      </c>
      <c r="C1657" s="18">
        <v>2025</v>
      </c>
      <c r="D1657" s="18" t="s">
        <v>48</v>
      </c>
      <c r="E1657" s="18" t="s">
        <v>88</v>
      </c>
      <c r="F1657" s="18" t="s">
        <v>93</v>
      </c>
      <c r="G1657" s="18" t="s">
        <v>50</v>
      </c>
      <c r="H1657" s="18" t="s">
        <v>97</v>
      </c>
      <c r="I1657" s="18" t="s">
        <v>49</v>
      </c>
      <c r="J1657" s="18" t="s">
        <v>102</v>
      </c>
      <c r="K1657" s="18">
        <v>3</v>
      </c>
      <c r="L1657" s="20">
        <v>11901.44</v>
      </c>
      <c r="M1657" s="21">
        <v>0</v>
      </c>
      <c r="N1657" s="21">
        <v>0.67630759233344695</v>
      </c>
      <c r="O1657" s="20">
        <f t="shared" si="100"/>
        <v>35704.32</v>
      </c>
      <c r="P1657" s="20">
        <f t="shared" si="101"/>
        <v>24147.102695102938</v>
      </c>
      <c r="Q1657" s="20">
        <f t="shared" si="102"/>
        <v>11557.217304897062</v>
      </c>
      <c r="R1657" s="22">
        <f t="shared" si="103"/>
        <v>0.32369240766655299</v>
      </c>
    </row>
    <row r="1658" spans="1:18">
      <c r="A1658" s="18">
        <v>2657</v>
      </c>
      <c r="B1658" s="19" t="s">
        <v>591</v>
      </c>
      <c r="C1658" s="18">
        <v>2025</v>
      </c>
      <c r="D1658" s="18" t="s">
        <v>48</v>
      </c>
      <c r="E1658" s="18" t="s">
        <v>98</v>
      </c>
      <c r="F1658" s="18" t="s">
        <v>99</v>
      </c>
      <c r="G1658" s="18" t="s">
        <v>47</v>
      </c>
      <c r="H1658" s="18" t="s">
        <v>107</v>
      </c>
      <c r="I1658" s="18" t="s">
        <v>40</v>
      </c>
      <c r="J1658" s="18" t="s">
        <v>82</v>
      </c>
      <c r="K1658" s="18">
        <v>8</v>
      </c>
      <c r="L1658" s="20">
        <v>2259.7399999999998</v>
      </c>
      <c r="M1658" s="21">
        <v>0.15</v>
      </c>
      <c r="N1658" s="21">
        <v>0.59034264566162498</v>
      </c>
      <c r="O1658" s="20">
        <f t="shared" si="100"/>
        <v>15366.231999999998</v>
      </c>
      <c r="P1658" s="20">
        <f t="shared" si="101"/>
        <v>9071.3420527303224</v>
      </c>
      <c r="Q1658" s="20">
        <f t="shared" si="102"/>
        <v>6294.8899472696758</v>
      </c>
      <c r="R1658" s="22">
        <f t="shared" si="103"/>
        <v>0.40965735433837497</v>
      </c>
    </row>
    <row r="1659" spans="1:18">
      <c r="A1659" s="18">
        <v>2658</v>
      </c>
      <c r="B1659" s="19" t="s">
        <v>591</v>
      </c>
      <c r="C1659" s="18">
        <v>2025</v>
      </c>
      <c r="D1659" s="18" t="s">
        <v>48</v>
      </c>
      <c r="E1659" s="18" t="s">
        <v>88</v>
      </c>
      <c r="F1659" s="18" t="s">
        <v>89</v>
      </c>
      <c r="G1659" s="18" t="s">
        <v>47</v>
      </c>
      <c r="H1659" s="18" t="s">
        <v>103</v>
      </c>
      <c r="I1659" s="18" t="s">
        <v>56</v>
      </c>
      <c r="J1659" s="18" t="s">
        <v>102</v>
      </c>
      <c r="K1659" s="18">
        <v>10</v>
      </c>
      <c r="L1659" s="20">
        <v>3235.99</v>
      </c>
      <c r="M1659" s="21">
        <v>0.15</v>
      </c>
      <c r="N1659" s="21">
        <v>0.58933220272501996</v>
      </c>
      <c r="O1659" s="20">
        <f t="shared" si="100"/>
        <v>27505.914999999997</v>
      </c>
      <c r="P1659" s="20">
        <f t="shared" si="101"/>
        <v>16210.121474917165</v>
      </c>
      <c r="Q1659" s="20">
        <f t="shared" si="102"/>
        <v>11295.793525082832</v>
      </c>
      <c r="R1659" s="22">
        <f t="shared" si="103"/>
        <v>0.4106677972749801</v>
      </c>
    </row>
    <row r="1660" spans="1:18">
      <c r="A1660" s="18">
        <v>2659</v>
      </c>
      <c r="B1660" s="19" t="s">
        <v>592</v>
      </c>
      <c r="C1660" s="18">
        <v>2025</v>
      </c>
      <c r="D1660" s="18" t="s">
        <v>48</v>
      </c>
      <c r="E1660" s="18" t="s">
        <v>85</v>
      </c>
      <c r="F1660" s="18" t="s">
        <v>94</v>
      </c>
      <c r="G1660" s="18" t="s">
        <v>47</v>
      </c>
      <c r="H1660" s="18" t="s">
        <v>103</v>
      </c>
      <c r="I1660" s="18" t="s">
        <v>58</v>
      </c>
      <c r="J1660" s="18" t="s">
        <v>82</v>
      </c>
      <c r="K1660" s="18">
        <v>5</v>
      </c>
      <c r="L1660" s="20">
        <v>3146.43</v>
      </c>
      <c r="M1660" s="21">
        <v>0.1</v>
      </c>
      <c r="N1660" s="21">
        <v>0.66786405239558599</v>
      </c>
      <c r="O1660" s="20">
        <f t="shared" si="100"/>
        <v>14158.934999999999</v>
      </c>
      <c r="P1660" s="20">
        <f t="shared" si="101"/>
        <v>9456.2437067056962</v>
      </c>
      <c r="Q1660" s="20">
        <f t="shared" si="102"/>
        <v>4702.6912932943033</v>
      </c>
      <c r="R1660" s="22">
        <f t="shared" si="103"/>
        <v>0.33213594760441401</v>
      </c>
    </row>
    <row r="1661" spans="1:18">
      <c r="A1661" s="18">
        <v>2660</v>
      </c>
      <c r="B1661" s="19" t="s">
        <v>592</v>
      </c>
      <c r="C1661" s="18">
        <v>2025</v>
      </c>
      <c r="D1661" s="18" t="s">
        <v>48</v>
      </c>
      <c r="E1661" s="18" t="s">
        <v>79</v>
      </c>
      <c r="F1661" s="18" t="s">
        <v>105</v>
      </c>
      <c r="G1661" s="18" t="s">
        <v>50</v>
      </c>
      <c r="H1661" s="18" t="s">
        <v>97</v>
      </c>
      <c r="I1661" s="18" t="s">
        <v>62</v>
      </c>
      <c r="J1661" s="18" t="s">
        <v>102</v>
      </c>
      <c r="K1661" s="18">
        <v>4</v>
      </c>
      <c r="L1661" s="20">
        <v>12507.71</v>
      </c>
      <c r="M1661" s="21">
        <v>0.15</v>
      </c>
      <c r="N1661" s="21">
        <v>0.59457990892122903</v>
      </c>
      <c r="O1661" s="20">
        <f t="shared" si="100"/>
        <v>42526.213999999993</v>
      </c>
      <c r="P1661" s="20">
        <f t="shared" si="101"/>
        <v>25285.232446884689</v>
      </c>
      <c r="Q1661" s="20">
        <f t="shared" si="102"/>
        <v>17240.981553115304</v>
      </c>
      <c r="R1661" s="22">
        <f t="shared" si="103"/>
        <v>0.40542009107877103</v>
      </c>
    </row>
    <row r="1662" spans="1:18">
      <c r="A1662" s="18">
        <v>2661</v>
      </c>
      <c r="B1662" s="19" t="s">
        <v>593</v>
      </c>
      <c r="C1662" s="18">
        <v>2025</v>
      </c>
      <c r="D1662" s="18" t="s">
        <v>48</v>
      </c>
      <c r="E1662" s="18" t="s">
        <v>98</v>
      </c>
      <c r="F1662" s="18" t="s">
        <v>99</v>
      </c>
      <c r="G1662" s="18" t="s">
        <v>41</v>
      </c>
      <c r="H1662" s="18" t="s">
        <v>101</v>
      </c>
      <c r="I1662" s="18" t="s">
        <v>62</v>
      </c>
      <c r="J1662" s="18" t="s">
        <v>91</v>
      </c>
      <c r="K1662" s="18">
        <v>7</v>
      </c>
      <c r="L1662" s="20">
        <v>53709.51</v>
      </c>
      <c r="M1662" s="21">
        <v>0.15</v>
      </c>
      <c r="N1662" s="21">
        <v>0.59584416902146398</v>
      </c>
      <c r="O1662" s="20">
        <f t="shared" si="100"/>
        <v>319571.5845</v>
      </c>
      <c r="P1662" s="20">
        <f t="shared" si="101"/>
        <v>190414.86520927504</v>
      </c>
      <c r="Q1662" s="20">
        <f t="shared" si="102"/>
        <v>129156.71929072496</v>
      </c>
      <c r="R1662" s="22">
        <f t="shared" si="103"/>
        <v>0.40415583097853608</v>
      </c>
    </row>
    <row r="1663" spans="1:18">
      <c r="A1663" s="18">
        <v>2662</v>
      </c>
      <c r="B1663" s="19" t="s">
        <v>593</v>
      </c>
      <c r="C1663" s="18">
        <v>2025</v>
      </c>
      <c r="D1663" s="18" t="s">
        <v>48</v>
      </c>
      <c r="E1663" s="18" t="s">
        <v>88</v>
      </c>
      <c r="F1663" s="18" t="s">
        <v>89</v>
      </c>
      <c r="G1663" s="18" t="s">
        <v>44</v>
      </c>
      <c r="H1663" s="18" t="s">
        <v>114</v>
      </c>
      <c r="I1663" s="18" t="s">
        <v>40</v>
      </c>
      <c r="J1663" s="18" t="s">
        <v>91</v>
      </c>
      <c r="K1663" s="18">
        <v>1</v>
      </c>
      <c r="L1663" s="20">
        <v>9412.77</v>
      </c>
      <c r="M1663" s="21">
        <v>0.05</v>
      </c>
      <c r="N1663" s="21">
        <v>0.65705152722362403</v>
      </c>
      <c r="O1663" s="20">
        <f t="shared" si="100"/>
        <v>8942.1314999999995</v>
      </c>
      <c r="P1663" s="20">
        <f t="shared" si="101"/>
        <v>5875.4411587094755</v>
      </c>
      <c r="Q1663" s="20">
        <f t="shared" si="102"/>
        <v>3066.690341290524</v>
      </c>
      <c r="R1663" s="22">
        <f t="shared" si="103"/>
        <v>0.34294847277637597</v>
      </c>
    </row>
    <row r="1664" spans="1:18">
      <c r="A1664" s="18">
        <v>2663</v>
      </c>
      <c r="B1664" s="19" t="s">
        <v>593</v>
      </c>
      <c r="C1664" s="18">
        <v>2025</v>
      </c>
      <c r="D1664" s="18" t="s">
        <v>48</v>
      </c>
      <c r="E1664" s="18" t="s">
        <v>85</v>
      </c>
      <c r="F1664" s="18" t="s">
        <v>86</v>
      </c>
      <c r="G1664" s="18" t="s">
        <v>47</v>
      </c>
      <c r="H1664" s="18" t="s">
        <v>103</v>
      </c>
      <c r="I1664" s="18" t="s">
        <v>40</v>
      </c>
      <c r="J1664" s="18" t="s">
        <v>91</v>
      </c>
      <c r="K1664" s="18">
        <v>10</v>
      </c>
      <c r="L1664" s="20">
        <v>3108.29</v>
      </c>
      <c r="M1664" s="21">
        <v>0.2</v>
      </c>
      <c r="N1664" s="21">
        <v>0.66047185106211503</v>
      </c>
      <c r="O1664" s="20">
        <f t="shared" si="100"/>
        <v>24866.320000000003</v>
      </c>
      <c r="P1664" s="20">
        <f t="shared" si="101"/>
        <v>16423.504399502894</v>
      </c>
      <c r="Q1664" s="20">
        <f t="shared" si="102"/>
        <v>8442.8156004971097</v>
      </c>
      <c r="R1664" s="22">
        <f t="shared" si="103"/>
        <v>0.33952814893788502</v>
      </c>
    </row>
    <row r="1665" spans="1:18">
      <c r="A1665" s="18">
        <v>2664</v>
      </c>
      <c r="B1665" s="19" t="s">
        <v>593</v>
      </c>
      <c r="C1665" s="18">
        <v>2025</v>
      </c>
      <c r="D1665" s="18" t="s">
        <v>48</v>
      </c>
      <c r="E1665" s="18" t="s">
        <v>79</v>
      </c>
      <c r="F1665" s="18" t="s">
        <v>100</v>
      </c>
      <c r="G1665" s="18" t="s">
        <v>50</v>
      </c>
      <c r="H1665" s="18" t="s">
        <v>87</v>
      </c>
      <c r="I1665" s="18" t="s">
        <v>54</v>
      </c>
      <c r="J1665" s="18" t="s">
        <v>82</v>
      </c>
      <c r="K1665" s="18">
        <v>9</v>
      </c>
      <c r="L1665" s="20">
        <v>9648.2999999999993</v>
      </c>
      <c r="M1665" s="21">
        <v>0</v>
      </c>
      <c r="N1665" s="21">
        <v>0.68701680813655297</v>
      </c>
      <c r="O1665" s="20">
        <f t="shared" si="100"/>
        <v>86834.7</v>
      </c>
      <c r="P1665" s="20">
        <f t="shared" si="101"/>
        <v>59656.898429495137</v>
      </c>
      <c r="Q1665" s="20">
        <f t="shared" si="102"/>
        <v>27177.80157050486</v>
      </c>
      <c r="R1665" s="22">
        <f t="shared" si="103"/>
        <v>0.31298319186344697</v>
      </c>
    </row>
    <row r="1666" spans="1:18">
      <c r="A1666" s="18">
        <v>2665</v>
      </c>
      <c r="B1666" s="19" t="s">
        <v>594</v>
      </c>
      <c r="C1666" s="18">
        <v>2025</v>
      </c>
      <c r="D1666" s="18" t="s">
        <v>48</v>
      </c>
      <c r="E1666" s="18" t="s">
        <v>98</v>
      </c>
      <c r="F1666" s="18" t="s">
        <v>99</v>
      </c>
      <c r="G1666" s="18" t="s">
        <v>44</v>
      </c>
      <c r="H1666" s="18" t="s">
        <v>114</v>
      </c>
      <c r="I1666" s="18" t="s">
        <v>40</v>
      </c>
      <c r="J1666" s="18" t="s">
        <v>82</v>
      </c>
      <c r="K1666" s="18">
        <v>3</v>
      </c>
      <c r="L1666" s="20">
        <v>9387.9699999999993</v>
      </c>
      <c r="M1666" s="21">
        <v>0.2</v>
      </c>
      <c r="N1666" s="21">
        <v>0.60163864369544795</v>
      </c>
      <c r="O1666" s="20">
        <f t="shared" ref="O1666:O1729" si="104">K1666*L1666*(1-M1666)</f>
        <v>22531.127999999997</v>
      </c>
      <c r="P1666" s="20">
        <f t="shared" ref="P1666:P1729" si="105">O1666*N1666</f>
        <v>13555.597290848529</v>
      </c>
      <c r="Q1666" s="20">
        <f t="shared" ref="Q1666:Q1729" si="106">O1666-P1666</f>
        <v>8975.5307091514678</v>
      </c>
      <c r="R1666" s="22">
        <f t="shared" ref="R1666:R1729" si="107">IF(O1666=0,0,Q1666/O1666)</f>
        <v>0.39836135630455205</v>
      </c>
    </row>
    <row r="1667" spans="1:18">
      <c r="A1667" s="18">
        <v>2666</v>
      </c>
      <c r="B1667" s="19" t="s">
        <v>594</v>
      </c>
      <c r="C1667" s="18">
        <v>2025</v>
      </c>
      <c r="D1667" s="18" t="s">
        <v>48</v>
      </c>
      <c r="E1667" s="18" t="s">
        <v>98</v>
      </c>
      <c r="F1667" s="18" t="s">
        <v>99</v>
      </c>
      <c r="G1667" s="18" t="s">
        <v>47</v>
      </c>
      <c r="H1667" s="18" t="s">
        <v>107</v>
      </c>
      <c r="I1667" s="18" t="s">
        <v>46</v>
      </c>
      <c r="J1667" s="18" t="s">
        <v>91</v>
      </c>
      <c r="K1667" s="18">
        <v>4</v>
      </c>
      <c r="L1667" s="20">
        <v>2250.42</v>
      </c>
      <c r="M1667" s="21">
        <v>0.05</v>
      </c>
      <c r="N1667" s="21">
        <v>0.56952086205049302</v>
      </c>
      <c r="O1667" s="20">
        <f t="shared" si="104"/>
        <v>8551.5959999999995</v>
      </c>
      <c r="P1667" s="20">
        <f t="shared" si="105"/>
        <v>4870.3123258275473</v>
      </c>
      <c r="Q1667" s="20">
        <f t="shared" si="106"/>
        <v>3681.2836741724523</v>
      </c>
      <c r="R1667" s="22">
        <f t="shared" si="107"/>
        <v>0.43047913794950704</v>
      </c>
    </row>
    <row r="1668" spans="1:18">
      <c r="A1668" s="18">
        <v>2667</v>
      </c>
      <c r="B1668" s="19" t="s">
        <v>595</v>
      </c>
      <c r="C1668" s="18">
        <v>2025</v>
      </c>
      <c r="D1668" s="18" t="s">
        <v>48</v>
      </c>
      <c r="E1668" s="18" t="s">
        <v>98</v>
      </c>
      <c r="F1668" s="18" t="s">
        <v>99</v>
      </c>
      <c r="G1668" s="18" t="s">
        <v>41</v>
      </c>
      <c r="H1668" s="18" t="s">
        <v>90</v>
      </c>
      <c r="I1668" s="18" t="s">
        <v>46</v>
      </c>
      <c r="J1668" s="18" t="s">
        <v>82</v>
      </c>
      <c r="K1668" s="18">
        <v>1</v>
      </c>
      <c r="L1668" s="20">
        <v>18816.45</v>
      </c>
      <c r="M1668" s="21">
        <v>0</v>
      </c>
      <c r="N1668" s="21">
        <v>0.70573297406783597</v>
      </c>
      <c r="O1668" s="20">
        <f t="shared" si="104"/>
        <v>18816.45</v>
      </c>
      <c r="P1668" s="20">
        <f t="shared" si="105"/>
        <v>13279.389219898732</v>
      </c>
      <c r="Q1668" s="20">
        <f t="shared" si="106"/>
        <v>5537.0607801012684</v>
      </c>
      <c r="R1668" s="22">
        <f t="shared" si="107"/>
        <v>0.29426702593216403</v>
      </c>
    </row>
    <row r="1669" spans="1:18">
      <c r="A1669" s="18">
        <v>2668</v>
      </c>
      <c r="B1669" s="19" t="s">
        <v>595</v>
      </c>
      <c r="C1669" s="18">
        <v>2025</v>
      </c>
      <c r="D1669" s="18" t="s">
        <v>48</v>
      </c>
      <c r="E1669" s="18" t="s">
        <v>98</v>
      </c>
      <c r="F1669" s="18" t="s">
        <v>117</v>
      </c>
      <c r="G1669" s="18" t="s">
        <v>41</v>
      </c>
      <c r="H1669" s="18" t="s">
        <v>112</v>
      </c>
      <c r="I1669" s="18" t="s">
        <v>54</v>
      </c>
      <c r="J1669" s="18" t="s">
        <v>82</v>
      </c>
      <c r="K1669" s="18">
        <v>9</v>
      </c>
      <c r="L1669" s="20">
        <v>6159.6</v>
      </c>
      <c r="M1669" s="21">
        <v>0.15</v>
      </c>
      <c r="N1669" s="21">
        <v>0.64305944518861102</v>
      </c>
      <c r="O1669" s="20">
        <f t="shared" si="104"/>
        <v>47120.94</v>
      </c>
      <c r="P1669" s="20">
        <f t="shared" si="105"/>
        <v>30301.565533165831</v>
      </c>
      <c r="Q1669" s="20">
        <f t="shared" si="106"/>
        <v>16819.374466834171</v>
      </c>
      <c r="R1669" s="22">
        <f t="shared" si="107"/>
        <v>0.35694055481138898</v>
      </c>
    </row>
    <row r="1670" spans="1:18">
      <c r="A1670" s="18">
        <v>2669</v>
      </c>
      <c r="B1670" s="19" t="s">
        <v>595</v>
      </c>
      <c r="C1670" s="18">
        <v>2025</v>
      </c>
      <c r="D1670" s="18" t="s">
        <v>48</v>
      </c>
      <c r="E1670" s="18" t="s">
        <v>79</v>
      </c>
      <c r="F1670" s="18" t="s">
        <v>105</v>
      </c>
      <c r="G1670" s="18" t="s">
        <v>47</v>
      </c>
      <c r="H1670" s="18" t="s">
        <v>81</v>
      </c>
      <c r="I1670" s="18" t="s">
        <v>54</v>
      </c>
      <c r="J1670" s="18" t="s">
        <v>82</v>
      </c>
      <c r="K1670" s="18">
        <v>6</v>
      </c>
      <c r="L1670" s="20">
        <v>774.11</v>
      </c>
      <c r="M1670" s="21">
        <v>0</v>
      </c>
      <c r="N1670" s="21">
        <v>0.65906089089056996</v>
      </c>
      <c r="O1670" s="20">
        <f t="shared" si="104"/>
        <v>4644.66</v>
      </c>
      <c r="P1670" s="20">
        <f t="shared" si="105"/>
        <v>3061.1137574837944</v>
      </c>
      <c r="Q1670" s="20">
        <f t="shared" si="106"/>
        <v>1583.5462425162054</v>
      </c>
      <c r="R1670" s="22">
        <f t="shared" si="107"/>
        <v>0.34093910910943009</v>
      </c>
    </row>
    <row r="1671" spans="1:18">
      <c r="A1671" s="18">
        <v>2670</v>
      </c>
      <c r="B1671" s="19" t="s">
        <v>595</v>
      </c>
      <c r="C1671" s="18">
        <v>2025</v>
      </c>
      <c r="D1671" s="18" t="s">
        <v>48</v>
      </c>
      <c r="E1671" s="18" t="s">
        <v>98</v>
      </c>
      <c r="F1671" s="18" t="s">
        <v>99</v>
      </c>
      <c r="G1671" s="18" t="s">
        <v>41</v>
      </c>
      <c r="H1671" s="18" t="s">
        <v>90</v>
      </c>
      <c r="I1671" s="18" t="s">
        <v>43</v>
      </c>
      <c r="J1671" s="18" t="s">
        <v>82</v>
      </c>
      <c r="K1671" s="18">
        <v>3</v>
      </c>
      <c r="L1671" s="20">
        <v>17715.78</v>
      </c>
      <c r="M1671" s="21">
        <v>0.15</v>
      </c>
      <c r="N1671" s="21">
        <v>0.71304358942736701</v>
      </c>
      <c r="O1671" s="20">
        <f t="shared" si="104"/>
        <v>45175.238999999994</v>
      </c>
      <c r="P1671" s="20">
        <f t="shared" si="105"/>
        <v>32211.914569799173</v>
      </c>
      <c r="Q1671" s="20">
        <f t="shared" si="106"/>
        <v>12963.324430200821</v>
      </c>
      <c r="R1671" s="22">
        <f t="shared" si="107"/>
        <v>0.28695641057263299</v>
      </c>
    </row>
    <row r="1672" spans="1:18">
      <c r="A1672" s="18">
        <v>2671</v>
      </c>
      <c r="B1672" s="19" t="s">
        <v>596</v>
      </c>
      <c r="C1672" s="18">
        <v>2025</v>
      </c>
      <c r="D1672" s="18" t="s">
        <v>51</v>
      </c>
      <c r="E1672" s="18" t="s">
        <v>85</v>
      </c>
      <c r="F1672" s="18" t="s">
        <v>94</v>
      </c>
      <c r="G1672" s="18" t="s">
        <v>47</v>
      </c>
      <c r="H1672" s="18" t="s">
        <v>81</v>
      </c>
      <c r="I1672" s="18" t="s">
        <v>54</v>
      </c>
      <c r="J1672" s="18" t="s">
        <v>91</v>
      </c>
      <c r="K1672" s="18">
        <v>7</v>
      </c>
      <c r="L1672" s="20">
        <v>768.29</v>
      </c>
      <c r="M1672" s="21">
        <v>0.15</v>
      </c>
      <c r="N1672" s="21">
        <v>0.70517243416876996</v>
      </c>
      <c r="O1672" s="20">
        <f t="shared" si="104"/>
        <v>4571.3254999999999</v>
      </c>
      <c r="P1672" s="20">
        <f t="shared" si="105"/>
        <v>3223.5727302127693</v>
      </c>
      <c r="Q1672" s="20">
        <f t="shared" si="106"/>
        <v>1347.7527697872306</v>
      </c>
      <c r="R1672" s="22">
        <f t="shared" si="107"/>
        <v>0.29482756583123004</v>
      </c>
    </row>
    <row r="1673" spans="1:18">
      <c r="A1673" s="18">
        <v>2672</v>
      </c>
      <c r="B1673" s="19" t="s">
        <v>596</v>
      </c>
      <c r="C1673" s="18">
        <v>2025</v>
      </c>
      <c r="D1673" s="18" t="s">
        <v>51</v>
      </c>
      <c r="E1673" s="18" t="s">
        <v>85</v>
      </c>
      <c r="F1673" s="18" t="s">
        <v>86</v>
      </c>
      <c r="G1673" s="18" t="s">
        <v>44</v>
      </c>
      <c r="H1673" s="18" t="s">
        <v>119</v>
      </c>
      <c r="I1673" s="18" t="s">
        <v>62</v>
      </c>
      <c r="J1673" s="18" t="s">
        <v>102</v>
      </c>
      <c r="K1673" s="18">
        <v>8</v>
      </c>
      <c r="L1673" s="20">
        <v>7191.42</v>
      </c>
      <c r="M1673" s="21">
        <v>0.2</v>
      </c>
      <c r="N1673" s="21">
        <v>0.68947093794778103</v>
      </c>
      <c r="O1673" s="20">
        <f t="shared" si="104"/>
        <v>46025.088000000003</v>
      </c>
      <c r="P1673" s="20">
        <f t="shared" si="105"/>
        <v>31732.960592489162</v>
      </c>
      <c r="Q1673" s="20">
        <f t="shared" si="106"/>
        <v>14292.127407510841</v>
      </c>
      <c r="R1673" s="22">
        <f t="shared" si="107"/>
        <v>0.31052906205221903</v>
      </c>
    </row>
    <row r="1674" spans="1:18">
      <c r="A1674" s="18">
        <v>2673</v>
      </c>
      <c r="B1674" s="19" t="s">
        <v>596</v>
      </c>
      <c r="C1674" s="18">
        <v>2025</v>
      </c>
      <c r="D1674" s="18" t="s">
        <v>51</v>
      </c>
      <c r="E1674" s="18" t="s">
        <v>88</v>
      </c>
      <c r="F1674" s="18" t="s">
        <v>93</v>
      </c>
      <c r="G1674" s="18" t="s">
        <v>50</v>
      </c>
      <c r="H1674" s="18" t="s">
        <v>87</v>
      </c>
      <c r="I1674" s="18" t="s">
        <v>58</v>
      </c>
      <c r="J1674" s="18" t="s">
        <v>91</v>
      </c>
      <c r="K1674" s="18">
        <v>6</v>
      </c>
      <c r="L1674" s="20">
        <v>9635.4</v>
      </c>
      <c r="M1674" s="21">
        <v>0</v>
      </c>
      <c r="N1674" s="21">
        <v>0.72999410635525697</v>
      </c>
      <c r="O1674" s="20">
        <f t="shared" si="104"/>
        <v>57812.399999999994</v>
      </c>
      <c r="P1674" s="20">
        <f t="shared" si="105"/>
        <v>42202.711274252651</v>
      </c>
      <c r="Q1674" s="20">
        <f t="shared" si="106"/>
        <v>15609.688725747343</v>
      </c>
      <c r="R1674" s="22">
        <f t="shared" si="107"/>
        <v>0.27000589364474309</v>
      </c>
    </row>
    <row r="1675" spans="1:18">
      <c r="A1675" s="18">
        <v>2674</v>
      </c>
      <c r="B1675" s="19" t="s">
        <v>597</v>
      </c>
      <c r="C1675" s="18">
        <v>2025</v>
      </c>
      <c r="D1675" s="18" t="s">
        <v>51</v>
      </c>
      <c r="E1675" s="18" t="s">
        <v>85</v>
      </c>
      <c r="F1675" s="18" t="s">
        <v>86</v>
      </c>
      <c r="G1675" s="18" t="s">
        <v>41</v>
      </c>
      <c r="H1675" s="18" t="s">
        <v>106</v>
      </c>
      <c r="I1675" s="18" t="s">
        <v>40</v>
      </c>
      <c r="J1675" s="18" t="s">
        <v>102</v>
      </c>
      <c r="K1675" s="18">
        <v>6</v>
      </c>
      <c r="L1675" s="20">
        <v>2537.1799999999998</v>
      </c>
      <c r="M1675" s="21">
        <v>0.1</v>
      </c>
      <c r="N1675" s="21">
        <v>0.69994653439152099</v>
      </c>
      <c r="O1675" s="20">
        <f t="shared" si="104"/>
        <v>13700.771999999999</v>
      </c>
      <c r="P1675" s="20">
        <f t="shared" si="105"/>
        <v>9589.8078798883871</v>
      </c>
      <c r="Q1675" s="20">
        <f t="shared" si="106"/>
        <v>4110.9641201116119</v>
      </c>
      <c r="R1675" s="22">
        <f t="shared" si="107"/>
        <v>0.30005346560847901</v>
      </c>
    </row>
    <row r="1676" spans="1:18">
      <c r="A1676" s="18">
        <v>2675</v>
      </c>
      <c r="B1676" s="19" t="s">
        <v>597</v>
      </c>
      <c r="C1676" s="18">
        <v>2025</v>
      </c>
      <c r="D1676" s="18" t="s">
        <v>51</v>
      </c>
      <c r="E1676" s="18" t="s">
        <v>79</v>
      </c>
      <c r="F1676" s="18" t="s">
        <v>105</v>
      </c>
      <c r="G1676" s="18" t="s">
        <v>50</v>
      </c>
      <c r="H1676" s="18" t="s">
        <v>83</v>
      </c>
      <c r="I1676" s="18" t="s">
        <v>46</v>
      </c>
      <c r="J1676" s="18" t="s">
        <v>82</v>
      </c>
      <c r="K1676" s="18">
        <v>10</v>
      </c>
      <c r="L1676" s="20">
        <v>3507.18</v>
      </c>
      <c r="M1676" s="21">
        <v>0</v>
      </c>
      <c r="N1676" s="21">
        <v>0.66857710053886499</v>
      </c>
      <c r="O1676" s="20">
        <f t="shared" si="104"/>
        <v>35071.799999999996</v>
      </c>
      <c r="P1676" s="20">
        <f t="shared" si="105"/>
        <v>23448.202354678961</v>
      </c>
      <c r="Q1676" s="20">
        <f t="shared" si="106"/>
        <v>11623.597645321035</v>
      </c>
      <c r="R1676" s="22">
        <f t="shared" si="107"/>
        <v>0.33142289946113507</v>
      </c>
    </row>
    <row r="1677" spans="1:18">
      <c r="A1677" s="18">
        <v>2676</v>
      </c>
      <c r="B1677" s="19" t="s">
        <v>598</v>
      </c>
      <c r="C1677" s="18">
        <v>2025</v>
      </c>
      <c r="D1677" s="18" t="s">
        <v>51</v>
      </c>
      <c r="E1677" s="18" t="s">
        <v>85</v>
      </c>
      <c r="F1677" s="18" t="s">
        <v>94</v>
      </c>
      <c r="G1677" s="18" t="s">
        <v>47</v>
      </c>
      <c r="H1677" s="18" t="s">
        <v>81</v>
      </c>
      <c r="I1677" s="18" t="s">
        <v>62</v>
      </c>
      <c r="J1677" s="18" t="s">
        <v>82</v>
      </c>
      <c r="K1677" s="18">
        <v>11</v>
      </c>
      <c r="L1677" s="20">
        <v>785.37</v>
      </c>
      <c r="M1677" s="21">
        <v>0.05</v>
      </c>
      <c r="N1677" s="21">
        <v>0.65741630766118297</v>
      </c>
      <c r="O1677" s="20">
        <f t="shared" si="104"/>
        <v>8207.1165000000001</v>
      </c>
      <c r="P1677" s="20">
        <f t="shared" si="105"/>
        <v>5395.4922259751711</v>
      </c>
      <c r="Q1677" s="20">
        <f t="shared" si="106"/>
        <v>2811.624274024829</v>
      </c>
      <c r="R1677" s="22">
        <f t="shared" si="107"/>
        <v>0.34258369233881703</v>
      </c>
    </row>
    <row r="1678" spans="1:18">
      <c r="A1678" s="18">
        <v>2677</v>
      </c>
      <c r="B1678" s="19" t="s">
        <v>598</v>
      </c>
      <c r="C1678" s="18">
        <v>2025</v>
      </c>
      <c r="D1678" s="18" t="s">
        <v>51</v>
      </c>
      <c r="E1678" s="18" t="s">
        <v>85</v>
      </c>
      <c r="F1678" s="18" t="s">
        <v>121</v>
      </c>
      <c r="G1678" s="18" t="s">
        <v>41</v>
      </c>
      <c r="H1678" s="18" t="s">
        <v>90</v>
      </c>
      <c r="I1678" s="18" t="s">
        <v>40</v>
      </c>
      <c r="J1678" s="18" t="s">
        <v>91</v>
      </c>
      <c r="K1678" s="18">
        <v>11</v>
      </c>
      <c r="L1678" s="20">
        <v>18835.34</v>
      </c>
      <c r="M1678" s="21">
        <v>0</v>
      </c>
      <c r="N1678" s="21">
        <v>0.68918135502678401</v>
      </c>
      <c r="O1678" s="20">
        <f t="shared" si="104"/>
        <v>207188.74</v>
      </c>
      <c r="P1678" s="20">
        <f t="shared" si="105"/>
        <v>142790.61657949205</v>
      </c>
      <c r="Q1678" s="20">
        <f t="shared" si="106"/>
        <v>64398.123420507938</v>
      </c>
      <c r="R1678" s="22">
        <f t="shared" si="107"/>
        <v>0.31081864497321593</v>
      </c>
    </row>
    <row r="1679" spans="1:18">
      <c r="A1679" s="18">
        <v>2678</v>
      </c>
      <c r="B1679" s="19" t="s">
        <v>598</v>
      </c>
      <c r="C1679" s="18">
        <v>2025</v>
      </c>
      <c r="D1679" s="18" t="s">
        <v>51</v>
      </c>
      <c r="E1679" s="18" t="s">
        <v>85</v>
      </c>
      <c r="F1679" s="18" t="s">
        <v>86</v>
      </c>
      <c r="G1679" s="18" t="s">
        <v>47</v>
      </c>
      <c r="H1679" s="18" t="s">
        <v>107</v>
      </c>
      <c r="I1679" s="18" t="s">
        <v>56</v>
      </c>
      <c r="J1679" s="18" t="s">
        <v>82</v>
      </c>
      <c r="K1679" s="18">
        <v>9</v>
      </c>
      <c r="L1679" s="20">
        <v>2170.0300000000002</v>
      </c>
      <c r="M1679" s="21">
        <v>0.1</v>
      </c>
      <c r="N1679" s="21">
        <v>0.61167702635918297</v>
      </c>
      <c r="O1679" s="20">
        <f t="shared" si="104"/>
        <v>17577.243000000002</v>
      </c>
      <c r="P1679" s="20">
        <f t="shared" si="105"/>
        <v>10751.595729832767</v>
      </c>
      <c r="Q1679" s="20">
        <f t="shared" si="106"/>
        <v>6825.6472701672355</v>
      </c>
      <c r="R1679" s="22">
        <f t="shared" si="107"/>
        <v>0.38832297364081697</v>
      </c>
    </row>
    <row r="1680" spans="1:18">
      <c r="A1680" s="18">
        <v>2679</v>
      </c>
      <c r="B1680" s="19" t="s">
        <v>598</v>
      </c>
      <c r="C1680" s="18">
        <v>2025</v>
      </c>
      <c r="D1680" s="18" t="s">
        <v>51</v>
      </c>
      <c r="E1680" s="18" t="s">
        <v>98</v>
      </c>
      <c r="F1680" s="18" t="s">
        <v>109</v>
      </c>
      <c r="G1680" s="18" t="s">
        <v>41</v>
      </c>
      <c r="H1680" s="18" t="s">
        <v>90</v>
      </c>
      <c r="I1680" s="18" t="s">
        <v>52</v>
      </c>
      <c r="J1680" s="18" t="s">
        <v>91</v>
      </c>
      <c r="K1680" s="18">
        <v>3</v>
      </c>
      <c r="L1680" s="20">
        <v>18381.240000000002</v>
      </c>
      <c r="M1680" s="21">
        <v>0</v>
      </c>
      <c r="N1680" s="21">
        <v>0.73628206331276103</v>
      </c>
      <c r="O1680" s="20">
        <f t="shared" si="104"/>
        <v>55143.72</v>
      </c>
      <c r="P1680" s="20">
        <f t="shared" si="105"/>
        <v>40601.331940341166</v>
      </c>
      <c r="Q1680" s="20">
        <f t="shared" si="106"/>
        <v>14542.388059658835</v>
      </c>
      <c r="R1680" s="22">
        <f t="shared" si="107"/>
        <v>0.26371793668723897</v>
      </c>
    </row>
    <row r="1681" spans="1:18">
      <c r="A1681" s="18">
        <v>2680</v>
      </c>
      <c r="B1681" s="19" t="s">
        <v>598</v>
      </c>
      <c r="C1681" s="18">
        <v>2025</v>
      </c>
      <c r="D1681" s="18" t="s">
        <v>51</v>
      </c>
      <c r="E1681" s="18" t="s">
        <v>79</v>
      </c>
      <c r="F1681" s="18" t="s">
        <v>105</v>
      </c>
      <c r="G1681" s="18" t="s">
        <v>41</v>
      </c>
      <c r="H1681" s="18" t="s">
        <v>90</v>
      </c>
      <c r="I1681" s="18" t="s">
        <v>52</v>
      </c>
      <c r="J1681" s="18" t="s">
        <v>91</v>
      </c>
      <c r="K1681" s="18">
        <v>6</v>
      </c>
      <c r="L1681" s="20">
        <v>18699.14</v>
      </c>
      <c r="M1681" s="21">
        <v>0</v>
      </c>
      <c r="N1681" s="21">
        <v>0.66528227211879298</v>
      </c>
      <c r="O1681" s="20">
        <f t="shared" si="104"/>
        <v>112194.84</v>
      </c>
      <c r="P1681" s="20">
        <f t="shared" si="105"/>
        <v>74641.238075204441</v>
      </c>
      <c r="Q1681" s="20">
        <f t="shared" si="106"/>
        <v>37553.601924795556</v>
      </c>
      <c r="R1681" s="22">
        <f t="shared" si="107"/>
        <v>0.33471772788120696</v>
      </c>
    </row>
    <row r="1682" spans="1:18">
      <c r="A1682" s="18">
        <v>2681</v>
      </c>
      <c r="B1682" s="19" t="s">
        <v>599</v>
      </c>
      <c r="C1682" s="18">
        <v>2025</v>
      </c>
      <c r="D1682" s="18" t="s">
        <v>51</v>
      </c>
      <c r="E1682" s="18" t="s">
        <v>88</v>
      </c>
      <c r="F1682" s="18" t="s">
        <v>110</v>
      </c>
      <c r="G1682" s="18" t="s">
        <v>47</v>
      </c>
      <c r="H1682" s="18" t="s">
        <v>107</v>
      </c>
      <c r="I1682" s="18" t="s">
        <v>60</v>
      </c>
      <c r="J1682" s="18" t="s">
        <v>102</v>
      </c>
      <c r="K1682" s="18">
        <v>2</v>
      </c>
      <c r="L1682" s="20">
        <v>2268.5500000000002</v>
      </c>
      <c r="M1682" s="21">
        <v>0.15</v>
      </c>
      <c r="N1682" s="21">
        <v>0.73704186167919905</v>
      </c>
      <c r="O1682" s="20">
        <f t="shared" si="104"/>
        <v>3856.5350000000003</v>
      </c>
      <c r="P1682" s="20">
        <f t="shared" si="105"/>
        <v>2842.4277360309902</v>
      </c>
      <c r="Q1682" s="20">
        <f t="shared" si="106"/>
        <v>1014.1072639690101</v>
      </c>
      <c r="R1682" s="22">
        <f t="shared" si="107"/>
        <v>0.26295813832080095</v>
      </c>
    </row>
    <row r="1683" spans="1:18">
      <c r="A1683" s="18">
        <v>2682</v>
      </c>
      <c r="B1683" s="19" t="s">
        <v>599</v>
      </c>
      <c r="C1683" s="18">
        <v>2025</v>
      </c>
      <c r="D1683" s="18" t="s">
        <v>51</v>
      </c>
      <c r="E1683" s="18" t="s">
        <v>98</v>
      </c>
      <c r="F1683" s="18" t="s">
        <v>99</v>
      </c>
      <c r="G1683" s="18" t="s">
        <v>47</v>
      </c>
      <c r="H1683" s="18" t="s">
        <v>81</v>
      </c>
      <c r="I1683" s="18" t="s">
        <v>56</v>
      </c>
      <c r="J1683" s="18" t="s">
        <v>82</v>
      </c>
      <c r="K1683" s="18">
        <v>5</v>
      </c>
      <c r="L1683" s="20">
        <v>833.51</v>
      </c>
      <c r="M1683" s="21">
        <v>0.1</v>
      </c>
      <c r="N1683" s="21">
        <v>0.56859349557444105</v>
      </c>
      <c r="O1683" s="20">
        <f t="shared" si="104"/>
        <v>3750.7950000000001</v>
      </c>
      <c r="P1683" s="20">
        <f t="shared" si="105"/>
        <v>2132.6776402331357</v>
      </c>
      <c r="Q1683" s="20">
        <f t="shared" si="106"/>
        <v>1618.1173597668644</v>
      </c>
      <c r="R1683" s="22">
        <f t="shared" si="107"/>
        <v>0.43140650442555895</v>
      </c>
    </row>
    <row r="1684" spans="1:18">
      <c r="A1684" s="18">
        <v>2683</v>
      </c>
      <c r="B1684" s="19" t="s">
        <v>600</v>
      </c>
      <c r="C1684" s="18">
        <v>2025</v>
      </c>
      <c r="D1684" s="18" t="s">
        <v>51</v>
      </c>
      <c r="E1684" s="18" t="s">
        <v>98</v>
      </c>
      <c r="F1684" s="18" t="s">
        <v>99</v>
      </c>
      <c r="G1684" s="18" t="s">
        <v>41</v>
      </c>
      <c r="H1684" s="18" t="s">
        <v>101</v>
      </c>
      <c r="I1684" s="18" t="s">
        <v>43</v>
      </c>
      <c r="J1684" s="18" t="s">
        <v>82</v>
      </c>
      <c r="K1684" s="18">
        <v>10</v>
      </c>
      <c r="L1684" s="20">
        <v>52272.05</v>
      </c>
      <c r="M1684" s="21">
        <v>0.1</v>
      </c>
      <c r="N1684" s="21">
        <v>0.55850496958080398</v>
      </c>
      <c r="O1684" s="20">
        <f t="shared" si="104"/>
        <v>470448.45</v>
      </c>
      <c r="P1684" s="20">
        <f t="shared" si="105"/>
        <v>262747.79725658637</v>
      </c>
      <c r="Q1684" s="20">
        <f t="shared" si="106"/>
        <v>207700.65274341364</v>
      </c>
      <c r="R1684" s="22">
        <f t="shared" si="107"/>
        <v>0.44149503041919608</v>
      </c>
    </row>
    <row r="1685" spans="1:18">
      <c r="A1685" s="18">
        <v>2684</v>
      </c>
      <c r="B1685" s="19" t="s">
        <v>600</v>
      </c>
      <c r="C1685" s="18">
        <v>2025</v>
      </c>
      <c r="D1685" s="18" t="s">
        <v>51</v>
      </c>
      <c r="E1685" s="18" t="s">
        <v>98</v>
      </c>
      <c r="F1685" s="18" t="s">
        <v>109</v>
      </c>
      <c r="G1685" s="18" t="s">
        <v>41</v>
      </c>
      <c r="H1685" s="18" t="s">
        <v>106</v>
      </c>
      <c r="I1685" s="18" t="s">
        <v>46</v>
      </c>
      <c r="J1685" s="18" t="s">
        <v>102</v>
      </c>
      <c r="K1685" s="18">
        <v>9</v>
      </c>
      <c r="L1685" s="20">
        <v>2598.7600000000002</v>
      </c>
      <c r="M1685" s="21">
        <v>0</v>
      </c>
      <c r="N1685" s="21">
        <v>0.56640177567908601</v>
      </c>
      <c r="O1685" s="20">
        <f t="shared" si="104"/>
        <v>23388.840000000004</v>
      </c>
      <c r="P1685" s="20">
        <f t="shared" si="105"/>
        <v>13247.480507074037</v>
      </c>
      <c r="Q1685" s="20">
        <f t="shared" si="106"/>
        <v>10141.359492925967</v>
      </c>
      <c r="R1685" s="22">
        <f t="shared" si="107"/>
        <v>0.43359822432091399</v>
      </c>
    </row>
    <row r="1686" spans="1:18">
      <c r="A1686" s="18">
        <v>2685</v>
      </c>
      <c r="B1686" s="19" t="s">
        <v>600</v>
      </c>
      <c r="C1686" s="18">
        <v>2025</v>
      </c>
      <c r="D1686" s="18" t="s">
        <v>51</v>
      </c>
      <c r="E1686" s="18" t="s">
        <v>88</v>
      </c>
      <c r="F1686" s="18" t="s">
        <v>110</v>
      </c>
      <c r="G1686" s="18" t="s">
        <v>41</v>
      </c>
      <c r="H1686" s="18" t="s">
        <v>90</v>
      </c>
      <c r="I1686" s="18" t="s">
        <v>58</v>
      </c>
      <c r="J1686" s="18" t="s">
        <v>82</v>
      </c>
      <c r="K1686" s="18">
        <v>12</v>
      </c>
      <c r="L1686" s="20">
        <v>18374.689999999999</v>
      </c>
      <c r="M1686" s="21">
        <v>0</v>
      </c>
      <c r="N1686" s="21">
        <v>0.69757233404709595</v>
      </c>
      <c r="O1686" s="20">
        <f t="shared" si="104"/>
        <v>220496.27999999997</v>
      </c>
      <c r="P1686" s="20">
        <f t="shared" si="105"/>
        <v>153812.10468830197</v>
      </c>
      <c r="Q1686" s="20">
        <f t="shared" si="106"/>
        <v>66684.175311697996</v>
      </c>
      <c r="R1686" s="22">
        <f t="shared" si="107"/>
        <v>0.3024276659529041</v>
      </c>
    </row>
    <row r="1687" spans="1:18">
      <c r="A1687" s="18">
        <v>2686</v>
      </c>
      <c r="B1687" s="19" t="s">
        <v>600</v>
      </c>
      <c r="C1687" s="18">
        <v>2025</v>
      </c>
      <c r="D1687" s="18" t="s">
        <v>51</v>
      </c>
      <c r="E1687" s="18" t="s">
        <v>88</v>
      </c>
      <c r="F1687" s="18" t="s">
        <v>89</v>
      </c>
      <c r="G1687" s="18" t="s">
        <v>41</v>
      </c>
      <c r="H1687" s="18" t="s">
        <v>106</v>
      </c>
      <c r="I1687" s="18" t="s">
        <v>62</v>
      </c>
      <c r="J1687" s="18" t="s">
        <v>102</v>
      </c>
      <c r="K1687" s="18">
        <v>4</v>
      </c>
      <c r="L1687" s="20">
        <v>2498.16</v>
      </c>
      <c r="M1687" s="21">
        <v>0</v>
      </c>
      <c r="N1687" s="21">
        <v>0.56187433217424598</v>
      </c>
      <c r="O1687" s="20">
        <f t="shared" si="104"/>
        <v>9992.64</v>
      </c>
      <c r="P1687" s="20">
        <f t="shared" si="105"/>
        <v>5614.6079266576571</v>
      </c>
      <c r="Q1687" s="20">
        <f t="shared" si="106"/>
        <v>4378.0320733423423</v>
      </c>
      <c r="R1687" s="22">
        <f t="shared" si="107"/>
        <v>0.43812566782575402</v>
      </c>
    </row>
    <row r="1688" spans="1:18">
      <c r="A1688" s="18">
        <v>2687</v>
      </c>
      <c r="B1688" s="19" t="s">
        <v>601</v>
      </c>
      <c r="C1688" s="18">
        <v>2025</v>
      </c>
      <c r="D1688" s="18" t="s">
        <v>51</v>
      </c>
      <c r="E1688" s="18" t="s">
        <v>85</v>
      </c>
      <c r="F1688" s="18" t="s">
        <v>86</v>
      </c>
      <c r="G1688" s="18" t="s">
        <v>47</v>
      </c>
      <c r="H1688" s="18" t="s">
        <v>107</v>
      </c>
      <c r="I1688" s="18" t="s">
        <v>46</v>
      </c>
      <c r="J1688" s="18" t="s">
        <v>91</v>
      </c>
      <c r="K1688" s="18">
        <v>10</v>
      </c>
      <c r="L1688" s="20">
        <v>2180.54</v>
      </c>
      <c r="M1688" s="21">
        <v>0.15</v>
      </c>
      <c r="N1688" s="21">
        <v>0.60753255079591295</v>
      </c>
      <c r="O1688" s="20">
        <f t="shared" si="104"/>
        <v>18534.59</v>
      </c>
      <c r="P1688" s="20">
        <f t="shared" si="105"/>
        <v>11260.36674065642</v>
      </c>
      <c r="Q1688" s="20">
        <f t="shared" si="106"/>
        <v>7274.2232593435801</v>
      </c>
      <c r="R1688" s="22">
        <f t="shared" si="107"/>
        <v>0.39246744920408705</v>
      </c>
    </row>
    <row r="1689" spans="1:18">
      <c r="A1689" s="18">
        <v>2688</v>
      </c>
      <c r="B1689" s="19" t="s">
        <v>601</v>
      </c>
      <c r="C1689" s="18">
        <v>2025</v>
      </c>
      <c r="D1689" s="18" t="s">
        <v>51</v>
      </c>
      <c r="E1689" s="18" t="s">
        <v>88</v>
      </c>
      <c r="F1689" s="18" t="s">
        <v>93</v>
      </c>
      <c r="G1689" s="18" t="s">
        <v>41</v>
      </c>
      <c r="H1689" s="18" t="s">
        <v>112</v>
      </c>
      <c r="I1689" s="18" t="s">
        <v>52</v>
      </c>
      <c r="J1689" s="18" t="s">
        <v>102</v>
      </c>
      <c r="K1689" s="18">
        <v>10</v>
      </c>
      <c r="L1689" s="20">
        <v>5998.61</v>
      </c>
      <c r="M1689" s="21">
        <v>0</v>
      </c>
      <c r="N1689" s="21">
        <v>0.63110899268200604</v>
      </c>
      <c r="O1689" s="20">
        <f t="shared" si="104"/>
        <v>59986.1</v>
      </c>
      <c r="P1689" s="20">
        <f t="shared" si="105"/>
        <v>37857.76714592208</v>
      </c>
      <c r="Q1689" s="20">
        <f t="shared" si="106"/>
        <v>22128.332854077918</v>
      </c>
      <c r="R1689" s="22">
        <f t="shared" si="107"/>
        <v>0.36889100731799396</v>
      </c>
    </row>
    <row r="1690" spans="1:18">
      <c r="A1690" s="18">
        <v>2689</v>
      </c>
      <c r="B1690" s="19" t="s">
        <v>601</v>
      </c>
      <c r="C1690" s="18">
        <v>2025</v>
      </c>
      <c r="D1690" s="18" t="s">
        <v>51</v>
      </c>
      <c r="E1690" s="18" t="s">
        <v>88</v>
      </c>
      <c r="F1690" s="18" t="s">
        <v>93</v>
      </c>
      <c r="G1690" s="18" t="s">
        <v>47</v>
      </c>
      <c r="H1690" s="18" t="s">
        <v>103</v>
      </c>
      <c r="I1690" s="18" t="s">
        <v>46</v>
      </c>
      <c r="J1690" s="18" t="s">
        <v>102</v>
      </c>
      <c r="K1690" s="18">
        <v>3</v>
      </c>
      <c r="L1690" s="20">
        <v>3300.62</v>
      </c>
      <c r="M1690" s="21">
        <v>0.15</v>
      </c>
      <c r="N1690" s="21">
        <v>0.57399544710990003</v>
      </c>
      <c r="O1690" s="20">
        <f t="shared" si="104"/>
        <v>8416.5810000000001</v>
      </c>
      <c r="P1690" s="20">
        <f t="shared" si="105"/>
        <v>4831.0791742316896</v>
      </c>
      <c r="Q1690" s="20">
        <f t="shared" si="106"/>
        <v>3585.5018257683105</v>
      </c>
      <c r="R1690" s="22">
        <f t="shared" si="107"/>
        <v>0.42600455289009997</v>
      </c>
    </row>
    <row r="1691" spans="1:18">
      <c r="A1691" s="18">
        <v>2690</v>
      </c>
      <c r="B1691" s="19" t="s">
        <v>602</v>
      </c>
      <c r="C1691" s="18">
        <v>2025</v>
      </c>
      <c r="D1691" s="18" t="s">
        <v>51</v>
      </c>
      <c r="E1691" s="18" t="s">
        <v>88</v>
      </c>
      <c r="F1691" s="18" t="s">
        <v>93</v>
      </c>
      <c r="G1691" s="18" t="s">
        <v>41</v>
      </c>
      <c r="H1691" s="18" t="s">
        <v>101</v>
      </c>
      <c r="I1691" s="18" t="s">
        <v>49</v>
      </c>
      <c r="J1691" s="18" t="s">
        <v>102</v>
      </c>
      <c r="K1691" s="18">
        <v>1</v>
      </c>
      <c r="L1691" s="20">
        <v>56271.89</v>
      </c>
      <c r="M1691" s="21">
        <v>0.2</v>
      </c>
      <c r="N1691" s="21">
        <v>0.62894375344062203</v>
      </c>
      <c r="O1691" s="20">
        <f t="shared" si="104"/>
        <v>45017.512000000002</v>
      </c>
      <c r="P1691" s="20">
        <f t="shared" si="105"/>
        <v>28313.482967838245</v>
      </c>
      <c r="Q1691" s="20">
        <f t="shared" si="106"/>
        <v>16704.029032161758</v>
      </c>
      <c r="R1691" s="22">
        <f t="shared" si="107"/>
        <v>0.37105624655937797</v>
      </c>
    </row>
    <row r="1692" spans="1:18">
      <c r="A1692" s="18">
        <v>2691</v>
      </c>
      <c r="B1692" s="19" t="s">
        <v>602</v>
      </c>
      <c r="C1692" s="18">
        <v>2025</v>
      </c>
      <c r="D1692" s="18" t="s">
        <v>51</v>
      </c>
      <c r="E1692" s="18" t="s">
        <v>88</v>
      </c>
      <c r="F1692" s="18" t="s">
        <v>89</v>
      </c>
      <c r="G1692" s="18" t="s">
        <v>41</v>
      </c>
      <c r="H1692" s="18" t="s">
        <v>90</v>
      </c>
      <c r="I1692" s="18" t="s">
        <v>49</v>
      </c>
      <c r="J1692" s="18" t="s">
        <v>102</v>
      </c>
      <c r="K1692" s="18">
        <v>2</v>
      </c>
      <c r="L1692" s="20">
        <v>18593.95</v>
      </c>
      <c r="M1692" s="21">
        <v>0</v>
      </c>
      <c r="N1692" s="21">
        <v>0.63267116711579796</v>
      </c>
      <c r="O1692" s="20">
        <f t="shared" si="104"/>
        <v>37187.9</v>
      </c>
      <c r="P1692" s="20">
        <f t="shared" si="105"/>
        <v>23527.712095585583</v>
      </c>
      <c r="Q1692" s="20">
        <f t="shared" si="106"/>
        <v>13660.187904414419</v>
      </c>
      <c r="R1692" s="22">
        <f t="shared" si="107"/>
        <v>0.36732883288420209</v>
      </c>
    </row>
    <row r="1693" spans="1:18">
      <c r="A1693" s="18">
        <v>2692</v>
      </c>
      <c r="B1693" s="19" t="s">
        <v>602</v>
      </c>
      <c r="C1693" s="18">
        <v>2025</v>
      </c>
      <c r="D1693" s="18" t="s">
        <v>51</v>
      </c>
      <c r="E1693" s="18" t="s">
        <v>98</v>
      </c>
      <c r="F1693" s="18" t="s">
        <v>117</v>
      </c>
      <c r="G1693" s="18" t="s">
        <v>50</v>
      </c>
      <c r="H1693" s="18" t="s">
        <v>83</v>
      </c>
      <c r="I1693" s="18" t="s">
        <v>46</v>
      </c>
      <c r="J1693" s="18" t="s">
        <v>102</v>
      </c>
      <c r="K1693" s="18">
        <v>11</v>
      </c>
      <c r="L1693" s="20">
        <v>3599.96</v>
      </c>
      <c r="M1693" s="21">
        <v>0.05</v>
      </c>
      <c r="N1693" s="21">
        <v>0.61502232250161504</v>
      </c>
      <c r="O1693" s="20">
        <f t="shared" si="104"/>
        <v>37619.581999999995</v>
      </c>
      <c r="P1693" s="20">
        <f t="shared" si="105"/>
        <v>23136.882693179949</v>
      </c>
      <c r="Q1693" s="20">
        <f t="shared" si="106"/>
        <v>14482.699306820046</v>
      </c>
      <c r="R1693" s="22">
        <f t="shared" si="107"/>
        <v>0.38497767749838496</v>
      </c>
    </row>
    <row r="1694" spans="1:18">
      <c r="A1694" s="18">
        <v>2693</v>
      </c>
      <c r="B1694" s="19" t="s">
        <v>603</v>
      </c>
      <c r="C1694" s="18">
        <v>2025</v>
      </c>
      <c r="D1694" s="18" t="s">
        <v>51</v>
      </c>
      <c r="E1694" s="18" t="s">
        <v>85</v>
      </c>
      <c r="F1694" s="18" t="s">
        <v>94</v>
      </c>
      <c r="G1694" s="18" t="s">
        <v>47</v>
      </c>
      <c r="H1694" s="18" t="s">
        <v>107</v>
      </c>
      <c r="I1694" s="18" t="s">
        <v>49</v>
      </c>
      <c r="J1694" s="18" t="s">
        <v>102</v>
      </c>
      <c r="K1694" s="18">
        <v>3</v>
      </c>
      <c r="L1694" s="20">
        <v>2135.4899999999998</v>
      </c>
      <c r="M1694" s="21">
        <v>0.05</v>
      </c>
      <c r="N1694" s="21">
        <v>0.58760013858966698</v>
      </c>
      <c r="O1694" s="20">
        <f t="shared" si="104"/>
        <v>6086.1464999999989</v>
      </c>
      <c r="P1694" s="20">
        <f t="shared" si="105"/>
        <v>3576.2205268770158</v>
      </c>
      <c r="Q1694" s="20">
        <f t="shared" si="106"/>
        <v>2509.9259731229831</v>
      </c>
      <c r="R1694" s="22">
        <f t="shared" si="107"/>
        <v>0.41239986141033308</v>
      </c>
    </row>
    <row r="1695" spans="1:18">
      <c r="A1695" s="18">
        <v>2694</v>
      </c>
      <c r="B1695" s="19" t="s">
        <v>603</v>
      </c>
      <c r="C1695" s="18">
        <v>2025</v>
      </c>
      <c r="D1695" s="18" t="s">
        <v>51</v>
      </c>
      <c r="E1695" s="18" t="s">
        <v>88</v>
      </c>
      <c r="F1695" s="18" t="s">
        <v>89</v>
      </c>
      <c r="G1695" s="18" t="s">
        <v>50</v>
      </c>
      <c r="H1695" s="18" t="s">
        <v>97</v>
      </c>
      <c r="I1695" s="18" t="s">
        <v>56</v>
      </c>
      <c r="J1695" s="18" t="s">
        <v>82</v>
      </c>
      <c r="K1695" s="18">
        <v>5</v>
      </c>
      <c r="L1695" s="20">
        <v>11403.67</v>
      </c>
      <c r="M1695" s="21">
        <v>0.1</v>
      </c>
      <c r="N1695" s="21">
        <v>0.58172101983637303</v>
      </c>
      <c r="O1695" s="20">
        <f t="shared" si="104"/>
        <v>51316.514999999999</v>
      </c>
      <c r="P1695" s="20">
        <f t="shared" si="105"/>
        <v>29851.895440248532</v>
      </c>
      <c r="Q1695" s="20">
        <f t="shared" si="106"/>
        <v>21464.619559751467</v>
      </c>
      <c r="R1695" s="22">
        <f t="shared" si="107"/>
        <v>0.41827898016362702</v>
      </c>
    </row>
    <row r="1696" spans="1:18">
      <c r="A1696" s="18">
        <v>2695</v>
      </c>
      <c r="B1696" s="19" t="s">
        <v>603</v>
      </c>
      <c r="C1696" s="18">
        <v>2025</v>
      </c>
      <c r="D1696" s="18" t="s">
        <v>51</v>
      </c>
      <c r="E1696" s="18" t="s">
        <v>79</v>
      </c>
      <c r="F1696" s="18" t="s">
        <v>80</v>
      </c>
      <c r="G1696" s="18" t="s">
        <v>50</v>
      </c>
      <c r="H1696" s="18" t="s">
        <v>87</v>
      </c>
      <c r="I1696" s="18" t="s">
        <v>52</v>
      </c>
      <c r="J1696" s="18" t="s">
        <v>82</v>
      </c>
      <c r="K1696" s="18">
        <v>7</v>
      </c>
      <c r="L1696" s="20">
        <v>9129.9</v>
      </c>
      <c r="M1696" s="21">
        <v>0.05</v>
      </c>
      <c r="N1696" s="21">
        <v>0.57813957226789903</v>
      </c>
      <c r="O1696" s="20">
        <f t="shared" si="104"/>
        <v>60713.834999999992</v>
      </c>
      <c r="P1696" s="20">
        <f t="shared" si="105"/>
        <v>35101.070597643789</v>
      </c>
      <c r="Q1696" s="20">
        <f t="shared" si="106"/>
        <v>25612.764402356202</v>
      </c>
      <c r="R1696" s="22">
        <f t="shared" si="107"/>
        <v>0.42186042773210103</v>
      </c>
    </row>
    <row r="1697" spans="1:18">
      <c r="A1697" s="18">
        <v>2696</v>
      </c>
      <c r="B1697" s="19" t="s">
        <v>603</v>
      </c>
      <c r="C1697" s="18">
        <v>2025</v>
      </c>
      <c r="D1697" s="18" t="s">
        <v>51</v>
      </c>
      <c r="E1697" s="18" t="s">
        <v>98</v>
      </c>
      <c r="F1697" s="18" t="s">
        <v>117</v>
      </c>
      <c r="G1697" s="18" t="s">
        <v>50</v>
      </c>
      <c r="H1697" s="18" t="s">
        <v>83</v>
      </c>
      <c r="I1697" s="18" t="s">
        <v>58</v>
      </c>
      <c r="J1697" s="18" t="s">
        <v>102</v>
      </c>
      <c r="K1697" s="18">
        <v>2</v>
      </c>
      <c r="L1697" s="20">
        <v>3530.27</v>
      </c>
      <c r="M1697" s="21">
        <v>0.05</v>
      </c>
      <c r="N1697" s="21">
        <v>0.61063913798965497</v>
      </c>
      <c r="O1697" s="20">
        <f t="shared" si="104"/>
        <v>6707.5129999999999</v>
      </c>
      <c r="P1697" s="20">
        <f t="shared" si="105"/>
        <v>4095.8699563744044</v>
      </c>
      <c r="Q1697" s="20">
        <f t="shared" si="106"/>
        <v>2611.6430436255955</v>
      </c>
      <c r="R1697" s="22">
        <f t="shared" si="107"/>
        <v>0.38936086201034503</v>
      </c>
    </row>
    <row r="1698" spans="1:18">
      <c r="A1698" s="18">
        <v>2697</v>
      </c>
      <c r="B1698" s="19" t="s">
        <v>603</v>
      </c>
      <c r="C1698" s="18">
        <v>2025</v>
      </c>
      <c r="D1698" s="18" t="s">
        <v>51</v>
      </c>
      <c r="E1698" s="18" t="s">
        <v>88</v>
      </c>
      <c r="F1698" s="18" t="s">
        <v>89</v>
      </c>
      <c r="G1698" s="18" t="s">
        <v>44</v>
      </c>
      <c r="H1698" s="18" t="s">
        <v>95</v>
      </c>
      <c r="I1698" s="18" t="s">
        <v>52</v>
      </c>
      <c r="J1698" s="18" t="s">
        <v>91</v>
      </c>
      <c r="K1698" s="18">
        <v>7</v>
      </c>
      <c r="L1698" s="20">
        <v>4396.34</v>
      </c>
      <c r="M1698" s="21">
        <v>0.1</v>
      </c>
      <c r="N1698" s="21">
        <v>0.59411313152034495</v>
      </c>
      <c r="O1698" s="20">
        <f t="shared" si="104"/>
        <v>27696.942000000003</v>
      </c>
      <c r="P1698" s="20">
        <f t="shared" si="105"/>
        <v>16455.116945157366</v>
      </c>
      <c r="Q1698" s="20">
        <f t="shared" si="106"/>
        <v>11241.825054842637</v>
      </c>
      <c r="R1698" s="22">
        <f t="shared" si="107"/>
        <v>0.40588686847965511</v>
      </c>
    </row>
    <row r="1699" spans="1:18">
      <c r="A1699" s="18">
        <v>2698</v>
      </c>
      <c r="B1699" s="19" t="s">
        <v>604</v>
      </c>
      <c r="C1699" s="18">
        <v>2025</v>
      </c>
      <c r="D1699" s="18" t="s">
        <v>51</v>
      </c>
      <c r="E1699" s="18" t="s">
        <v>79</v>
      </c>
      <c r="F1699" s="18" t="s">
        <v>100</v>
      </c>
      <c r="G1699" s="18" t="s">
        <v>50</v>
      </c>
      <c r="H1699" s="18" t="s">
        <v>97</v>
      </c>
      <c r="I1699" s="18" t="s">
        <v>49</v>
      </c>
      <c r="J1699" s="18" t="s">
        <v>102</v>
      </c>
      <c r="K1699" s="18">
        <v>9</v>
      </c>
      <c r="L1699" s="20">
        <v>12170.27</v>
      </c>
      <c r="M1699" s="21">
        <v>0</v>
      </c>
      <c r="N1699" s="21">
        <v>0.57196487973284105</v>
      </c>
      <c r="O1699" s="20">
        <f t="shared" si="104"/>
        <v>109532.43000000001</v>
      </c>
      <c r="P1699" s="20">
        <f t="shared" si="105"/>
        <v>62648.703151795838</v>
      </c>
      <c r="Q1699" s="20">
        <f t="shared" si="106"/>
        <v>46883.726848204169</v>
      </c>
      <c r="R1699" s="22">
        <f t="shared" si="107"/>
        <v>0.4280351202671589</v>
      </c>
    </row>
    <row r="1700" spans="1:18">
      <c r="A1700" s="18">
        <v>2699</v>
      </c>
      <c r="B1700" s="19" t="s">
        <v>604</v>
      </c>
      <c r="C1700" s="18">
        <v>2025</v>
      </c>
      <c r="D1700" s="18" t="s">
        <v>51</v>
      </c>
      <c r="E1700" s="18" t="s">
        <v>98</v>
      </c>
      <c r="F1700" s="18" t="s">
        <v>99</v>
      </c>
      <c r="G1700" s="18" t="s">
        <v>47</v>
      </c>
      <c r="H1700" s="18" t="s">
        <v>103</v>
      </c>
      <c r="I1700" s="18" t="s">
        <v>43</v>
      </c>
      <c r="J1700" s="18" t="s">
        <v>91</v>
      </c>
      <c r="K1700" s="18">
        <v>11</v>
      </c>
      <c r="L1700" s="20">
        <v>3205.27</v>
      </c>
      <c r="M1700" s="21">
        <v>0.05</v>
      </c>
      <c r="N1700" s="21">
        <v>0.69928058595018805</v>
      </c>
      <c r="O1700" s="20">
        <f t="shared" si="104"/>
        <v>33495.071499999998</v>
      </c>
      <c r="P1700" s="20">
        <f t="shared" si="105"/>
        <v>23422.453224963443</v>
      </c>
      <c r="Q1700" s="20">
        <f t="shared" si="106"/>
        <v>10072.618275036555</v>
      </c>
      <c r="R1700" s="22">
        <f t="shared" si="107"/>
        <v>0.30071941404981195</v>
      </c>
    </row>
    <row r="1701" spans="1:18">
      <c r="A1701" s="18">
        <v>2700</v>
      </c>
      <c r="B1701" s="19" t="s">
        <v>604</v>
      </c>
      <c r="C1701" s="18">
        <v>2025</v>
      </c>
      <c r="D1701" s="18" t="s">
        <v>51</v>
      </c>
      <c r="E1701" s="18" t="s">
        <v>79</v>
      </c>
      <c r="F1701" s="18" t="s">
        <v>100</v>
      </c>
      <c r="G1701" s="18" t="s">
        <v>41</v>
      </c>
      <c r="H1701" s="18" t="s">
        <v>101</v>
      </c>
      <c r="I1701" s="18" t="s">
        <v>52</v>
      </c>
      <c r="J1701" s="18" t="s">
        <v>91</v>
      </c>
      <c r="K1701" s="18">
        <v>4</v>
      </c>
      <c r="L1701" s="20">
        <v>56417.55</v>
      </c>
      <c r="M1701" s="21">
        <v>0.2</v>
      </c>
      <c r="N1701" s="21">
        <v>0.73627432518595204</v>
      </c>
      <c r="O1701" s="20">
        <f t="shared" si="104"/>
        <v>180536.16000000003</v>
      </c>
      <c r="P1701" s="20">
        <f t="shared" si="105"/>
        <v>132924.1393756631</v>
      </c>
      <c r="Q1701" s="20">
        <f t="shared" si="106"/>
        <v>47612.020624336932</v>
      </c>
      <c r="R1701" s="22">
        <f t="shared" si="107"/>
        <v>0.26372567481404791</v>
      </c>
    </row>
    <row r="1702" spans="1:18">
      <c r="A1702" s="18">
        <v>2701</v>
      </c>
      <c r="B1702" s="19" t="s">
        <v>605</v>
      </c>
      <c r="C1702" s="18">
        <v>2025</v>
      </c>
      <c r="D1702" s="18" t="s">
        <v>51</v>
      </c>
      <c r="E1702" s="18" t="s">
        <v>85</v>
      </c>
      <c r="F1702" s="18" t="s">
        <v>94</v>
      </c>
      <c r="G1702" s="18" t="s">
        <v>41</v>
      </c>
      <c r="H1702" s="18" t="s">
        <v>101</v>
      </c>
      <c r="I1702" s="18" t="s">
        <v>40</v>
      </c>
      <c r="J1702" s="18" t="s">
        <v>91</v>
      </c>
      <c r="K1702" s="18">
        <v>12</v>
      </c>
      <c r="L1702" s="20">
        <v>56483.28</v>
      </c>
      <c r="M1702" s="21">
        <v>0.1</v>
      </c>
      <c r="N1702" s="21">
        <v>0.66359021267488005</v>
      </c>
      <c r="O1702" s="20">
        <f t="shared" si="104"/>
        <v>610019.424</v>
      </c>
      <c r="P1702" s="20">
        <f t="shared" si="105"/>
        <v>404802.91930796782</v>
      </c>
      <c r="Q1702" s="20">
        <f t="shared" si="106"/>
        <v>205216.50469203218</v>
      </c>
      <c r="R1702" s="22">
        <f t="shared" si="107"/>
        <v>0.33640978732511995</v>
      </c>
    </row>
    <row r="1703" spans="1:18">
      <c r="A1703" s="18">
        <v>2702</v>
      </c>
      <c r="B1703" s="19" t="s">
        <v>605</v>
      </c>
      <c r="C1703" s="18">
        <v>2025</v>
      </c>
      <c r="D1703" s="18" t="s">
        <v>51</v>
      </c>
      <c r="E1703" s="18" t="s">
        <v>79</v>
      </c>
      <c r="F1703" s="18" t="s">
        <v>105</v>
      </c>
      <c r="G1703" s="18" t="s">
        <v>44</v>
      </c>
      <c r="H1703" s="18" t="s">
        <v>119</v>
      </c>
      <c r="I1703" s="18" t="s">
        <v>43</v>
      </c>
      <c r="J1703" s="18" t="s">
        <v>102</v>
      </c>
      <c r="K1703" s="18">
        <v>5</v>
      </c>
      <c r="L1703" s="20">
        <v>7154.62</v>
      </c>
      <c r="M1703" s="21">
        <v>0.1</v>
      </c>
      <c r="N1703" s="21">
        <v>0.60023354246620397</v>
      </c>
      <c r="O1703" s="20">
        <f t="shared" si="104"/>
        <v>32195.79</v>
      </c>
      <c r="P1703" s="20">
        <f t="shared" si="105"/>
        <v>19324.993084197984</v>
      </c>
      <c r="Q1703" s="20">
        <f t="shared" si="106"/>
        <v>12870.796915802017</v>
      </c>
      <c r="R1703" s="22">
        <f t="shared" si="107"/>
        <v>0.39976645753379608</v>
      </c>
    </row>
    <row r="1704" spans="1:18">
      <c r="A1704" s="18">
        <v>2703</v>
      </c>
      <c r="B1704" s="19" t="s">
        <v>605</v>
      </c>
      <c r="C1704" s="18">
        <v>2025</v>
      </c>
      <c r="D1704" s="18" t="s">
        <v>51</v>
      </c>
      <c r="E1704" s="18" t="s">
        <v>98</v>
      </c>
      <c r="F1704" s="18" t="s">
        <v>99</v>
      </c>
      <c r="G1704" s="18" t="s">
        <v>44</v>
      </c>
      <c r="H1704" s="18" t="s">
        <v>95</v>
      </c>
      <c r="I1704" s="18" t="s">
        <v>56</v>
      </c>
      <c r="J1704" s="18" t="s">
        <v>102</v>
      </c>
      <c r="K1704" s="18">
        <v>10</v>
      </c>
      <c r="L1704" s="20">
        <v>4529.3500000000004</v>
      </c>
      <c r="M1704" s="21">
        <v>0.05</v>
      </c>
      <c r="N1704" s="21">
        <v>0.56921798643458099</v>
      </c>
      <c r="O1704" s="20">
        <f t="shared" si="104"/>
        <v>43028.824999999997</v>
      </c>
      <c r="P1704" s="20">
        <f t="shared" si="105"/>
        <v>24492.781125145957</v>
      </c>
      <c r="Q1704" s="20">
        <f t="shared" si="106"/>
        <v>18536.04387485404</v>
      </c>
      <c r="R1704" s="22">
        <f t="shared" si="107"/>
        <v>0.43078201356541901</v>
      </c>
    </row>
    <row r="1705" spans="1:18">
      <c r="A1705" s="18">
        <v>2704</v>
      </c>
      <c r="B1705" s="19" t="s">
        <v>606</v>
      </c>
      <c r="C1705" s="18">
        <v>2025</v>
      </c>
      <c r="D1705" s="18" t="s">
        <v>51</v>
      </c>
      <c r="E1705" s="18" t="s">
        <v>88</v>
      </c>
      <c r="F1705" s="18" t="s">
        <v>110</v>
      </c>
      <c r="G1705" s="18" t="s">
        <v>47</v>
      </c>
      <c r="H1705" s="18" t="s">
        <v>81</v>
      </c>
      <c r="I1705" s="18" t="s">
        <v>54</v>
      </c>
      <c r="J1705" s="18" t="s">
        <v>91</v>
      </c>
      <c r="K1705" s="18">
        <v>8</v>
      </c>
      <c r="L1705" s="20">
        <v>820.71</v>
      </c>
      <c r="M1705" s="21">
        <v>0.15</v>
      </c>
      <c r="N1705" s="21">
        <v>0.61668583675198296</v>
      </c>
      <c r="O1705" s="20">
        <f t="shared" si="104"/>
        <v>5580.8280000000004</v>
      </c>
      <c r="P1705" s="20">
        <f t="shared" si="105"/>
        <v>3441.6175849488959</v>
      </c>
      <c r="Q1705" s="20">
        <f t="shared" si="106"/>
        <v>2139.2104150511045</v>
      </c>
      <c r="R1705" s="22">
        <f t="shared" si="107"/>
        <v>0.38331416324801704</v>
      </c>
    </row>
    <row r="1706" spans="1:18">
      <c r="A1706" s="18">
        <v>2705</v>
      </c>
      <c r="B1706" s="19" t="s">
        <v>606</v>
      </c>
      <c r="C1706" s="18">
        <v>2025</v>
      </c>
      <c r="D1706" s="18" t="s">
        <v>51</v>
      </c>
      <c r="E1706" s="18" t="s">
        <v>88</v>
      </c>
      <c r="F1706" s="18" t="s">
        <v>89</v>
      </c>
      <c r="G1706" s="18" t="s">
        <v>41</v>
      </c>
      <c r="H1706" s="18" t="s">
        <v>90</v>
      </c>
      <c r="I1706" s="18" t="s">
        <v>43</v>
      </c>
      <c r="J1706" s="18" t="s">
        <v>102</v>
      </c>
      <c r="K1706" s="18">
        <v>3</v>
      </c>
      <c r="L1706" s="20">
        <v>17516.349999999999</v>
      </c>
      <c r="M1706" s="21">
        <v>0</v>
      </c>
      <c r="N1706" s="21">
        <v>0.59099187026483302</v>
      </c>
      <c r="O1706" s="20">
        <f t="shared" si="104"/>
        <v>52549.049999999996</v>
      </c>
      <c r="P1706" s="20">
        <f t="shared" si="105"/>
        <v>31056.061340140222</v>
      </c>
      <c r="Q1706" s="20">
        <f t="shared" si="106"/>
        <v>21492.988659859773</v>
      </c>
      <c r="R1706" s="22">
        <f t="shared" si="107"/>
        <v>0.40900812973516693</v>
      </c>
    </row>
    <row r="1707" spans="1:18">
      <c r="A1707" s="18">
        <v>2706</v>
      </c>
      <c r="B1707" s="19" t="s">
        <v>606</v>
      </c>
      <c r="C1707" s="18">
        <v>2025</v>
      </c>
      <c r="D1707" s="18" t="s">
        <v>51</v>
      </c>
      <c r="E1707" s="18" t="s">
        <v>85</v>
      </c>
      <c r="F1707" s="18" t="s">
        <v>94</v>
      </c>
      <c r="G1707" s="18" t="s">
        <v>41</v>
      </c>
      <c r="H1707" s="18" t="s">
        <v>90</v>
      </c>
      <c r="I1707" s="18" t="s">
        <v>60</v>
      </c>
      <c r="J1707" s="18" t="s">
        <v>91</v>
      </c>
      <c r="K1707" s="18">
        <v>12</v>
      </c>
      <c r="L1707" s="20">
        <v>17344.3</v>
      </c>
      <c r="M1707" s="21">
        <v>0.2</v>
      </c>
      <c r="N1707" s="21">
        <v>0.59290674808393495</v>
      </c>
      <c r="O1707" s="20">
        <f t="shared" si="104"/>
        <v>166505.28</v>
      </c>
      <c r="P1707" s="20">
        <f t="shared" si="105"/>
        <v>98722.104103605059</v>
      </c>
      <c r="Q1707" s="20">
        <f t="shared" si="106"/>
        <v>67783.17589639494</v>
      </c>
      <c r="R1707" s="22">
        <f t="shared" si="107"/>
        <v>0.40709325191606499</v>
      </c>
    </row>
    <row r="1708" spans="1:18">
      <c r="A1708" s="18">
        <v>2707</v>
      </c>
      <c r="B1708" s="19" t="s">
        <v>606</v>
      </c>
      <c r="C1708" s="18">
        <v>2025</v>
      </c>
      <c r="D1708" s="18" t="s">
        <v>51</v>
      </c>
      <c r="E1708" s="18" t="s">
        <v>98</v>
      </c>
      <c r="F1708" s="18" t="s">
        <v>117</v>
      </c>
      <c r="G1708" s="18" t="s">
        <v>41</v>
      </c>
      <c r="H1708" s="18" t="s">
        <v>106</v>
      </c>
      <c r="I1708" s="18" t="s">
        <v>40</v>
      </c>
      <c r="J1708" s="18" t="s">
        <v>102</v>
      </c>
      <c r="K1708" s="18">
        <v>7</v>
      </c>
      <c r="L1708" s="20">
        <v>2405.0700000000002</v>
      </c>
      <c r="M1708" s="21">
        <v>0.05</v>
      </c>
      <c r="N1708" s="21">
        <v>0.678603845221737</v>
      </c>
      <c r="O1708" s="20">
        <f t="shared" si="104"/>
        <v>15993.7155</v>
      </c>
      <c r="P1708" s="20">
        <f t="shared" si="105"/>
        <v>10853.396837682496</v>
      </c>
      <c r="Q1708" s="20">
        <f t="shared" si="106"/>
        <v>5140.3186623175043</v>
      </c>
      <c r="R1708" s="22">
        <f t="shared" si="107"/>
        <v>0.321396154778263</v>
      </c>
    </row>
    <row r="1709" spans="1:18">
      <c r="A1709" s="18">
        <v>2708</v>
      </c>
      <c r="B1709" s="19" t="s">
        <v>606</v>
      </c>
      <c r="C1709" s="18">
        <v>2025</v>
      </c>
      <c r="D1709" s="18" t="s">
        <v>51</v>
      </c>
      <c r="E1709" s="18" t="s">
        <v>85</v>
      </c>
      <c r="F1709" s="18" t="s">
        <v>86</v>
      </c>
      <c r="G1709" s="18" t="s">
        <v>41</v>
      </c>
      <c r="H1709" s="18" t="s">
        <v>106</v>
      </c>
      <c r="I1709" s="18" t="s">
        <v>49</v>
      </c>
      <c r="J1709" s="18" t="s">
        <v>102</v>
      </c>
      <c r="K1709" s="18">
        <v>2</v>
      </c>
      <c r="L1709" s="20">
        <v>2398.38</v>
      </c>
      <c r="M1709" s="21">
        <v>0.05</v>
      </c>
      <c r="N1709" s="21">
        <v>0.708219909069424</v>
      </c>
      <c r="O1709" s="20">
        <f t="shared" si="104"/>
        <v>4556.9219999999996</v>
      </c>
      <c r="P1709" s="20">
        <f t="shared" si="105"/>
        <v>3227.3028844764576</v>
      </c>
      <c r="Q1709" s="20">
        <f t="shared" si="106"/>
        <v>1329.619115523542</v>
      </c>
      <c r="R1709" s="22">
        <f t="shared" si="107"/>
        <v>0.29178009093057594</v>
      </c>
    </row>
    <row r="1710" spans="1:18">
      <c r="A1710" s="18">
        <v>2709</v>
      </c>
      <c r="B1710" s="19" t="s">
        <v>607</v>
      </c>
      <c r="C1710" s="18">
        <v>2025</v>
      </c>
      <c r="D1710" s="18" t="s">
        <v>51</v>
      </c>
      <c r="E1710" s="18" t="s">
        <v>79</v>
      </c>
      <c r="F1710" s="18" t="s">
        <v>105</v>
      </c>
      <c r="G1710" s="18" t="s">
        <v>47</v>
      </c>
      <c r="H1710" s="18" t="s">
        <v>103</v>
      </c>
      <c r="I1710" s="18" t="s">
        <v>46</v>
      </c>
      <c r="J1710" s="18" t="s">
        <v>102</v>
      </c>
      <c r="K1710" s="18">
        <v>12</v>
      </c>
      <c r="L1710" s="20">
        <v>3273.17</v>
      </c>
      <c r="M1710" s="21">
        <v>0.1</v>
      </c>
      <c r="N1710" s="21">
        <v>0.71341308354177602</v>
      </c>
      <c r="O1710" s="20">
        <f t="shared" si="104"/>
        <v>35350.236000000004</v>
      </c>
      <c r="P1710" s="20">
        <f t="shared" si="105"/>
        <v>25219.320868689501</v>
      </c>
      <c r="Q1710" s="20">
        <f t="shared" si="106"/>
        <v>10130.915131310503</v>
      </c>
      <c r="R1710" s="22">
        <f t="shared" si="107"/>
        <v>0.28658691645822398</v>
      </c>
    </row>
    <row r="1711" spans="1:18">
      <c r="A1711" s="18">
        <v>2710</v>
      </c>
      <c r="B1711" s="19" t="s">
        <v>607</v>
      </c>
      <c r="C1711" s="18">
        <v>2025</v>
      </c>
      <c r="D1711" s="18" t="s">
        <v>51</v>
      </c>
      <c r="E1711" s="18" t="s">
        <v>88</v>
      </c>
      <c r="F1711" s="18" t="s">
        <v>89</v>
      </c>
      <c r="G1711" s="18" t="s">
        <v>47</v>
      </c>
      <c r="H1711" s="18" t="s">
        <v>81</v>
      </c>
      <c r="I1711" s="18" t="s">
        <v>43</v>
      </c>
      <c r="J1711" s="18" t="s">
        <v>102</v>
      </c>
      <c r="K1711" s="18">
        <v>10</v>
      </c>
      <c r="L1711" s="20">
        <v>778.35</v>
      </c>
      <c r="M1711" s="21">
        <v>0.15</v>
      </c>
      <c r="N1711" s="21">
        <v>0.60553399175419398</v>
      </c>
      <c r="O1711" s="20">
        <f t="shared" si="104"/>
        <v>6615.9749999999995</v>
      </c>
      <c r="P1711" s="20">
        <f t="shared" si="105"/>
        <v>4006.1977510959532</v>
      </c>
      <c r="Q1711" s="20">
        <f t="shared" si="106"/>
        <v>2609.7772489040462</v>
      </c>
      <c r="R1711" s="22">
        <f t="shared" si="107"/>
        <v>0.39446600824580602</v>
      </c>
    </row>
    <row r="1712" spans="1:18">
      <c r="A1712" s="18">
        <v>2711</v>
      </c>
      <c r="B1712" s="19" t="s">
        <v>607</v>
      </c>
      <c r="C1712" s="18">
        <v>2025</v>
      </c>
      <c r="D1712" s="18" t="s">
        <v>51</v>
      </c>
      <c r="E1712" s="18" t="s">
        <v>85</v>
      </c>
      <c r="F1712" s="18" t="s">
        <v>94</v>
      </c>
      <c r="G1712" s="18" t="s">
        <v>47</v>
      </c>
      <c r="H1712" s="18" t="s">
        <v>107</v>
      </c>
      <c r="I1712" s="18" t="s">
        <v>58</v>
      </c>
      <c r="J1712" s="18" t="s">
        <v>102</v>
      </c>
      <c r="K1712" s="18">
        <v>12</v>
      </c>
      <c r="L1712" s="20">
        <v>2126.14</v>
      </c>
      <c r="M1712" s="21">
        <v>0.2</v>
      </c>
      <c r="N1712" s="21">
        <v>0.56950223592028804</v>
      </c>
      <c r="O1712" s="20">
        <f t="shared" si="104"/>
        <v>20410.944000000003</v>
      </c>
      <c r="P1712" s="20">
        <f t="shared" si="105"/>
        <v>11624.078245243789</v>
      </c>
      <c r="Q1712" s="20">
        <f t="shared" si="106"/>
        <v>8786.8657547562143</v>
      </c>
      <c r="R1712" s="22">
        <f t="shared" si="107"/>
        <v>0.43049776407971196</v>
      </c>
    </row>
    <row r="1713" spans="1:18">
      <c r="A1713" s="18">
        <v>2712</v>
      </c>
      <c r="B1713" s="19" t="s">
        <v>608</v>
      </c>
      <c r="C1713" s="18">
        <v>2025</v>
      </c>
      <c r="D1713" s="18" t="s">
        <v>51</v>
      </c>
      <c r="E1713" s="18" t="s">
        <v>98</v>
      </c>
      <c r="F1713" s="18" t="s">
        <v>117</v>
      </c>
      <c r="G1713" s="18" t="s">
        <v>44</v>
      </c>
      <c r="H1713" s="18" t="s">
        <v>119</v>
      </c>
      <c r="I1713" s="18" t="s">
        <v>49</v>
      </c>
      <c r="J1713" s="18" t="s">
        <v>102</v>
      </c>
      <c r="K1713" s="18">
        <v>1</v>
      </c>
      <c r="L1713" s="20">
        <v>7162.71</v>
      </c>
      <c r="M1713" s="21">
        <v>0</v>
      </c>
      <c r="N1713" s="21">
        <v>0.71545549215237902</v>
      </c>
      <c r="O1713" s="20">
        <f t="shared" si="104"/>
        <v>7162.71</v>
      </c>
      <c r="P1713" s="20">
        <f t="shared" si="105"/>
        <v>5124.6002081947672</v>
      </c>
      <c r="Q1713" s="20">
        <f t="shared" si="106"/>
        <v>2038.1097918052328</v>
      </c>
      <c r="R1713" s="22">
        <f t="shared" si="107"/>
        <v>0.28454450784762092</v>
      </c>
    </row>
    <row r="1714" spans="1:18">
      <c r="A1714" s="18">
        <v>2713</v>
      </c>
      <c r="B1714" s="19" t="s">
        <v>608</v>
      </c>
      <c r="C1714" s="18">
        <v>2025</v>
      </c>
      <c r="D1714" s="18" t="s">
        <v>51</v>
      </c>
      <c r="E1714" s="18" t="s">
        <v>88</v>
      </c>
      <c r="F1714" s="18" t="s">
        <v>110</v>
      </c>
      <c r="G1714" s="18" t="s">
        <v>47</v>
      </c>
      <c r="H1714" s="18" t="s">
        <v>107</v>
      </c>
      <c r="I1714" s="18" t="s">
        <v>40</v>
      </c>
      <c r="J1714" s="18" t="s">
        <v>102</v>
      </c>
      <c r="K1714" s="18">
        <v>8</v>
      </c>
      <c r="L1714" s="20">
        <v>2139.64</v>
      </c>
      <c r="M1714" s="21">
        <v>0</v>
      </c>
      <c r="N1714" s="21">
        <v>0.55629818010013699</v>
      </c>
      <c r="O1714" s="20">
        <f t="shared" si="104"/>
        <v>17117.12</v>
      </c>
      <c r="P1714" s="20">
        <f t="shared" si="105"/>
        <v>9522.2227045556556</v>
      </c>
      <c r="Q1714" s="20">
        <f t="shared" si="106"/>
        <v>7594.8972954443434</v>
      </c>
      <c r="R1714" s="22">
        <f t="shared" si="107"/>
        <v>0.44370181989986307</v>
      </c>
    </row>
    <row r="1715" spans="1:18">
      <c r="A1715" s="18">
        <v>2714</v>
      </c>
      <c r="B1715" s="19" t="s">
        <v>609</v>
      </c>
      <c r="C1715" s="18">
        <v>2025</v>
      </c>
      <c r="D1715" s="18" t="s">
        <v>51</v>
      </c>
      <c r="E1715" s="18" t="s">
        <v>98</v>
      </c>
      <c r="F1715" s="18" t="s">
        <v>99</v>
      </c>
      <c r="G1715" s="18" t="s">
        <v>47</v>
      </c>
      <c r="H1715" s="18" t="s">
        <v>103</v>
      </c>
      <c r="I1715" s="18" t="s">
        <v>56</v>
      </c>
      <c r="J1715" s="18" t="s">
        <v>82</v>
      </c>
      <c r="K1715" s="18">
        <v>12</v>
      </c>
      <c r="L1715" s="20">
        <v>3060.25</v>
      </c>
      <c r="M1715" s="21">
        <v>0</v>
      </c>
      <c r="N1715" s="21">
        <v>0.64474601056886605</v>
      </c>
      <c r="O1715" s="20">
        <f t="shared" si="104"/>
        <v>36723</v>
      </c>
      <c r="P1715" s="20">
        <f t="shared" si="105"/>
        <v>23677.007746120467</v>
      </c>
      <c r="Q1715" s="20">
        <f t="shared" si="106"/>
        <v>13045.992253879533</v>
      </c>
      <c r="R1715" s="22">
        <f t="shared" si="107"/>
        <v>0.35525398943113395</v>
      </c>
    </row>
    <row r="1716" spans="1:18">
      <c r="A1716" s="18">
        <v>2715</v>
      </c>
      <c r="B1716" s="19" t="s">
        <v>609</v>
      </c>
      <c r="C1716" s="18">
        <v>2025</v>
      </c>
      <c r="D1716" s="18" t="s">
        <v>51</v>
      </c>
      <c r="E1716" s="18" t="s">
        <v>79</v>
      </c>
      <c r="F1716" s="18" t="s">
        <v>100</v>
      </c>
      <c r="G1716" s="18" t="s">
        <v>47</v>
      </c>
      <c r="H1716" s="18" t="s">
        <v>81</v>
      </c>
      <c r="I1716" s="18" t="s">
        <v>60</v>
      </c>
      <c r="J1716" s="18" t="s">
        <v>82</v>
      </c>
      <c r="K1716" s="18">
        <v>11</v>
      </c>
      <c r="L1716" s="20">
        <v>827.43</v>
      </c>
      <c r="M1716" s="21">
        <v>0.1</v>
      </c>
      <c r="N1716" s="21">
        <v>0.57170488399986497</v>
      </c>
      <c r="O1716" s="20">
        <f t="shared" si="104"/>
        <v>8191.5569999999998</v>
      </c>
      <c r="P1716" s="20">
        <f t="shared" si="105"/>
        <v>4683.1531444632819</v>
      </c>
      <c r="Q1716" s="20">
        <f t="shared" si="106"/>
        <v>3508.4038555367179</v>
      </c>
      <c r="R1716" s="22">
        <f t="shared" si="107"/>
        <v>0.42829511600013503</v>
      </c>
    </row>
    <row r="1717" spans="1:18">
      <c r="A1717" s="18">
        <v>2716</v>
      </c>
      <c r="B1717" s="19" t="s">
        <v>609</v>
      </c>
      <c r="C1717" s="18">
        <v>2025</v>
      </c>
      <c r="D1717" s="18" t="s">
        <v>51</v>
      </c>
      <c r="E1717" s="18" t="s">
        <v>88</v>
      </c>
      <c r="F1717" s="18" t="s">
        <v>110</v>
      </c>
      <c r="G1717" s="18" t="s">
        <v>41</v>
      </c>
      <c r="H1717" s="18" t="s">
        <v>101</v>
      </c>
      <c r="I1717" s="18" t="s">
        <v>56</v>
      </c>
      <c r="J1717" s="18" t="s">
        <v>82</v>
      </c>
      <c r="K1717" s="18">
        <v>7</v>
      </c>
      <c r="L1717" s="20">
        <v>53510.91</v>
      </c>
      <c r="M1717" s="21">
        <v>0</v>
      </c>
      <c r="N1717" s="21">
        <v>0.60322802024140498</v>
      </c>
      <c r="O1717" s="20">
        <f t="shared" si="104"/>
        <v>374576.37</v>
      </c>
      <c r="P1717" s="20">
        <f t="shared" si="105"/>
        <v>225954.962104312</v>
      </c>
      <c r="Q1717" s="20">
        <f t="shared" si="106"/>
        <v>148621.407895688</v>
      </c>
      <c r="R1717" s="22">
        <f t="shared" si="107"/>
        <v>0.39677197975859502</v>
      </c>
    </row>
    <row r="1718" spans="1:18">
      <c r="A1718" s="18">
        <v>2717</v>
      </c>
      <c r="B1718" s="19" t="s">
        <v>610</v>
      </c>
      <c r="C1718" s="18">
        <v>2025</v>
      </c>
      <c r="D1718" s="18" t="s">
        <v>51</v>
      </c>
      <c r="E1718" s="18" t="s">
        <v>85</v>
      </c>
      <c r="F1718" s="18" t="s">
        <v>86</v>
      </c>
      <c r="G1718" s="18" t="s">
        <v>44</v>
      </c>
      <c r="H1718" s="18" t="s">
        <v>114</v>
      </c>
      <c r="I1718" s="18" t="s">
        <v>56</v>
      </c>
      <c r="J1718" s="18" t="s">
        <v>82</v>
      </c>
      <c r="K1718" s="18">
        <v>10</v>
      </c>
      <c r="L1718" s="20">
        <v>9303.02</v>
      </c>
      <c r="M1718" s="21">
        <v>0.1</v>
      </c>
      <c r="N1718" s="21">
        <v>0.60583507763703204</v>
      </c>
      <c r="O1718" s="20">
        <f t="shared" si="104"/>
        <v>83727.180000000008</v>
      </c>
      <c r="P1718" s="20">
        <f t="shared" si="105"/>
        <v>50724.862595629762</v>
      </c>
      <c r="Q1718" s="20">
        <f t="shared" si="106"/>
        <v>33002.317404370246</v>
      </c>
      <c r="R1718" s="22">
        <f t="shared" si="107"/>
        <v>0.39416492236296796</v>
      </c>
    </row>
    <row r="1719" spans="1:18">
      <c r="A1719" s="18">
        <v>2718</v>
      </c>
      <c r="B1719" s="19" t="s">
        <v>610</v>
      </c>
      <c r="C1719" s="18">
        <v>2025</v>
      </c>
      <c r="D1719" s="18" t="s">
        <v>51</v>
      </c>
      <c r="E1719" s="18" t="s">
        <v>98</v>
      </c>
      <c r="F1719" s="18" t="s">
        <v>99</v>
      </c>
      <c r="G1719" s="18" t="s">
        <v>44</v>
      </c>
      <c r="H1719" s="18" t="s">
        <v>95</v>
      </c>
      <c r="I1719" s="18" t="s">
        <v>40</v>
      </c>
      <c r="J1719" s="18" t="s">
        <v>82</v>
      </c>
      <c r="K1719" s="18">
        <v>7</v>
      </c>
      <c r="L1719" s="20">
        <v>4407.99</v>
      </c>
      <c r="M1719" s="21">
        <v>0.15</v>
      </c>
      <c r="N1719" s="21">
        <v>0.64297367770559699</v>
      </c>
      <c r="O1719" s="20">
        <f t="shared" si="104"/>
        <v>26227.540499999999</v>
      </c>
      <c r="P1719" s="20">
        <f t="shared" si="105"/>
        <v>16863.618172457493</v>
      </c>
      <c r="Q1719" s="20">
        <f t="shared" si="106"/>
        <v>9363.9223275425065</v>
      </c>
      <c r="R1719" s="22">
        <f t="shared" si="107"/>
        <v>0.35702632229440295</v>
      </c>
    </row>
    <row r="1720" spans="1:18">
      <c r="A1720" s="18">
        <v>2719</v>
      </c>
      <c r="B1720" s="19" t="s">
        <v>610</v>
      </c>
      <c r="C1720" s="18">
        <v>2025</v>
      </c>
      <c r="D1720" s="18" t="s">
        <v>51</v>
      </c>
      <c r="E1720" s="18" t="s">
        <v>79</v>
      </c>
      <c r="F1720" s="18" t="s">
        <v>80</v>
      </c>
      <c r="G1720" s="18" t="s">
        <v>41</v>
      </c>
      <c r="H1720" s="18" t="s">
        <v>101</v>
      </c>
      <c r="I1720" s="18" t="s">
        <v>40</v>
      </c>
      <c r="J1720" s="18" t="s">
        <v>82</v>
      </c>
      <c r="K1720" s="18">
        <v>12</v>
      </c>
      <c r="L1720" s="20">
        <v>56101.48</v>
      </c>
      <c r="M1720" s="21">
        <v>0</v>
      </c>
      <c r="N1720" s="21">
        <v>0.662012969671669</v>
      </c>
      <c r="O1720" s="20">
        <f t="shared" si="104"/>
        <v>673217.76</v>
      </c>
      <c r="P1720" s="20">
        <f t="shared" si="105"/>
        <v>445678.88853330893</v>
      </c>
      <c r="Q1720" s="20">
        <f t="shared" si="106"/>
        <v>227538.87146669108</v>
      </c>
      <c r="R1720" s="22">
        <f t="shared" si="107"/>
        <v>0.33798703032833105</v>
      </c>
    </row>
    <row r="1721" spans="1:18">
      <c r="A1721" s="18">
        <v>2720</v>
      </c>
      <c r="B1721" s="19" t="s">
        <v>610</v>
      </c>
      <c r="C1721" s="18">
        <v>2025</v>
      </c>
      <c r="D1721" s="18" t="s">
        <v>51</v>
      </c>
      <c r="E1721" s="18" t="s">
        <v>85</v>
      </c>
      <c r="F1721" s="18" t="s">
        <v>94</v>
      </c>
      <c r="G1721" s="18" t="s">
        <v>44</v>
      </c>
      <c r="H1721" s="18" t="s">
        <v>119</v>
      </c>
      <c r="I1721" s="18" t="s">
        <v>60</v>
      </c>
      <c r="J1721" s="18" t="s">
        <v>82</v>
      </c>
      <c r="K1721" s="18">
        <v>9</v>
      </c>
      <c r="L1721" s="20">
        <v>7263.06</v>
      </c>
      <c r="M1721" s="21">
        <v>0</v>
      </c>
      <c r="N1721" s="21">
        <v>0.59809658215642203</v>
      </c>
      <c r="O1721" s="20">
        <f t="shared" si="104"/>
        <v>65367.54</v>
      </c>
      <c r="P1721" s="20">
        <f t="shared" si="105"/>
        <v>39096.102257973202</v>
      </c>
      <c r="Q1721" s="20">
        <f t="shared" si="106"/>
        <v>26271.437742026799</v>
      </c>
      <c r="R1721" s="22">
        <f t="shared" si="107"/>
        <v>0.40190341784357803</v>
      </c>
    </row>
    <row r="1722" spans="1:18">
      <c r="A1722" s="18">
        <v>2721</v>
      </c>
      <c r="B1722" s="19" t="s">
        <v>611</v>
      </c>
      <c r="C1722" s="18">
        <v>2025</v>
      </c>
      <c r="D1722" s="18" t="s">
        <v>51</v>
      </c>
      <c r="E1722" s="18" t="s">
        <v>79</v>
      </c>
      <c r="F1722" s="18" t="s">
        <v>100</v>
      </c>
      <c r="G1722" s="18" t="s">
        <v>41</v>
      </c>
      <c r="H1722" s="18" t="s">
        <v>106</v>
      </c>
      <c r="I1722" s="18" t="s">
        <v>60</v>
      </c>
      <c r="J1722" s="18" t="s">
        <v>102</v>
      </c>
      <c r="K1722" s="18">
        <v>2</v>
      </c>
      <c r="L1722" s="20">
        <v>2439.91</v>
      </c>
      <c r="M1722" s="21">
        <v>0.05</v>
      </c>
      <c r="N1722" s="21">
        <v>0.65978148599889896</v>
      </c>
      <c r="O1722" s="20">
        <f t="shared" si="104"/>
        <v>4635.8289999999997</v>
      </c>
      <c r="P1722" s="20">
        <f t="shared" si="105"/>
        <v>3058.6341464567895</v>
      </c>
      <c r="Q1722" s="20">
        <f t="shared" si="106"/>
        <v>1577.1948535432102</v>
      </c>
      <c r="R1722" s="22">
        <f t="shared" si="107"/>
        <v>0.34021851400110104</v>
      </c>
    </row>
    <row r="1723" spans="1:18">
      <c r="A1723" s="18">
        <v>2722</v>
      </c>
      <c r="B1723" s="19" t="s">
        <v>611</v>
      </c>
      <c r="C1723" s="18">
        <v>2025</v>
      </c>
      <c r="D1723" s="18" t="s">
        <v>51</v>
      </c>
      <c r="E1723" s="18" t="s">
        <v>88</v>
      </c>
      <c r="F1723" s="18" t="s">
        <v>110</v>
      </c>
      <c r="G1723" s="18" t="s">
        <v>50</v>
      </c>
      <c r="H1723" s="18" t="s">
        <v>97</v>
      </c>
      <c r="I1723" s="18" t="s">
        <v>49</v>
      </c>
      <c r="J1723" s="18" t="s">
        <v>82</v>
      </c>
      <c r="K1723" s="18">
        <v>4</v>
      </c>
      <c r="L1723" s="20">
        <v>12238.53</v>
      </c>
      <c r="M1723" s="21">
        <v>0</v>
      </c>
      <c r="N1723" s="21">
        <v>0.65359101317498403</v>
      </c>
      <c r="O1723" s="20">
        <f t="shared" si="104"/>
        <v>48954.12</v>
      </c>
      <c r="P1723" s="20">
        <f t="shared" si="105"/>
        <v>31995.972889889752</v>
      </c>
      <c r="Q1723" s="20">
        <f t="shared" si="106"/>
        <v>16958.147110110251</v>
      </c>
      <c r="R1723" s="22">
        <f t="shared" si="107"/>
        <v>0.34640898682501597</v>
      </c>
    </row>
    <row r="1724" spans="1:18">
      <c r="A1724" s="18">
        <v>2723</v>
      </c>
      <c r="B1724" s="19" t="s">
        <v>612</v>
      </c>
      <c r="C1724" s="18">
        <v>2025</v>
      </c>
      <c r="D1724" s="18" t="s">
        <v>51</v>
      </c>
      <c r="E1724" s="18" t="s">
        <v>79</v>
      </c>
      <c r="F1724" s="18" t="s">
        <v>105</v>
      </c>
      <c r="G1724" s="18" t="s">
        <v>41</v>
      </c>
      <c r="H1724" s="18" t="s">
        <v>106</v>
      </c>
      <c r="I1724" s="18" t="s">
        <v>58</v>
      </c>
      <c r="J1724" s="18" t="s">
        <v>82</v>
      </c>
      <c r="K1724" s="18">
        <v>11</v>
      </c>
      <c r="L1724" s="20">
        <v>2444.08</v>
      </c>
      <c r="M1724" s="21">
        <v>0.05</v>
      </c>
      <c r="N1724" s="21">
        <v>0.55599202369616396</v>
      </c>
      <c r="O1724" s="20">
        <f t="shared" si="104"/>
        <v>25540.635999999995</v>
      </c>
      <c r="P1724" s="20">
        <f t="shared" si="105"/>
        <v>14200.389896127095</v>
      </c>
      <c r="Q1724" s="20">
        <f t="shared" si="106"/>
        <v>11340.2461038729</v>
      </c>
      <c r="R1724" s="22">
        <f t="shared" si="107"/>
        <v>0.44400797630383604</v>
      </c>
    </row>
    <row r="1725" spans="1:18">
      <c r="A1725" s="18">
        <v>2724</v>
      </c>
      <c r="B1725" s="19" t="s">
        <v>612</v>
      </c>
      <c r="C1725" s="18">
        <v>2025</v>
      </c>
      <c r="D1725" s="18" t="s">
        <v>51</v>
      </c>
      <c r="E1725" s="18" t="s">
        <v>79</v>
      </c>
      <c r="F1725" s="18" t="s">
        <v>100</v>
      </c>
      <c r="G1725" s="18" t="s">
        <v>41</v>
      </c>
      <c r="H1725" s="18" t="s">
        <v>90</v>
      </c>
      <c r="I1725" s="18" t="s">
        <v>43</v>
      </c>
      <c r="J1725" s="18" t="s">
        <v>91</v>
      </c>
      <c r="K1725" s="18">
        <v>3</v>
      </c>
      <c r="L1725" s="20">
        <v>18463.61</v>
      </c>
      <c r="M1725" s="21">
        <v>0.2</v>
      </c>
      <c r="N1725" s="21">
        <v>0.66716810774961599</v>
      </c>
      <c r="O1725" s="20">
        <f t="shared" si="104"/>
        <v>44312.664000000004</v>
      </c>
      <c r="P1725" s="20">
        <f t="shared" si="105"/>
        <v>29563.996190224534</v>
      </c>
      <c r="Q1725" s="20">
        <f t="shared" si="106"/>
        <v>14748.66780977547</v>
      </c>
      <c r="R1725" s="22">
        <f t="shared" si="107"/>
        <v>0.33283189225038395</v>
      </c>
    </row>
    <row r="1726" spans="1:18">
      <c r="A1726" s="18">
        <v>2725</v>
      </c>
      <c r="B1726" s="19" t="s">
        <v>612</v>
      </c>
      <c r="C1726" s="18">
        <v>2025</v>
      </c>
      <c r="D1726" s="18" t="s">
        <v>51</v>
      </c>
      <c r="E1726" s="18" t="s">
        <v>79</v>
      </c>
      <c r="F1726" s="18" t="s">
        <v>80</v>
      </c>
      <c r="G1726" s="18" t="s">
        <v>44</v>
      </c>
      <c r="H1726" s="18" t="s">
        <v>114</v>
      </c>
      <c r="I1726" s="18" t="s">
        <v>43</v>
      </c>
      <c r="J1726" s="18" t="s">
        <v>91</v>
      </c>
      <c r="K1726" s="18">
        <v>9</v>
      </c>
      <c r="L1726" s="20">
        <v>9132.7900000000009</v>
      </c>
      <c r="M1726" s="21">
        <v>0</v>
      </c>
      <c r="N1726" s="21">
        <v>0.70749315713472105</v>
      </c>
      <c r="O1726" s="20">
        <f t="shared" si="104"/>
        <v>82195.110000000015</v>
      </c>
      <c r="P1726" s="20">
        <f t="shared" si="105"/>
        <v>58152.477874935692</v>
      </c>
      <c r="Q1726" s="20">
        <f t="shared" si="106"/>
        <v>24042.632125064323</v>
      </c>
      <c r="R1726" s="22">
        <f t="shared" si="107"/>
        <v>0.29250684286527895</v>
      </c>
    </row>
    <row r="1727" spans="1:18">
      <c r="A1727" s="18">
        <v>2726</v>
      </c>
      <c r="B1727" s="19" t="s">
        <v>612</v>
      </c>
      <c r="C1727" s="18">
        <v>2025</v>
      </c>
      <c r="D1727" s="18" t="s">
        <v>51</v>
      </c>
      <c r="E1727" s="18" t="s">
        <v>79</v>
      </c>
      <c r="F1727" s="18" t="s">
        <v>80</v>
      </c>
      <c r="G1727" s="18" t="s">
        <v>44</v>
      </c>
      <c r="H1727" s="18" t="s">
        <v>114</v>
      </c>
      <c r="I1727" s="18" t="s">
        <v>54</v>
      </c>
      <c r="J1727" s="18" t="s">
        <v>91</v>
      </c>
      <c r="K1727" s="18">
        <v>11</v>
      </c>
      <c r="L1727" s="20">
        <v>8653.64</v>
      </c>
      <c r="M1727" s="21">
        <v>0.15</v>
      </c>
      <c r="N1727" s="21">
        <v>0.67912140680829003</v>
      </c>
      <c r="O1727" s="20">
        <f t="shared" si="104"/>
        <v>80911.534</v>
      </c>
      <c r="P1727" s="20">
        <f t="shared" si="105"/>
        <v>54948.754797096793</v>
      </c>
      <c r="Q1727" s="20">
        <f t="shared" si="106"/>
        <v>25962.779202903206</v>
      </c>
      <c r="R1727" s="22">
        <f t="shared" si="107"/>
        <v>0.32087859319170992</v>
      </c>
    </row>
    <row r="1728" spans="1:18">
      <c r="A1728" s="18">
        <v>2727</v>
      </c>
      <c r="B1728" s="19" t="s">
        <v>612</v>
      </c>
      <c r="C1728" s="18">
        <v>2025</v>
      </c>
      <c r="D1728" s="18" t="s">
        <v>51</v>
      </c>
      <c r="E1728" s="18" t="s">
        <v>98</v>
      </c>
      <c r="F1728" s="18" t="s">
        <v>109</v>
      </c>
      <c r="G1728" s="18" t="s">
        <v>44</v>
      </c>
      <c r="H1728" s="18" t="s">
        <v>119</v>
      </c>
      <c r="I1728" s="18" t="s">
        <v>60</v>
      </c>
      <c r="J1728" s="18" t="s">
        <v>82</v>
      </c>
      <c r="K1728" s="18">
        <v>10</v>
      </c>
      <c r="L1728" s="20">
        <v>7117.7</v>
      </c>
      <c r="M1728" s="21">
        <v>0.15</v>
      </c>
      <c r="N1728" s="21">
        <v>0.64535566760179996</v>
      </c>
      <c r="O1728" s="20">
        <f t="shared" si="104"/>
        <v>60500.45</v>
      </c>
      <c r="P1728" s="20">
        <f t="shared" si="105"/>
        <v>39044.308299959317</v>
      </c>
      <c r="Q1728" s="20">
        <f t="shared" si="106"/>
        <v>21456.14170004068</v>
      </c>
      <c r="R1728" s="22">
        <f t="shared" si="107"/>
        <v>0.35464433239820004</v>
      </c>
    </row>
    <row r="1729" spans="1:18">
      <c r="A1729" s="18">
        <v>2728</v>
      </c>
      <c r="B1729" s="19" t="s">
        <v>613</v>
      </c>
      <c r="C1729" s="18">
        <v>2025</v>
      </c>
      <c r="D1729" s="18" t="s">
        <v>51</v>
      </c>
      <c r="E1729" s="18" t="s">
        <v>79</v>
      </c>
      <c r="F1729" s="18" t="s">
        <v>100</v>
      </c>
      <c r="G1729" s="18" t="s">
        <v>44</v>
      </c>
      <c r="H1729" s="18" t="s">
        <v>114</v>
      </c>
      <c r="I1729" s="18" t="s">
        <v>60</v>
      </c>
      <c r="J1729" s="18" t="s">
        <v>102</v>
      </c>
      <c r="K1729" s="18">
        <v>1</v>
      </c>
      <c r="L1729" s="20">
        <v>8832.7000000000007</v>
      </c>
      <c r="M1729" s="21">
        <v>0.1</v>
      </c>
      <c r="N1729" s="21">
        <v>0.55807663277856101</v>
      </c>
      <c r="O1729" s="20">
        <f t="shared" si="104"/>
        <v>7949.4300000000012</v>
      </c>
      <c r="P1729" s="20">
        <f t="shared" si="105"/>
        <v>4436.3911269088767</v>
      </c>
      <c r="Q1729" s="20">
        <f t="shared" si="106"/>
        <v>3513.0388730911245</v>
      </c>
      <c r="R1729" s="22">
        <f t="shared" si="107"/>
        <v>0.44192336722143905</v>
      </c>
    </row>
    <row r="1730" spans="1:18">
      <c r="A1730" s="18">
        <v>2729</v>
      </c>
      <c r="B1730" s="19" t="s">
        <v>613</v>
      </c>
      <c r="C1730" s="18">
        <v>2025</v>
      </c>
      <c r="D1730" s="18" t="s">
        <v>51</v>
      </c>
      <c r="E1730" s="18" t="s">
        <v>85</v>
      </c>
      <c r="F1730" s="18" t="s">
        <v>121</v>
      </c>
      <c r="G1730" s="18" t="s">
        <v>41</v>
      </c>
      <c r="H1730" s="18" t="s">
        <v>90</v>
      </c>
      <c r="I1730" s="18" t="s">
        <v>62</v>
      </c>
      <c r="J1730" s="18" t="s">
        <v>82</v>
      </c>
      <c r="K1730" s="18">
        <v>1</v>
      </c>
      <c r="L1730" s="20">
        <v>18291.669999999998</v>
      </c>
      <c r="M1730" s="21">
        <v>0</v>
      </c>
      <c r="N1730" s="21">
        <v>0.62557914755545896</v>
      </c>
      <c r="O1730" s="20">
        <f t="shared" ref="O1730:O1793" si="108">K1730*L1730*(1-M1730)</f>
        <v>18291.669999999998</v>
      </c>
      <c r="P1730" s="20">
        <f t="shared" ref="P1730:P1793" si="109">O1730*N1730</f>
        <v>11442.887325965761</v>
      </c>
      <c r="Q1730" s="20">
        <f t="shared" ref="Q1730:Q1793" si="110">O1730-P1730</f>
        <v>6848.7826740342371</v>
      </c>
      <c r="R1730" s="22">
        <f t="shared" ref="R1730:R1793" si="111">IF(O1730=0,0,Q1730/O1730)</f>
        <v>0.37442085244454104</v>
      </c>
    </row>
    <row r="1731" spans="1:18">
      <c r="A1731" s="18">
        <v>2730</v>
      </c>
      <c r="B1731" s="19" t="s">
        <v>613</v>
      </c>
      <c r="C1731" s="18">
        <v>2025</v>
      </c>
      <c r="D1731" s="18" t="s">
        <v>51</v>
      </c>
      <c r="E1731" s="18" t="s">
        <v>98</v>
      </c>
      <c r="F1731" s="18" t="s">
        <v>117</v>
      </c>
      <c r="G1731" s="18" t="s">
        <v>47</v>
      </c>
      <c r="H1731" s="18" t="s">
        <v>103</v>
      </c>
      <c r="I1731" s="18" t="s">
        <v>60</v>
      </c>
      <c r="J1731" s="18" t="s">
        <v>91</v>
      </c>
      <c r="K1731" s="18">
        <v>9</v>
      </c>
      <c r="L1731" s="20">
        <v>3087.99</v>
      </c>
      <c r="M1731" s="21">
        <v>0.1</v>
      </c>
      <c r="N1731" s="21">
        <v>0.66260030138931003</v>
      </c>
      <c r="O1731" s="20">
        <f t="shared" si="108"/>
        <v>25012.718999999997</v>
      </c>
      <c r="P1731" s="20">
        <f t="shared" si="109"/>
        <v>16573.43514796612</v>
      </c>
      <c r="Q1731" s="20">
        <f t="shared" si="110"/>
        <v>8439.2838520338773</v>
      </c>
      <c r="R1731" s="22">
        <f t="shared" si="111"/>
        <v>0.33739969861068997</v>
      </c>
    </row>
    <row r="1732" spans="1:18">
      <c r="A1732" s="18">
        <v>2731</v>
      </c>
      <c r="B1732" s="19" t="s">
        <v>613</v>
      </c>
      <c r="C1732" s="18">
        <v>2025</v>
      </c>
      <c r="D1732" s="18" t="s">
        <v>51</v>
      </c>
      <c r="E1732" s="18" t="s">
        <v>88</v>
      </c>
      <c r="F1732" s="18" t="s">
        <v>89</v>
      </c>
      <c r="G1732" s="18" t="s">
        <v>44</v>
      </c>
      <c r="H1732" s="18" t="s">
        <v>114</v>
      </c>
      <c r="I1732" s="18" t="s">
        <v>60</v>
      </c>
      <c r="J1732" s="18" t="s">
        <v>82</v>
      </c>
      <c r="K1732" s="18">
        <v>6</v>
      </c>
      <c r="L1732" s="20">
        <v>8882.61</v>
      </c>
      <c r="M1732" s="21">
        <v>0</v>
      </c>
      <c r="N1732" s="21">
        <v>0.62324212835748005</v>
      </c>
      <c r="O1732" s="20">
        <f t="shared" si="108"/>
        <v>53295.66</v>
      </c>
      <c r="P1732" s="20">
        <f t="shared" si="109"/>
        <v>33216.100570616618</v>
      </c>
      <c r="Q1732" s="20">
        <f t="shared" si="110"/>
        <v>20079.559429383386</v>
      </c>
      <c r="R1732" s="22">
        <f t="shared" si="111"/>
        <v>0.37675787164251995</v>
      </c>
    </row>
    <row r="1733" spans="1:18">
      <c r="A1733" s="18">
        <v>2732</v>
      </c>
      <c r="B1733" s="19" t="s">
        <v>613</v>
      </c>
      <c r="C1733" s="18">
        <v>2025</v>
      </c>
      <c r="D1733" s="18" t="s">
        <v>51</v>
      </c>
      <c r="E1733" s="18" t="s">
        <v>88</v>
      </c>
      <c r="F1733" s="18" t="s">
        <v>93</v>
      </c>
      <c r="G1733" s="18" t="s">
        <v>50</v>
      </c>
      <c r="H1733" s="18" t="s">
        <v>87</v>
      </c>
      <c r="I1733" s="18" t="s">
        <v>40</v>
      </c>
      <c r="J1733" s="18" t="s">
        <v>102</v>
      </c>
      <c r="K1733" s="18">
        <v>12</v>
      </c>
      <c r="L1733" s="20">
        <v>9062.41</v>
      </c>
      <c r="M1733" s="21">
        <v>0.1</v>
      </c>
      <c r="N1733" s="21">
        <v>0.56060734451820304</v>
      </c>
      <c r="O1733" s="20">
        <f t="shared" si="108"/>
        <v>97874.028000000006</v>
      </c>
      <c r="P1733" s="20">
        <f t="shared" si="109"/>
        <v>54868.898934380253</v>
      </c>
      <c r="Q1733" s="20">
        <f t="shared" si="110"/>
        <v>43005.129065619753</v>
      </c>
      <c r="R1733" s="22">
        <f t="shared" si="111"/>
        <v>0.43939265548179696</v>
      </c>
    </row>
    <row r="1734" spans="1:18">
      <c r="A1734" s="18">
        <v>2733</v>
      </c>
      <c r="B1734" s="19" t="s">
        <v>614</v>
      </c>
      <c r="C1734" s="18">
        <v>2025</v>
      </c>
      <c r="D1734" s="18" t="s">
        <v>51</v>
      </c>
      <c r="E1734" s="18" t="s">
        <v>88</v>
      </c>
      <c r="F1734" s="18" t="s">
        <v>89</v>
      </c>
      <c r="G1734" s="18" t="s">
        <v>50</v>
      </c>
      <c r="H1734" s="18" t="s">
        <v>87</v>
      </c>
      <c r="I1734" s="18" t="s">
        <v>54</v>
      </c>
      <c r="J1734" s="18" t="s">
        <v>82</v>
      </c>
      <c r="K1734" s="18">
        <v>10</v>
      </c>
      <c r="L1734" s="20">
        <v>9764.68</v>
      </c>
      <c r="M1734" s="21">
        <v>0.15</v>
      </c>
      <c r="N1734" s="21">
        <v>0.58695328552390202</v>
      </c>
      <c r="O1734" s="20">
        <f t="shared" si="108"/>
        <v>82999.78</v>
      </c>
      <c r="P1734" s="20">
        <f t="shared" si="109"/>
        <v>48716.993568761049</v>
      </c>
      <c r="Q1734" s="20">
        <f t="shared" si="110"/>
        <v>34282.78643123895</v>
      </c>
      <c r="R1734" s="22">
        <f t="shared" si="111"/>
        <v>0.41304671447609803</v>
      </c>
    </row>
    <row r="1735" spans="1:18">
      <c r="A1735" s="18">
        <v>2734</v>
      </c>
      <c r="B1735" s="19" t="s">
        <v>614</v>
      </c>
      <c r="C1735" s="18">
        <v>2025</v>
      </c>
      <c r="D1735" s="18" t="s">
        <v>51</v>
      </c>
      <c r="E1735" s="18" t="s">
        <v>79</v>
      </c>
      <c r="F1735" s="18" t="s">
        <v>100</v>
      </c>
      <c r="G1735" s="18" t="s">
        <v>47</v>
      </c>
      <c r="H1735" s="18" t="s">
        <v>81</v>
      </c>
      <c r="I1735" s="18" t="s">
        <v>43</v>
      </c>
      <c r="J1735" s="18" t="s">
        <v>91</v>
      </c>
      <c r="K1735" s="18">
        <v>5</v>
      </c>
      <c r="L1735" s="20">
        <v>826.79</v>
      </c>
      <c r="M1735" s="21">
        <v>0</v>
      </c>
      <c r="N1735" s="21">
        <v>0.72804099702208303</v>
      </c>
      <c r="O1735" s="20">
        <f t="shared" si="108"/>
        <v>4133.95</v>
      </c>
      <c r="P1735" s="20">
        <f t="shared" si="109"/>
        <v>3009.6850796394401</v>
      </c>
      <c r="Q1735" s="20">
        <f t="shared" si="110"/>
        <v>1124.2649203605597</v>
      </c>
      <c r="R1735" s="22">
        <f t="shared" si="111"/>
        <v>0.27195900297791692</v>
      </c>
    </row>
    <row r="1736" spans="1:18">
      <c r="A1736" s="18">
        <v>2735</v>
      </c>
      <c r="B1736" s="19" t="s">
        <v>614</v>
      </c>
      <c r="C1736" s="18">
        <v>2025</v>
      </c>
      <c r="D1736" s="18" t="s">
        <v>51</v>
      </c>
      <c r="E1736" s="18" t="s">
        <v>79</v>
      </c>
      <c r="F1736" s="18" t="s">
        <v>105</v>
      </c>
      <c r="G1736" s="18" t="s">
        <v>47</v>
      </c>
      <c r="H1736" s="18" t="s">
        <v>103</v>
      </c>
      <c r="I1736" s="18" t="s">
        <v>46</v>
      </c>
      <c r="J1736" s="18" t="s">
        <v>102</v>
      </c>
      <c r="K1736" s="18">
        <v>8</v>
      </c>
      <c r="L1736" s="20">
        <v>3199.5</v>
      </c>
      <c r="M1736" s="21">
        <v>0</v>
      </c>
      <c r="N1736" s="21">
        <v>0.65313266991653496</v>
      </c>
      <c r="O1736" s="20">
        <f t="shared" si="108"/>
        <v>25596</v>
      </c>
      <c r="P1736" s="20">
        <f t="shared" si="109"/>
        <v>16717.58381918363</v>
      </c>
      <c r="Q1736" s="20">
        <f t="shared" si="110"/>
        <v>8878.4161808163699</v>
      </c>
      <c r="R1736" s="22">
        <f t="shared" si="111"/>
        <v>0.34686733008346499</v>
      </c>
    </row>
    <row r="1737" spans="1:18">
      <c r="A1737" s="18">
        <v>2736</v>
      </c>
      <c r="B1737" s="19" t="s">
        <v>615</v>
      </c>
      <c r="C1737" s="18">
        <v>2025</v>
      </c>
      <c r="D1737" s="18" t="s">
        <v>51</v>
      </c>
      <c r="E1737" s="18" t="s">
        <v>88</v>
      </c>
      <c r="F1737" s="18" t="s">
        <v>93</v>
      </c>
      <c r="G1737" s="18" t="s">
        <v>41</v>
      </c>
      <c r="H1737" s="18" t="s">
        <v>112</v>
      </c>
      <c r="I1737" s="18" t="s">
        <v>52</v>
      </c>
      <c r="J1737" s="18" t="s">
        <v>82</v>
      </c>
      <c r="K1737" s="18">
        <v>3</v>
      </c>
      <c r="L1737" s="20">
        <v>6103.8</v>
      </c>
      <c r="M1737" s="21">
        <v>0</v>
      </c>
      <c r="N1737" s="21">
        <v>0.68932890802634195</v>
      </c>
      <c r="O1737" s="20">
        <f t="shared" si="108"/>
        <v>18311.400000000001</v>
      </c>
      <c r="P1737" s="20">
        <f t="shared" si="109"/>
        <v>12622.577366433559</v>
      </c>
      <c r="Q1737" s="20">
        <f t="shared" si="110"/>
        <v>5688.8226335664422</v>
      </c>
      <c r="R1737" s="22">
        <f t="shared" si="111"/>
        <v>0.31067109197365805</v>
      </c>
    </row>
    <row r="1738" spans="1:18">
      <c r="A1738" s="18">
        <v>2737</v>
      </c>
      <c r="B1738" s="19" t="s">
        <v>615</v>
      </c>
      <c r="C1738" s="18">
        <v>2025</v>
      </c>
      <c r="D1738" s="18" t="s">
        <v>51</v>
      </c>
      <c r="E1738" s="18" t="s">
        <v>98</v>
      </c>
      <c r="F1738" s="18" t="s">
        <v>99</v>
      </c>
      <c r="G1738" s="18" t="s">
        <v>44</v>
      </c>
      <c r="H1738" s="18" t="s">
        <v>95</v>
      </c>
      <c r="I1738" s="18" t="s">
        <v>62</v>
      </c>
      <c r="J1738" s="18" t="s">
        <v>102</v>
      </c>
      <c r="K1738" s="18">
        <v>11</v>
      </c>
      <c r="L1738" s="20">
        <v>4575.1400000000003</v>
      </c>
      <c r="M1738" s="21">
        <v>0.05</v>
      </c>
      <c r="N1738" s="21">
        <v>0.63152824237583105</v>
      </c>
      <c r="O1738" s="20">
        <f t="shared" si="108"/>
        <v>47810.212999999996</v>
      </c>
      <c r="P1738" s="20">
        <f t="shared" si="109"/>
        <v>30193.499783504107</v>
      </c>
      <c r="Q1738" s="20">
        <f t="shared" si="110"/>
        <v>17616.713216495889</v>
      </c>
      <c r="R1738" s="22">
        <f t="shared" si="111"/>
        <v>0.36847175762416895</v>
      </c>
    </row>
    <row r="1739" spans="1:18">
      <c r="A1739" s="18">
        <v>2738</v>
      </c>
      <c r="B1739" s="19" t="s">
        <v>615</v>
      </c>
      <c r="C1739" s="18">
        <v>2025</v>
      </c>
      <c r="D1739" s="18" t="s">
        <v>51</v>
      </c>
      <c r="E1739" s="18" t="s">
        <v>88</v>
      </c>
      <c r="F1739" s="18" t="s">
        <v>110</v>
      </c>
      <c r="G1739" s="18" t="s">
        <v>44</v>
      </c>
      <c r="H1739" s="18" t="s">
        <v>114</v>
      </c>
      <c r="I1739" s="18" t="s">
        <v>46</v>
      </c>
      <c r="J1739" s="18" t="s">
        <v>91</v>
      </c>
      <c r="K1739" s="18">
        <v>12</v>
      </c>
      <c r="L1739" s="20">
        <v>9202.7099999999991</v>
      </c>
      <c r="M1739" s="21">
        <v>0.15</v>
      </c>
      <c r="N1739" s="21">
        <v>0.63617780836503901</v>
      </c>
      <c r="O1739" s="20">
        <f t="shared" si="108"/>
        <v>93867.641999999993</v>
      </c>
      <c r="P1739" s="20">
        <f t="shared" si="109"/>
        <v>59716.51076395408</v>
      </c>
      <c r="Q1739" s="20">
        <f t="shared" si="110"/>
        <v>34151.131236045912</v>
      </c>
      <c r="R1739" s="22">
        <f t="shared" si="111"/>
        <v>0.36382219163496099</v>
      </c>
    </row>
    <row r="1740" spans="1:18">
      <c r="A1740" s="18">
        <v>2739</v>
      </c>
      <c r="B1740" s="19" t="s">
        <v>615</v>
      </c>
      <c r="C1740" s="18">
        <v>2025</v>
      </c>
      <c r="D1740" s="18" t="s">
        <v>51</v>
      </c>
      <c r="E1740" s="18" t="s">
        <v>79</v>
      </c>
      <c r="F1740" s="18" t="s">
        <v>105</v>
      </c>
      <c r="G1740" s="18" t="s">
        <v>47</v>
      </c>
      <c r="H1740" s="18" t="s">
        <v>81</v>
      </c>
      <c r="I1740" s="18" t="s">
        <v>58</v>
      </c>
      <c r="J1740" s="18" t="s">
        <v>82</v>
      </c>
      <c r="K1740" s="18">
        <v>7</v>
      </c>
      <c r="L1740" s="20">
        <v>783.33</v>
      </c>
      <c r="M1740" s="21">
        <v>0.2</v>
      </c>
      <c r="N1740" s="21">
        <v>0.62797617041568798</v>
      </c>
      <c r="O1740" s="20">
        <f t="shared" si="108"/>
        <v>4386.6480000000001</v>
      </c>
      <c r="P1740" s="20">
        <f t="shared" si="109"/>
        <v>2754.710412001637</v>
      </c>
      <c r="Q1740" s="20">
        <f t="shared" si="110"/>
        <v>1631.9375879983631</v>
      </c>
      <c r="R1740" s="22">
        <f t="shared" si="111"/>
        <v>0.37202382958431202</v>
      </c>
    </row>
    <row r="1741" spans="1:18">
      <c r="A1741" s="18">
        <v>2740</v>
      </c>
      <c r="B1741" s="19" t="s">
        <v>615</v>
      </c>
      <c r="C1741" s="18">
        <v>2025</v>
      </c>
      <c r="D1741" s="18" t="s">
        <v>51</v>
      </c>
      <c r="E1741" s="18" t="s">
        <v>98</v>
      </c>
      <c r="F1741" s="18" t="s">
        <v>109</v>
      </c>
      <c r="G1741" s="18" t="s">
        <v>47</v>
      </c>
      <c r="H1741" s="18" t="s">
        <v>81</v>
      </c>
      <c r="I1741" s="18" t="s">
        <v>46</v>
      </c>
      <c r="J1741" s="18" t="s">
        <v>91</v>
      </c>
      <c r="K1741" s="18">
        <v>4</v>
      </c>
      <c r="L1741" s="20">
        <v>817.69</v>
      </c>
      <c r="M1741" s="21">
        <v>0.05</v>
      </c>
      <c r="N1741" s="21">
        <v>0.61798614344517799</v>
      </c>
      <c r="O1741" s="20">
        <f t="shared" si="108"/>
        <v>3107.2220000000002</v>
      </c>
      <c r="P1741" s="20">
        <f t="shared" si="109"/>
        <v>1920.220140608013</v>
      </c>
      <c r="Q1741" s="20">
        <f t="shared" si="110"/>
        <v>1187.0018593919872</v>
      </c>
      <c r="R1741" s="22">
        <f t="shared" si="111"/>
        <v>0.38201385655482201</v>
      </c>
    </row>
    <row r="1742" spans="1:18">
      <c r="A1742" s="18">
        <v>2741</v>
      </c>
      <c r="B1742" s="19" t="s">
        <v>616</v>
      </c>
      <c r="C1742" s="18">
        <v>2025</v>
      </c>
      <c r="D1742" s="18" t="s">
        <v>51</v>
      </c>
      <c r="E1742" s="18" t="s">
        <v>98</v>
      </c>
      <c r="F1742" s="18" t="s">
        <v>117</v>
      </c>
      <c r="G1742" s="18" t="s">
        <v>41</v>
      </c>
      <c r="H1742" s="18" t="s">
        <v>90</v>
      </c>
      <c r="I1742" s="18" t="s">
        <v>58</v>
      </c>
      <c r="J1742" s="18" t="s">
        <v>91</v>
      </c>
      <c r="K1742" s="18">
        <v>5</v>
      </c>
      <c r="L1742" s="20">
        <v>17840.14</v>
      </c>
      <c r="M1742" s="21">
        <v>0.05</v>
      </c>
      <c r="N1742" s="21">
        <v>0.722616836861671</v>
      </c>
      <c r="O1742" s="20">
        <f t="shared" si="108"/>
        <v>84740.664999999994</v>
      </c>
      <c r="P1742" s="20">
        <f t="shared" si="109"/>
        <v>61235.031295854511</v>
      </c>
      <c r="Q1742" s="20">
        <f t="shared" si="110"/>
        <v>23505.633704145483</v>
      </c>
      <c r="R1742" s="22">
        <f t="shared" si="111"/>
        <v>0.277383163138329</v>
      </c>
    </row>
    <row r="1743" spans="1:18">
      <c r="A1743" s="18">
        <v>2742</v>
      </c>
      <c r="B1743" s="19" t="s">
        <v>616</v>
      </c>
      <c r="C1743" s="18">
        <v>2025</v>
      </c>
      <c r="D1743" s="18" t="s">
        <v>51</v>
      </c>
      <c r="E1743" s="18" t="s">
        <v>79</v>
      </c>
      <c r="F1743" s="18" t="s">
        <v>100</v>
      </c>
      <c r="G1743" s="18" t="s">
        <v>41</v>
      </c>
      <c r="H1743" s="18" t="s">
        <v>106</v>
      </c>
      <c r="I1743" s="18" t="s">
        <v>49</v>
      </c>
      <c r="J1743" s="18" t="s">
        <v>102</v>
      </c>
      <c r="K1743" s="18">
        <v>12</v>
      </c>
      <c r="L1743" s="20">
        <v>2500.2399999999998</v>
      </c>
      <c r="M1743" s="21">
        <v>0</v>
      </c>
      <c r="N1743" s="21">
        <v>0.71608312723383305</v>
      </c>
      <c r="O1743" s="20">
        <f t="shared" si="108"/>
        <v>30002.879999999997</v>
      </c>
      <c r="P1743" s="20">
        <f t="shared" si="109"/>
        <v>21484.556136421423</v>
      </c>
      <c r="Q1743" s="20">
        <f t="shared" si="110"/>
        <v>8518.3238635785747</v>
      </c>
      <c r="R1743" s="22">
        <f t="shared" si="111"/>
        <v>0.28391687276616695</v>
      </c>
    </row>
    <row r="1744" spans="1:18">
      <c r="A1744" s="18">
        <v>2743</v>
      </c>
      <c r="B1744" s="19" t="s">
        <v>616</v>
      </c>
      <c r="C1744" s="18">
        <v>2025</v>
      </c>
      <c r="D1744" s="18" t="s">
        <v>51</v>
      </c>
      <c r="E1744" s="18" t="s">
        <v>98</v>
      </c>
      <c r="F1744" s="18" t="s">
        <v>109</v>
      </c>
      <c r="G1744" s="18" t="s">
        <v>44</v>
      </c>
      <c r="H1744" s="18" t="s">
        <v>114</v>
      </c>
      <c r="I1744" s="18" t="s">
        <v>62</v>
      </c>
      <c r="J1744" s="18" t="s">
        <v>102</v>
      </c>
      <c r="K1744" s="18">
        <v>1</v>
      </c>
      <c r="L1744" s="20">
        <v>9156.31</v>
      </c>
      <c r="M1744" s="21">
        <v>0.05</v>
      </c>
      <c r="N1744" s="21">
        <v>0.55750819636836102</v>
      </c>
      <c r="O1744" s="20">
        <f t="shared" si="108"/>
        <v>8698.4944999999989</v>
      </c>
      <c r="P1744" s="20">
        <f t="shared" si="109"/>
        <v>4849.4819798151075</v>
      </c>
      <c r="Q1744" s="20">
        <f t="shared" si="110"/>
        <v>3849.0125201848914</v>
      </c>
      <c r="R1744" s="22">
        <f t="shared" si="111"/>
        <v>0.44249180363163898</v>
      </c>
    </row>
    <row r="1745" spans="1:18">
      <c r="A1745" s="18">
        <v>2744</v>
      </c>
      <c r="B1745" s="19" t="s">
        <v>617</v>
      </c>
      <c r="C1745" s="18">
        <v>2025</v>
      </c>
      <c r="D1745" s="18" t="s">
        <v>51</v>
      </c>
      <c r="E1745" s="18" t="s">
        <v>98</v>
      </c>
      <c r="F1745" s="18" t="s">
        <v>117</v>
      </c>
      <c r="G1745" s="18" t="s">
        <v>44</v>
      </c>
      <c r="H1745" s="18" t="s">
        <v>119</v>
      </c>
      <c r="I1745" s="18" t="s">
        <v>49</v>
      </c>
      <c r="J1745" s="18" t="s">
        <v>91</v>
      </c>
      <c r="K1745" s="18">
        <v>4</v>
      </c>
      <c r="L1745" s="20">
        <v>7229.97</v>
      </c>
      <c r="M1745" s="21">
        <v>0.05</v>
      </c>
      <c r="N1745" s="21">
        <v>0.66742431121330503</v>
      </c>
      <c r="O1745" s="20">
        <f t="shared" si="108"/>
        <v>27473.885999999999</v>
      </c>
      <c r="P1745" s="20">
        <f t="shared" si="109"/>
        <v>18336.739439902864</v>
      </c>
      <c r="Q1745" s="20">
        <f t="shared" si="110"/>
        <v>9137.1465600971351</v>
      </c>
      <c r="R1745" s="22">
        <f t="shared" si="111"/>
        <v>0.33257568878669497</v>
      </c>
    </row>
    <row r="1746" spans="1:18">
      <c r="A1746" s="18">
        <v>2745</v>
      </c>
      <c r="B1746" s="19" t="s">
        <v>617</v>
      </c>
      <c r="C1746" s="18">
        <v>2025</v>
      </c>
      <c r="D1746" s="18" t="s">
        <v>51</v>
      </c>
      <c r="E1746" s="18" t="s">
        <v>79</v>
      </c>
      <c r="F1746" s="18" t="s">
        <v>105</v>
      </c>
      <c r="G1746" s="18" t="s">
        <v>44</v>
      </c>
      <c r="H1746" s="18" t="s">
        <v>119</v>
      </c>
      <c r="I1746" s="18" t="s">
        <v>43</v>
      </c>
      <c r="J1746" s="18" t="s">
        <v>82</v>
      </c>
      <c r="K1746" s="18">
        <v>2</v>
      </c>
      <c r="L1746" s="20">
        <v>7147.91</v>
      </c>
      <c r="M1746" s="21">
        <v>0.1</v>
      </c>
      <c r="N1746" s="21">
        <v>0.65524228284724095</v>
      </c>
      <c r="O1746" s="20">
        <f t="shared" si="108"/>
        <v>12866.237999999999</v>
      </c>
      <c r="P1746" s="20">
        <f t="shared" si="109"/>
        <v>8430.5031587759186</v>
      </c>
      <c r="Q1746" s="20">
        <f t="shared" si="110"/>
        <v>4435.7348412240808</v>
      </c>
      <c r="R1746" s="22">
        <f t="shared" si="111"/>
        <v>0.3447577171527591</v>
      </c>
    </row>
    <row r="1747" spans="1:18">
      <c r="A1747" s="18">
        <v>2746</v>
      </c>
      <c r="B1747" s="19" t="s">
        <v>618</v>
      </c>
      <c r="C1747" s="18">
        <v>2025</v>
      </c>
      <c r="D1747" s="18" t="s">
        <v>51</v>
      </c>
      <c r="E1747" s="18" t="s">
        <v>79</v>
      </c>
      <c r="F1747" s="18" t="s">
        <v>80</v>
      </c>
      <c r="G1747" s="18" t="s">
        <v>44</v>
      </c>
      <c r="H1747" s="18" t="s">
        <v>119</v>
      </c>
      <c r="I1747" s="18" t="s">
        <v>62</v>
      </c>
      <c r="J1747" s="18" t="s">
        <v>82</v>
      </c>
      <c r="K1747" s="18">
        <v>11</v>
      </c>
      <c r="L1747" s="20">
        <v>7125.15</v>
      </c>
      <c r="M1747" s="21">
        <v>0.1</v>
      </c>
      <c r="N1747" s="21">
        <v>0.59335645159290296</v>
      </c>
      <c r="O1747" s="20">
        <f t="shared" si="108"/>
        <v>70538.985000000001</v>
      </c>
      <c r="P1747" s="20">
        <f t="shared" si="109"/>
        <v>41854.761838565006</v>
      </c>
      <c r="Q1747" s="20">
        <f t="shared" si="110"/>
        <v>28684.223161434995</v>
      </c>
      <c r="R1747" s="22">
        <f t="shared" si="111"/>
        <v>0.4066435484070971</v>
      </c>
    </row>
    <row r="1748" spans="1:18">
      <c r="A1748" s="18">
        <v>2747</v>
      </c>
      <c r="B1748" s="19" t="s">
        <v>618</v>
      </c>
      <c r="C1748" s="18">
        <v>2025</v>
      </c>
      <c r="D1748" s="18" t="s">
        <v>51</v>
      </c>
      <c r="E1748" s="18" t="s">
        <v>85</v>
      </c>
      <c r="F1748" s="18" t="s">
        <v>94</v>
      </c>
      <c r="G1748" s="18" t="s">
        <v>47</v>
      </c>
      <c r="H1748" s="18" t="s">
        <v>81</v>
      </c>
      <c r="I1748" s="18" t="s">
        <v>40</v>
      </c>
      <c r="J1748" s="18" t="s">
        <v>91</v>
      </c>
      <c r="K1748" s="18">
        <v>1</v>
      </c>
      <c r="L1748" s="20">
        <v>817.87</v>
      </c>
      <c r="M1748" s="21">
        <v>0</v>
      </c>
      <c r="N1748" s="21">
        <v>0.73362607918685996</v>
      </c>
      <c r="O1748" s="20">
        <f t="shared" si="108"/>
        <v>817.87</v>
      </c>
      <c r="P1748" s="20">
        <f t="shared" si="109"/>
        <v>600.01076138455721</v>
      </c>
      <c r="Q1748" s="20">
        <f t="shared" si="110"/>
        <v>217.85923861544279</v>
      </c>
      <c r="R1748" s="22">
        <f t="shared" si="111"/>
        <v>0.26637392081313999</v>
      </c>
    </row>
    <row r="1749" spans="1:18">
      <c r="A1749" s="18">
        <v>2748</v>
      </c>
      <c r="B1749" s="19" t="s">
        <v>619</v>
      </c>
      <c r="C1749" s="18">
        <v>2025</v>
      </c>
      <c r="D1749" s="18" t="s">
        <v>51</v>
      </c>
      <c r="E1749" s="18" t="s">
        <v>98</v>
      </c>
      <c r="F1749" s="18" t="s">
        <v>109</v>
      </c>
      <c r="G1749" s="18" t="s">
        <v>41</v>
      </c>
      <c r="H1749" s="18" t="s">
        <v>112</v>
      </c>
      <c r="I1749" s="18" t="s">
        <v>60</v>
      </c>
      <c r="J1749" s="18" t="s">
        <v>91</v>
      </c>
      <c r="K1749" s="18">
        <v>9</v>
      </c>
      <c r="L1749" s="20">
        <v>6132.17</v>
      </c>
      <c r="M1749" s="21">
        <v>0.15</v>
      </c>
      <c r="N1749" s="21">
        <v>0.72836477906760899</v>
      </c>
      <c r="O1749" s="20">
        <f t="shared" si="108"/>
        <v>46911.1005</v>
      </c>
      <c r="P1749" s="20">
        <f t="shared" si="109"/>
        <v>34168.393351500905</v>
      </c>
      <c r="Q1749" s="20">
        <f t="shared" si="110"/>
        <v>12742.707148499096</v>
      </c>
      <c r="R1749" s="22">
        <f t="shared" si="111"/>
        <v>0.27163522093239095</v>
      </c>
    </row>
    <row r="1750" spans="1:18">
      <c r="A1750" s="18">
        <v>2749</v>
      </c>
      <c r="B1750" s="19" t="s">
        <v>619</v>
      </c>
      <c r="C1750" s="18">
        <v>2025</v>
      </c>
      <c r="D1750" s="18" t="s">
        <v>51</v>
      </c>
      <c r="E1750" s="18" t="s">
        <v>79</v>
      </c>
      <c r="F1750" s="18" t="s">
        <v>100</v>
      </c>
      <c r="G1750" s="18" t="s">
        <v>44</v>
      </c>
      <c r="H1750" s="18" t="s">
        <v>119</v>
      </c>
      <c r="I1750" s="18" t="s">
        <v>40</v>
      </c>
      <c r="J1750" s="18" t="s">
        <v>102</v>
      </c>
      <c r="K1750" s="18">
        <v>2</v>
      </c>
      <c r="L1750" s="20">
        <v>6884.21</v>
      </c>
      <c r="M1750" s="21">
        <v>0.1</v>
      </c>
      <c r="N1750" s="21">
        <v>0.57240292511841695</v>
      </c>
      <c r="O1750" s="20">
        <f t="shared" si="108"/>
        <v>12391.578</v>
      </c>
      <c r="P1750" s="20">
        <f t="shared" si="109"/>
        <v>7092.9754940330222</v>
      </c>
      <c r="Q1750" s="20">
        <f t="shared" si="110"/>
        <v>5298.6025059669773</v>
      </c>
      <c r="R1750" s="22">
        <f t="shared" si="111"/>
        <v>0.42759707488158311</v>
      </c>
    </row>
    <row r="1751" spans="1:18">
      <c r="A1751" s="18">
        <v>2750</v>
      </c>
      <c r="B1751" s="19" t="s">
        <v>619</v>
      </c>
      <c r="C1751" s="18">
        <v>2025</v>
      </c>
      <c r="D1751" s="18" t="s">
        <v>51</v>
      </c>
      <c r="E1751" s="18" t="s">
        <v>88</v>
      </c>
      <c r="F1751" s="18" t="s">
        <v>93</v>
      </c>
      <c r="G1751" s="18" t="s">
        <v>41</v>
      </c>
      <c r="H1751" s="18" t="s">
        <v>101</v>
      </c>
      <c r="I1751" s="18" t="s">
        <v>56</v>
      </c>
      <c r="J1751" s="18" t="s">
        <v>91</v>
      </c>
      <c r="K1751" s="18">
        <v>8</v>
      </c>
      <c r="L1751" s="20">
        <v>55752.58</v>
      </c>
      <c r="M1751" s="21">
        <v>0.1</v>
      </c>
      <c r="N1751" s="21">
        <v>0.60277743001172102</v>
      </c>
      <c r="O1751" s="20">
        <f t="shared" si="108"/>
        <v>401418.576</v>
      </c>
      <c r="P1751" s="20">
        <f t="shared" si="109"/>
        <v>241966.05760024471</v>
      </c>
      <c r="Q1751" s="20">
        <f t="shared" si="110"/>
        <v>159452.5183997553</v>
      </c>
      <c r="R1751" s="22">
        <f t="shared" si="111"/>
        <v>0.39722256998827898</v>
      </c>
    </row>
    <row r="1752" spans="1:18">
      <c r="A1752" s="18">
        <v>2751</v>
      </c>
      <c r="B1752" s="19" t="s">
        <v>619</v>
      </c>
      <c r="C1752" s="18">
        <v>2025</v>
      </c>
      <c r="D1752" s="18" t="s">
        <v>51</v>
      </c>
      <c r="E1752" s="18" t="s">
        <v>98</v>
      </c>
      <c r="F1752" s="18" t="s">
        <v>99</v>
      </c>
      <c r="G1752" s="18" t="s">
        <v>41</v>
      </c>
      <c r="H1752" s="18" t="s">
        <v>112</v>
      </c>
      <c r="I1752" s="18" t="s">
        <v>40</v>
      </c>
      <c r="J1752" s="18" t="s">
        <v>102</v>
      </c>
      <c r="K1752" s="18">
        <v>11</v>
      </c>
      <c r="L1752" s="20">
        <v>5828.22</v>
      </c>
      <c r="M1752" s="21">
        <v>0.05</v>
      </c>
      <c r="N1752" s="21">
        <v>0.671948524999742</v>
      </c>
      <c r="O1752" s="20">
        <f t="shared" si="108"/>
        <v>60904.899000000005</v>
      </c>
      <c r="P1752" s="20">
        <f t="shared" si="109"/>
        <v>40924.957048308264</v>
      </c>
      <c r="Q1752" s="20">
        <f t="shared" si="110"/>
        <v>19979.941951691741</v>
      </c>
      <c r="R1752" s="22">
        <f t="shared" si="111"/>
        <v>0.328051475000258</v>
      </c>
    </row>
    <row r="1753" spans="1:18">
      <c r="A1753" s="18">
        <v>2752</v>
      </c>
      <c r="B1753" s="19" t="s">
        <v>619</v>
      </c>
      <c r="C1753" s="18">
        <v>2025</v>
      </c>
      <c r="D1753" s="18" t="s">
        <v>51</v>
      </c>
      <c r="E1753" s="18" t="s">
        <v>98</v>
      </c>
      <c r="F1753" s="18" t="s">
        <v>117</v>
      </c>
      <c r="G1753" s="18" t="s">
        <v>41</v>
      </c>
      <c r="H1753" s="18" t="s">
        <v>90</v>
      </c>
      <c r="I1753" s="18" t="s">
        <v>52</v>
      </c>
      <c r="J1753" s="18" t="s">
        <v>102</v>
      </c>
      <c r="K1753" s="18">
        <v>2</v>
      </c>
      <c r="L1753" s="20">
        <v>18555.32</v>
      </c>
      <c r="M1753" s="21">
        <v>0.15</v>
      </c>
      <c r="N1753" s="21">
        <v>0.67785769517997996</v>
      </c>
      <c r="O1753" s="20">
        <f t="shared" si="108"/>
        <v>31544.043999999998</v>
      </c>
      <c r="P1753" s="20">
        <f t="shared" si="109"/>
        <v>21382.372962495876</v>
      </c>
      <c r="Q1753" s="20">
        <f t="shared" si="110"/>
        <v>10161.671037504122</v>
      </c>
      <c r="R1753" s="22">
        <f t="shared" si="111"/>
        <v>0.32214230482001999</v>
      </c>
    </row>
    <row r="1754" spans="1:18">
      <c r="A1754" s="18">
        <v>2753</v>
      </c>
      <c r="B1754" s="19" t="s">
        <v>620</v>
      </c>
      <c r="C1754" s="18">
        <v>2025</v>
      </c>
      <c r="D1754" s="18" t="s">
        <v>51</v>
      </c>
      <c r="E1754" s="18" t="s">
        <v>79</v>
      </c>
      <c r="F1754" s="18" t="s">
        <v>80</v>
      </c>
      <c r="G1754" s="18" t="s">
        <v>47</v>
      </c>
      <c r="H1754" s="18" t="s">
        <v>81</v>
      </c>
      <c r="I1754" s="18" t="s">
        <v>49</v>
      </c>
      <c r="J1754" s="18" t="s">
        <v>91</v>
      </c>
      <c r="K1754" s="18">
        <v>9</v>
      </c>
      <c r="L1754" s="20">
        <v>798.19</v>
      </c>
      <c r="M1754" s="21">
        <v>0</v>
      </c>
      <c r="N1754" s="21">
        <v>0.66731141677393602</v>
      </c>
      <c r="O1754" s="20">
        <f t="shared" si="108"/>
        <v>7183.7100000000009</v>
      </c>
      <c r="P1754" s="20">
        <f t="shared" si="109"/>
        <v>4793.7716977930922</v>
      </c>
      <c r="Q1754" s="20">
        <f t="shared" si="110"/>
        <v>2389.9383022069087</v>
      </c>
      <c r="R1754" s="22">
        <f t="shared" si="111"/>
        <v>0.33268858322606404</v>
      </c>
    </row>
    <row r="1755" spans="1:18">
      <c r="A1755" s="18">
        <v>2754</v>
      </c>
      <c r="B1755" s="19" t="s">
        <v>620</v>
      </c>
      <c r="C1755" s="18">
        <v>2025</v>
      </c>
      <c r="D1755" s="18" t="s">
        <v>51</v>
      </c>
      <c r="E1755" s="18" t="s">
        <v>85</v>
      </c>
      <c r="F1755" s="18" t="s">
        <v>86</v>
      </c>
      <c r="G1755" s="18" t="s">
        <v>44</v>
      </c>
      <c r="H1755" s="18" t="s">
        <v>95</v>
      </c>
      <c r="I1755" s="18" t="s">
        <v>46</v>
      </c>
      <c r="J1755" s="18" t="s">
        <v>82</v>
      </c>
      <c r="K1755" s="18">
        <v>10</v>
      </c>
      <c r="L1755" s="20">
        <v>4545.88</v>
      </c>
      <c r="M1755" s="21">
        <v>0</v>
      </c>
      <c r="N1755" s="21">
        <v>0.56470031029007195</v>
      </c>
      <c r="O1755" s="20">
        <f t="shared" si="108"/>
        <v>45458.8</v>
      </c>
      <c r="P1755" s="20">
        <f t="shared" si="109"/>
        <v>25670.598465414325</v>
      </c>
      <c r="Q1755" s="20">
        <f t="shared" si="110"/>
        <v>19788.201534585678</v>
      </c>
      <c r="R1755" s="22">
        <f t="shared" si="111"/>
        <v>0.43529968970992805</v>
      </c>
    </row>
    <row r="1756" spans="1:18">
      <c r="A1756" s="18">
        <v>2755</v>
      </c>
      <c r="B1756" s="19" t="s">
        <v>620</v>
      </c>
      <c r="C1756" s="18">
        <v>2025</v>
      </c>
      <c r="D1756" s="18" t="s">
        <v>51</v>
      </c>
      <c r="E1756" s="18" t="s">
        <v>85</v>
      </c>
      <c r="F1756" s="18" t="s">
        <v>121</v>
      </c>
      <c r="G1756" s="18" t="s">
        <v>47</v>
      </c>
      <c r="H1756" s="18" t="s">
        <v>107</v>
      </c>
      <c r="I1756" s="18" t="s">
        <v>56</v>
      </c>
      <c r="J1756" s="18" t="s">
        <v>82</v>
      </c>
      <c r="K1756" s="18">
        <v>2</v>
      </c>
      <c r="L1756" s="20">
        <v>2146.13</v>
      </c>
      <c r="M1756" s="21">
        <v>0</v>
      </c>
      <c r="N1756" s="21">
        <v>0.68908341638150195</v>
      </c>
      <c r="O1756" s="20">
        <f t="shared" si="108"/>
        <v>4292.26</v>
      </c>
      <c r="P1756" s="20">
        <f t="shared" si="109"/>
        <v>2957.7251847976659</v>
      </c>
      <c r="Q1756" s="20">
        <f t="shared" si="110"/>
        <v>1334.5348152023344</v>
      </c>
      <c r="R1756" s="22">
        <f t="shared" si="111"/>
        <v>0.310916583618498</v>
      </c>
    </row>
    <row r="1757" spans="1:18">
      <c r="A1757" s="18">
        <v>2756</v>
      </c>
      <c r="B1757" s="19" t="s">
        <v>620</v>
      </c>
      <c r="C1757" s="18">
        <v>2025</v>
      </c>
      <c r="D1757" s="18" t="s">
        <v>51</v>
      </c>
      <c r="E1757" s="18" t="s">
        <v>98</v>
      </c>
      <c r="F1757" s="18" t="s">
        <v>117</v>
      </c>
      <c r="G1757" s="18" t="s">
        <v>50</v>
      </c>
      <c r="H1757" s="18" t="s">
        <v>87</v>
      </c>
      <c r="I1757" s="18" t="s">
        <v>40</v>
      </c>
      <c r="J1757" s="18" t="s">
        <v>91</v>
      </c>
      <c r="K1757" s="18">
        <v>11</v>
      </c>
      <c r="L1757" s="20">
        <v>9045.19</v>
      </c>
      <c r="M1757" s="21">
        <v>0.05</v>
      </c>
      <c r="N1757" s="21">
        <v>0.59752973093446404</v>
      </c>
      <c r="O1757" s="20">
        <f t="shared" si="108"/>
        <v>94522.23550000001</v>
      </c>
      <c r="P1757" s="20">
        <f t="shared" si="109"/>
        <v>56479.845945639048</v>
      </c>
      <c r="Q1757" s="20">
        <f t="shared" si="110"/>
        <v>38042.389554360961</v>
      </c>
      <c r="R1757" s="22">
        <f t="shared" si="111"/>
        <v>0.40247026906553601</v>
      </c>
    </row>
    <row r="1758" spans="1:18">
      <c r="A1758" s="18">
        <v>2757</v>
      </c>
      <c r="B1758" s="19" t="s">
        <v>621</v>
      </c>
      <c r="C1758" s="18">
        <v>2025</v>
      </c>
      <c r="D1758" s="18" t="s">
        <v>51</v>
      </c>
      <c r="E1758" s="18" t="s">
        <v>85</v>
      </c>
      <c r="F1758" s="18" t="s">
        <v>121</v>
      </c>
      <c r="G1758" s="18" t="s">
        <v>41</v>
      </c>
      <c r="H1758" s="18" t="s">
        <v>90</v>
      </c>
      <c r="I1758" s="18" t="s">
        <v>43</v>
      </c>
      <c r="J1758" s="18" t="s">
        <v>102</v>
      </c>
      <c r="K1758" s="18">
        <v>3</v>
      </c>
      <c r="L1758" s="20">
        <v>17867.73</v>
      </c>
      <c r="M1758" s="21">
        <v>0</v>
      </c>
      <c r="N1758" s="21">
        <v>0.737769043508408</v>
      </c>
      <c r="O1758" s="20">
        <f t="shared" si="108"/>
        <v>53603.19</v>
      </c>
      <c r="P1758" s="20">
        <f t="shared" si="109"/>
        <v>39546.774215299462</v>
      </c>
      <c r="Q1758" s="20">
        <f t="shared" si="110"/>
        <v>14056.415784700541</v>
      </c>
      <c r="R1758" s="22">
        <f t="shared" si="111"/>
        <v>0.262230956491592</v>
      </c>
    </row>
    <row r="1759" spans="1:18">
      <c r="A1759" s="18">
        <v>2758</v>
      </c>
      <c r="B1759" s="19" t="s">
        <v>621</v>
      </c>
      <c r="C1759" s="18">
        <v>2025</v>
      </c>
      <c r="D1759" s="18" t="s">
        <v>51</v>
      </c>
      <c r="E1759" s="18" t="s">
        <v>88</v>
      </c>
      <c r="F1759" s="18" t="s">
        <v>110</v>
      </c>
      <c r="G1759" s="18" t="s">
        <v>44</v>
      </c>
      <c r="H1759" s="18" t="s">
        <v>114</v>
      </c>
      <c r="I1759" s="18" t="s">
        <v>56</v>
      </c>
      <c r="J1759" s="18" t="s">
        <v>91</v>
      </c>
      <c r="K1759" s="18">
        <v>10</v>
      </c>
      <c r="L1759" s="20">
        <v>8629.5400000000009</v>
      </c>
      <c r="M1759" s="21">
        <v>0</v>
      </c>
      <c r="N1759" s="21">
        <v>0.627256824305641</v>
      </c>
      <c r="O1759" s="20">
        <f t="shared" si="108"/>
        <v>86295.400000000009</v>
      </c>
      <c r="P1759" s="20">
        <f t="shared" si="109"/>
        <v>54129.378556185016</v>
      </c>
      <c r="Q1759" s="20">
        <f t="shared" si="110"/>
        <v>32166.021443814992</v>
      </c>
      <c r="R1759" s="22">
        <f t="shared" si="111"/>
        <v>0.372743175694359</v>
      </c>
    </row>
    <row r="1760" spans="1:18">
      <c r="A1760" s="18">
        <v>2759</v>
      </c>
      <c r="B1760" s="19" t="s">
        <v>621</v>
      </c>
      <c r="C1760" s="18">
        <v>2025</v>
      </c>
      <c r="D1760" s="18" t="s">
        <v>51</v>
      </c>
      <c r="E1760" s="18" t="s">
        <v>85</v>
      </c>
      <c r="F1760" s="18" t="s">
        <v>86</v>
      </c>
      <c r="G1760" s="18" t="s">
        <v>47</v>
      </c>
      <c r="H1760" s="18" t="s">
        <v>103</v>
      </c>
      <c r="I1760" s="18" t="s">
        <v>49</v>
      </c>
      <c r="J1760" s="18" t="s">
        <v>82</v>
      </c>
      <c r="K1760" s="18">
        <v>3</v>
      </c>
      <c r="L1760" s="20">
        <v>3285.63</v>
      </c>
      <c r="M1760" s="21">
        <v>0.05</v>
      </c>
      <c r="N1760" s="21">
        <v>0.72949872514684999</v>
      </c>
      <c r="O1760" s="20">
        <f t="shared" si="108"/>
        <v>9364.0454999999984</v>
      </c>
      <c r="P1760" s="20">
        <f t="shared" si="109"/>
        <v>6831.0592544670963</v>
      </c>
      <c r="Q1760" s="20">
        <f t="shared" si="110"/>
        <v>2532.9862455329021</v>
      </c>
      <c r="R1760" s="22">
        <f t="shared" si="111"/>
        <v>0.27050127485315001</v>
      </c>
    </row>
    <row r="1761" spans="1:18">
      <c r="A1761" s="18">
        <v>2760</v>
      </c>
      <c r="B1761" s="19" t="s">
        <v>621</v>
      </c>
      <c r="C1761" s="18">
        <v>2025</v>
      </c>
      <c r="D1761" s="18" t="s">
        <v>51</v>
      </c>
      <c r="E1761" s="18" t="s">
        <v>98</v>
      </c>
      <c r="F1761" s="18" t="s">
        <v>117</v>
      </c>
      <c r="G1761" s="18" t="s">
        <v>50</v>
      </c>
      <c r="H1761" s="18" t="s">
        <v>87</v>
      </c>
      <c r="I1761" s="18" t="s">
        <v>60</v>
      </c>
      <c r="J1761" s="18" t="s">
        <v>82</v>
      </c>
      <c r="K1761" s="18">
        <v>7</v>
      </c>
      <c r="L1761" s="20">
        <v>9568.44</v>
      </c>
      <c r="M1761" s="21">
        <v>0.1</v>
      </c>
      <c r="N1761" s="21">
        <v>0.67527565784369703</v>
      </c>
      <c r="O1761" s="20">
        <f t="shared" si="108"/>
        <v>60281.172000000006</v>
      </c>
      <c r="P1761" s="20">
        <f t="shared" si="109"/>
        <v>40706.408077889057</v>
      </c>
      <c r="Q1761" s="20">
        <f t="shared" si="110"/>
        <v>19574.763922110949</v>
      </c>
      <c r="R1761" s="22">
        <f t="shared" si="111"/>
        <v>0.32472434215630291</v>
      </c>
    </row>
    <row r="1762" spans="1:18">
      <c r="A1762" s="18">
        <v>2761</v>
      </c>
      <c r="B1762" s="19" t="s">
        <v>621</v>
      </c>
      <c r="C1762" s="18">
        <v>2025</v>
      </c>
      <c r="D1762" s="18" t="s">
        <v>51</v>
      </c>
      <c r="E1762" s="18" t="s">
        <v>85</v>
      </c>
      <c r="F1762" s="18" t="s">
        <v>121</v>
      </c>
      <c r="G1762" s="18" t="s">
        <v>44</v>
      </c>
      <c r="H1762" s="18" t="s">
        <v>95</v>
      </c>
      <c r="I1762" s="18" t="s">
        <v>49</v>
      </c>
      <c r="J1762" s="18" t="s">
        <v>102</v>
      </c>
      <c r="K1762" s="18">
        <v>5</v>
      </c>
      <c r="L1762" s="20">
        <v>4405.68</v>
      </c>
      <c r="M1762" s="21">
        <v>0</v>
      </c>
      <c r="N1762" s="21">
        <v>0.57316571361139401</v>
      </c>
      <c r="O1762" s="20">
        <f t="shared" si="108"/>
        <v>22028.400000000001</v>
      </c>
      <c r="P1762" s="20">
        <f t="shared" si="109"/>
        <v>12625.923605717233</v>
      </c>
      <c r="Q1762" s="20">
        <f t="shared" si="110"/>
        <v>9402.4763942827685</v>
      </c>
      <c r="R1762" s="22">
        <f t="shared" si="111"/>
        <v>0.42683428638860599</v>
      </c>
    </row>
    <row r="1763" spans="1:18">
      <c r="A1763" s="18">
        <v>2762</v>
      </c>
      <c r="B1763" s="19" t="s">
        <v>622</v>
      </c>
      <c r="C1763" s="18">
        <v>2025</v>
      </c>
      <c r="D1763" s="18" t="s">
        <v>51</v>
      </c>
      <c r="E1763" s="18" t="s">
        <v>79</v>
      </c>
      <c r="F1763" s="18" t="s">
        <v>80</v>
      </c>
      <c r="G1763" s="18" t="s">
        <v>50</v>
      </c>
      <c r="H1763" s="18" t="s">
        <v>83</v>
      </c>
      <c r="I1763" s="18" t="s">
        <v>54</v>
      </c>
      <c r="J1763" s="18" t="s">
        <v>91</v>
      </c>
      <c r="K1763" s="18">
        <v>4</v>
      </c>
      <c r="L1763" s="20">
        <v>3491.91</v>
      </c>
      <c r="M1763" s="21">
        <v>0.2</v>
      </c>
      <c r="N1763" s="21">
        <v>0.73254485510332601</v>
      </c>
      <c r="O1763" s="20">
        <f t="shared" si="108"/>
        <v>11174.112000000001</v>
      </c>
      <c r="P1763" s="20">
        <f t="shared" si="109"/>
        <v>8185.5382559483369</v>
      </c>
      <c r="Q1763" s="20">
        <f t="shared" si="110"/>
        <v>2988.5737440516641</v>
      </c>
      <c r="R1763" s="22">
        <f t="shared" si="111"/>
        <v>0.26745514489667399</v>
      </c>
    </row>
    <row r="1764" spans="1:18">
      <c r="A1764" s="18">
        <v>2763</v>
      </c>
      <c r="B1764" s="19" t="s">
        <v>622</v>
      </c>
      <c r="C1764" s="18">
        <v>2025</v>
      </c>
      <c r="D1764" s="18" t="s">
        <v>51</v>
      </c>
      <c r="E1764" s="18" t="s">
        <v>88</v>
      </c>
      <c r="F1764" s="18" t="s">
        <v>89</v>
      </c>
      <c r="G1764" s="18" t="s">
        <v>41</v>
      </c>
      <c r="H1764" s="18" t="s">
        <v>101</v>
      </c>
      <c r="I1764" s="18" t="s">
        <v>49</v>
      </c>
      <c r="J1764" s="18" t="s">
        <v>102</v>
      </c>
      <c r="K1764" s="18">
        <v>6</v>
      </c>
      <c r="L1764" s="20">
        <v>55629.8</v>
      </c>
      <c r="M1764" s="21">
        <v>0</v>
      </c>
      <c r="N1764" s="21">
        <v>0.56068006769191403</v>
      </c>
      <c r="O1764" s="20">
        <f t="shared" si="108"/>
        <v>333778.80000000005</v>
      </c>
      <c r="P1764" s="20">
        <f t="shared" si="109"/>
        <v>187143.12017812586</v>
      </c>
      <c r="Q1764" s="20">
        <f t="shared" si="110"/>
        <v>146635.67982187419</v>
      </c>
      <c r="R1764" s="22">
        <f t="shared" si="111"/>
        <v>0.43931993230808597</v>
      </c>
    </row>
    <row r="1765" spans="1:18">
      <c r="A1765" s="18">
        <v>2764</v>
      </c>
      <c r="B1765" s="19" t="s">
        <v>622</v>
      </c>
      <c r="C1765" s="18">
        <v>2025</v>
      </c>
      <c r="D1765" s="18" t="s">
        <v>51</v>
      </c>
      <c r="E1765" s="18" t="s">
        <v>98</v>
      </c>
      <c r="F1765" s="18" t="s">
        <v>109</v>
      </c>
      <c r="G1765" s="18" t="s">
        <v>41</v>
      </c>
      <c r="H1765" s="18" t="s">
        <v>90</v>
      </c>
      <c r="I1765" s="18" t="s">
        <v>60</v>
      </c>
      <c r="J1765" s="18" t="s">
        <v>91</v>
      </c>
      <c r="K1765" s="18">
        <v>10</v>
      </c>
      <c r="L1765" s="20">
        <v>18145.52</v>
      </c>
      <c r="M1765" s="21">
        <v>0</v>
      </c>
      <c r="N1765" s="21">
        <v>0.71065730495654</v>
      </c>
      <c r="O1765" s="20">
        <f t="shared" si="108"/>
        <v>181455.2</v>
      </c>
      <c r="P1765" s="20">
        <f t="shared" si="109"/>
        <v>128952.46340234997</v>
      </c>
      <c r="Q1765" s="20">
        <f t="shared" si="110"/>
        <v>52502.736597650044</v>
      </c>
      <c r="R1765" s="22">
        <f t="shared" si="111"/>
        <v>0.28934269504346</v>
      </c>
    </row>
    <row r="1766" spans="1:18">
      <c r="A1766" s="18">
        <v>2765</v>
      </c>
      <c r="B1766" s="19" t="s">
        <v>622</v>
      </c>
      <c r="C1766" s="18">
        <v>2025</v>
      </c>
      <c r="D1766" s="18" t="s">
        <v>51</v>
      </c>
      <c r="E1766" s="18" t="s">
        <v>98</v>
      </c>
      <c r="F1766" s="18" t="s">
        <v>99</v>
      </c>
      <c r="G1766" s="18" t="s">
        <v>44</v>
      </c>
      <c r="H1766" s="18" t="s">
        <v>119</v>
      </c>
      <c r="I1766" s="18" t="s">
        <v>58</v>
      </c>
      <c r="J1766" s="18" t="s">
        <v>91</v>
      </c>
      <c r="K1766" s="18">
        <v>10</v>
      </c>
      <c r="L1766" s="20">
        <v>7215.13</v>
      </c>
      <c r="M1766" s="21">
        <v>0.1</v>
      </c>
      <c r="N1766" s="21">
        <v>0.70124374270118806</v>
      </c>
      <c r="O1766" s="20">
        <f t="shared" si="108"/>
        <v>64936.170000000006</v>
      </c>
      <c r="P1766" s="20">
        <f t="shared" si="109"/>
        <v>45536.08288748061</v>
      </c>
      <c r="Q1766" s="20">
        <f t="shared" si="110"/>
        <v>19400.087112519395</v>
      </c>
      <c r="R1766" s="22">
        <f t="shared" si="111"/>
        <v>0.29875625729881194</v>
      </c>
    </row>
    <row r="1767" spans="1:18">
      <c r="A1767" s="18">
        <v>2766</v>
      </c>
      <c r="B1767" s="19" t="s">
        <v>623</v>
      </c>
      <c r="C1767" s="18">
        <v>2025</v>
      </c>
      <c r="D1767" s="18" t="s">
        <v>51</v>
      </c>
      <c r="E1767" s="18" t="s">
        <v>85</v>
      </c>
      <c r="F1767" s="18" t="s">
        <v>94</v>
      </c>
      <c r="G1767" s="18" t="s">
        <v>47</v>
      </c>
      <c r="H1767" s="18" t="s">
        <v>103</v>
      </c>
      <c r="I1767" s="18" t="s">
        <v>62</v>
      </c>
      <c r="J1767" s="18" t="s">
        <v>102</v>
      </c>
      <c r="K1767" s="18">
        <v>12</v>
      </c>
      <c r="L1767" s="20">
        <v>3273.52</v>
      </c>
      <c r="M1767" s="21">
        <v>0.2</v>
      </c>
      <c r="N1767" s="21">
        <v>0.70221687999551896</v>
      </c>
      <c r="O1767" s="20">
        <f t="shared" si="108"/>
        <v>31425.792000000001</v>
      </c>
      <c r="P1767" s="20">
        <f t="shared" si="109"/>
        <v>22067.721609628141</v>
      </c>
      <c r="Q1767" s="20">
        <f t="shared" si="110"/>
        <v>9358.0703903718604</v>
      </c>
      <c r="R1767" s="22">
        <f t="shared" si="111"/>
        <v>0.29778312000448104</v>
      </c>
    </row>
    <row r="1768" spans="1:18">
      <c r="A1768" s="18">
        <v>2767</v>
      </c>
      <c r="B1768" s="19" t="s">
        <v>623</v>
      </c>
      <c r="C1768" s="18">
        <v>2025</v>
      </c>
      <c r="D1768" s="18" t="s">
        <v>51</v>
      </c>
      <c r="E1768" s="18" t="s">
        <v>85</v>
      </c>
      <c r="F1768" s="18" t="s">
        <v>86</v>
      </c>
      <c r="G1768" s="18" t="s">
        <v>47</v>
      </c>
      <c r="H1768" s="18" t="s">
        <v>81</v>
      </c>
      <c r="I1768" s="18" t="s">
        <v>60</v>
      </c>
      <c r="J1768" s="18" t="s">
        <v>91</v>
      </c>
      <c r="K1768" s="18">
        <v>10</v>
      </c>
      <c r="L1768" s="20">
        <v>790.73</v>
      </c>
      <c r="M1768" s="21">
        <v>0.15</v>
      </c>
      <c r="N1768" s="21">
        <v>0.59964016250808805</v>
      </c>
      <c r="O1768" s="20">
        <f t="shared" si="108"/>
        <v>6721.2049999999999</v>
      </c>
      <c r="P1768" s="20">
        <f t="shared" si="109"/>
        <v>4030.304458450174</v>
      </c>
      <c r="Q1768" s="20">
        <f t="shared" si="110"/>
        <v>2690.9005415498259</v>
      </c>
      <c r="R1768" s="22">
        <f t="shared" si="111"/>
        <v>0.40035983749191195</v>
      </c>
    </row>
    <row r="1769" spans="1:18">
      <c r="A1769" s="18">
        <v>2768</v>
      </c>
      <c r="B1769" s="19" t="s">
        <v>623</v>
      </c>
      <c r="C1769" s="18">
        <v>2025</v>
      </c>
      <c r="D1769" s="18" t="s">
        <v>51</v>
      </c>
      <c r="E1769" s="18" t="s">
        <v>98</v>
      </c>
      <c r="F1769" s="18" t="s">
        <v>99</v>
      </c>
      <c r="G1769" s="18" t="s">
        <v>41</v>
      </c>
      <c r="H1769" s="18" t="s">
        <v>106</v>
      </c>
      <c r="I1769" s="18" t="s">
        <v>40</v>
      </c>
      <c r="J1769" s="18" t="s">
        <v>102</v>
      </c>
      <c r="K1769" s="18">
        <v>5</v>
      </c>
      <c r="L1769" s="20">
        <v>2517.37</v>
      </c>
      <c r="M1769" s="21">
        <v>0</v>
      </c>
      <c r="N1769" s="21">
        <v>0.74065769638884604</v>
      </c>
      <c r="O1769" s="20">
        <f t="shared" si="108"/>
        <v>12586.849999999999</v>
      </c>
      <c r="P1769" s="20">
        <f t="shared" si="109"/>
        <v>9322.5473257919457</v>
      </c>
      <c r="Q1769" s="20">
        <f t="shared" si="110"/>
        <v>3264.3026742080528</v>
      </c>
      <c r="R1769" s="22">
        <f t="shared" si="111"/>
        <v>0.25934230361115396</v>
      </c>
    </row>
    <row r="1770" spans="1:18">
      <c r="A1770" s="18">
        <v>2769</v>
      </c>
      <c r="B1770" s="19" t="s">
        <v>623</v>
      </c>
      <c r="C1770" s="18">
        <v>2025</v>
      </c>
      <c r="D1770" s="18" t="s">
        <v>51</v>
      </c>
      <c r="E1770" s="18" t="s">
        <v>88</v>
      </c>
      <c r="F1770" s="18" t="s">
        <v>110</v>
      </c>
      <c r="G1770" s="18" t="s">
        <v>44</v>
      </c>
      <c r="H1770" s="18" t="s">
        <v>119</v>
      </c>
      <c r="I1770" s="18" t="s">
        <v>52</v>
      </c>
      <c r="J1770" s="18" t="s">
        <v>82</v>
      </c>
      <c r="K1770" s="18">
        <v>7</v>
      </c>
      <c r="L1770" s="20">
        <v>6932.95</v>
      </c>
      <c r="M1770" s="21">
        <v>0.15</v>
      </c>
      <c r="N1770" s="21">
        <v>0.74212560644377601</v>
      </c>
      <c r="O1770" s="20">
        <f t="shared" si="108"/>
        <v>41251.052499999998</v>
      </c>
      <c r="P1770" s="20">
        <f t="shared" si="109"/>
        <v>30613.46235300654</v>
      </c>
      <c r="Q1770" s="20">
        <f t="shared" si="110"/>
        <v>10637.590146993458</v>
      </c>
      <c r="R1770" s="22">
        <f t="shared" si="111"/>
        <v>0.25787439355622399</v>
      </c>
    </row>
    <row r="1771" spans="1:18">
      <c r="A1771" s="18">
        <v>2770</v>
      </c>
      <c r="B1771" s="19" t="s">
        <v>623</v>
      </c>
      <c r="C1771" s="18">
        <v>2025</v>
      </c>
      <c r="D1771" s="18" t="s">
        <v>51</v>
      </c>
      <c r="E1771" s="18" t="s">
        <v>79</v>
      </c>
      <c r="F1771" s="18" t="s">
        <v>105</v>
      </c>
      <c r="G1771" s="18" t="s">
        <v>41</v>
      </c>
      <c r="H1771" s="18" t="s">
        <v>112</v>
      </c>
      <c r="I1771" s="18" t="s">
        <v>46</v>
      </c>
      <c r="J1771" s="18" t="s">
        <v>91</v>
      </c>
      <c r="K1771" s="18">
        <v>11</v>
      </c>
      <c r="L1771" s="20">
        <v>5770.63</v>
      </c>
      <c r="M1771" s="21">
        <v>0.1</v>
      </c>
      <c r="N1771" s="21">
        <v>0.74446851147950799</v>
      </c>
      <c r="O1771" s="20">
        <f t="shared" si="108"/>
        <v>57129.237000000001</v>
      </c>
      <c r="P1771" s="20">
        <f t="shared" si="109"/>
        <v>42530.918031350033</v>
      </c>
      <c r="Q1771" s="20">
        <f t="shared" si="110"/>
        <v>14598.318968649968</v>
      </c>
      <c r="R1771" s="22">
        <f t="shared" si="111"/>
        <v>0.25553148852049201</v>
      </c>
    </row>
    <row r="1772" spans="1:18">
      <c r="A1772" s="18">
        <v>2771</v>
      </c>
      <c r="B1772" s="19" t="s">
        <v>624</v>
      </c>
      <c r="C1772" s="18">
        <v>2025</v>
      </c>
      <c r="D1772" s="18" t="s">
        <v>51</v>
      </c>
      <c r="E1772" s="18" t="s">
        <v>85</v>
      </c>
      <c r="F1772" s="18" t="s">
        <v>86</v>
      </c>
      <c r="G1772" s="18" t="s">
        <v>44</v>
      </c>
      <c r="H1772" s="18" t="s">
        <v>114</v>
      </c>
      <c r="I1772" s="18" t="s">
        <v>60</v>
      </c>
      <c r="J1772" s="18" t="s">
        <v>102</v>
      </c>
      <c r="K1772" s="18">
        <v>4</v>
      </c>
      <c r="L1772" s="20">
        <v>9017.99</v>
      </c>
      <c r="M1772" s="21">
        <v>0</v>
      </c>
      <c r="N1772" s="21">
        <v>0.61515561740122204</v>
      </c>
      <c r="O1772" s="20">
        <f t="shared" si="108"/>
        <v>36071.96</v>
      </c>
      <c r="P1772" s="20">
        <f t="shared" si="109"/>
        <v>22189.868824672187</v>
      </c>
      <c r="Q1772" s="20">
        <f t="shared" si="110"/>
        <v>13882.091175327812</v>
      </c>
      <c r="R1772" s="22">
        <f t="shared" si="111"/>
        <v>0.3848443825987779</v>
      </c>
    </row>
    <row r="1773" spans="1:18">
      <c r="A1773" s="18">
        <v>2772</v>
      </c>
      <c r="B1773" s="19" t="s">
        <v>624</v>
      </c>
      <c r="C1773" s="18">
        <v>2025</v>
      </c>
      <c r="D1773" s="18" t="s">
        <v>51</v>
      </c>
      <c r="E1773" s="18" t="s">
        <v>98</v>
      </c>
      <c r="F1773" s="18" t="s">
        <v>99</v>
      </c>
      <c r="G1773" s="18" t="s">
        <v>44</v>
      </c>
      <c r="H1773" s="18" t="s">
        <v>95</v>
      </c>
      <c r="I1773" s="18" t="s">
        <v>46</v>
      </c>
      <c r="J1773" s="18" t="s">
        <v>102</v>
      </c>
      <c r="K1773" s="18">
        <v>9</v>
      </c>
      <c r="L1773" s="20">
        <v>4615.66</v>
      </c>
      <c r="M1773" s="21">
        <v>0.05</v>
      </c>
      <c r="N1773" s="21">
        <v>0.71560272127847702</v>
      </c>
      <c r="O1773" s="20">
        <f t="shared" si="108"/>
        <v>39463.893000000004</v>
      </c>
      <c r="P1773" s="20">
        <f t="shared" si="109"/>
        <v>28240.469223042644</v>
      </c>
      <c r="Q1773" s="20">
        <f t="shared" si="110"/>
        <v>11223.423776957359</v>
      </c>
      <c r="R1773" s="22">
        <f t="shared" si="111"/>
        <v>0.28439727872152293</v>
      </c>
    </row>
    <row r="1774" spans="1:18">
      <c r="A1774" s="18">
        <v>2773</v>
      </c>
      <c r="B1774" s="19" t="s">
        <v>625</v>
      </c>
      <c r="C1774" s="18">
        <v>2025</v>
      </c>
      <c r="D1774" s="18" t="s">
        <v>51</v>
      </c>
      <c r="E1774" s="18" t="s">
        <v>85</v>
      </c>
      <c r="F1774" s="18" t="s">
        <v>94</v>
      </c>
      <c r="G1774" s="18" t="s">
        <v>41</v>
      </c>
      <c r="H1774" s="18" t="s">
        <v>101</v>
      </c>
      <c r="I1774" s="18" t="s">
        <v>62</v>
      </c>
      <c r="J1774" s="18" t="s">
        <v>102</v>
      </c>
      <c r="K1774" s="18">
        <v>7</v>
      </c>
      <c r="L1774" s="20">
        <v>54127.37</v>
      </c>
      <c r="M1774" s="21">
        <v>0.15</v>
      </c>
      <c r="N1774" s="21">
        <v>0.71091705240156</v>
      </c>
      <c r="O1774" s="20">
        <f t="shared" si="108"/>
        <v>322057.85149999999</v>
      </c>
      <c r="P1774" s="20">
        <f t="shared" si="109"/>
        <v>228956.41849115933</v>
      </c>
      <c r="Q1774" s="20">
        <f t="shared" si="110"/>
        <v>93101.433008840657</v>
      </c>
      <c r="R1774" s="22">
        <f t="shared" si="111"/>
        <v>0.28908294759843994</v>
      </c>
    </row>
    <row r="1775" spans="1:18">
      <c r="A1775" s="18">
        <v>2774</v>
      </c>
      <c r="B1775" s="19" t="s">
        <v>625</v>
      </c>
      <c r="C1775" s="18">
        <v>2025</v>
      </c>
      <c r="D1775" s="18" t="s">
        <v>51</v>
      </c>
      <c r="E1775" s="18" t="s">
        <v>88</v>
      </c>
      <c r="F1775" s="18" t="s">
        <v>89</v>
      </c>
      <c r="G1775" s="18" t="s">
        <v>47</v>
      </c>
      <c r="H1775" s="18" t="s">
        <v>103</v>
      </c>
      <c r="I1775" s="18" t="s">
        <v>46</v>
      </c>
      <c r="J1775" s="18" t="s">
        <v>91</v>
      </c>
      <c r="K1775" s="18">
        <v>11</v>
      </c>
      <c r="L1775" s="20">
        <v>3125.13</v>
      </c>
      <c r="M1775" s="21">
        <v>0.15</v>
      </c>
      <c r="N1775" s="21">
        <v>0.62648677762286897</v>
      </c>
      <c r="O1775" s="20">
        <f t="shared" si="108"/>
        <v>29219.965499999998</v>
      </c>
      <c r="P1775" s="20">
        <f t="shared" si="109"/>
        <v>18305.922028346402</v>
      </c>
      <c r="Q1775" s="20">
        <f t="shared" si="110"/>
        <v>10914.043471653596</v>
      </c>
      <c r="R1775" s="22">
        <f t="shared" si="111"/>
        <v>0.37351322237713103</v>
      </c>
    </row>
    <row r="1776" spans="1:18">
      <c r="A1776" s="18">
        <v>2775</v>
      </c>
      <c r="B1776" s="19" t="s">
        <v>625</v>
      </c>
      <c r="C1776" s="18">
        <v>2025</v>
      </c>
      <c r="D1776" s="18" t="s">
        <v>51</v>
      </c>
      <c r="E1776" s="18" t="s">
        <v>85</v>
      </c>
      <c r="F1776" s="18" t="s">
        <v>121</v>
      </c>
      <c r="G1776" s="18" t="s">
        <v>50</v>
      </c>
      <c r="H1776" s="18" t="s">
        <v>87</v>
      </c>
      <c r="I1776" s="18" t="s">
        <v>43</v>
      </c>
      <c r="J1776" s="18" t="s">
        <v>82</v>
      </c>
      <c r="K1776" s="18">
        <v>1</v>
      </c>
      <c r="L1776" s="20">
        <v>9558.7000000000007</v>
      </c>
      <c r="M1776" s="21">
        <v>0.1</v>
      </c>
      <c r="N1776" s="21">
        <v>0.56965055565835798</v>
      </c>
      <c r="O1776" s="20">
        <f t="shared" si="108"/>
        <v>8602.8300000000017</v>
      </c>
      <c r="P1776" s="20">
        <f t="shared" si="109"/>
        <v>4900.606889734393</v>
      </c>
      <c r="Q1776" s="20">
        <f t="shared" si="110"/>
        <v>3702.2231102656087</v>
      </c>
      <c r="R1776" s="22">
        <f t="shared" si="111"/>
        <v>0.43034944434164202</v>
      </c>
    </row>
    <row r="1777" spans="1:18">
      <c r="A1777" s="18">
        <v>2776</v>
      </c>
      <c r="B1777" s="19" t="s">
        <v>625</v>
      </c>
      <c r="C1777" s="18">
        <v>2025</v>
      </c>
      <c r="D1777" s="18" t="s">
        <v>51</v>
      </c>
      <c r="E1777" s="18" t="s">
        <v>88</v>
      </c>
      <c r="F1777" s="18" t="s">
        <v>110</v>
      </c>
      <c r="G1777" s="18" t="s">
        <v>47</v>
      </c>
      <c r="H1777" s="18" t="s">
        <v>103</v>
      </c>
      <c r="I1777" s="18" t="s">
        <v>54</v>
      </c>
      <c r="J1777" s="18" t="s">
        <v>82</v>
      </c>
      <c r="K1777" s="18">
        <v>5</v>
      </c>
      <c r="L1777" s="20">
        <v>3309.86</v>
      </c>
      <c r="M1777" s="21">
        <v>0.05</v>
      </c>
      <c r="N1777" s="21">
        <v>0.62973409822801996</v>
      </c>
      <c r="O1777" s="20">
        <f t="shared" si="108"/>
        <v>15721.834999999999</v>
      </c>
      <c r="P1777" s="20">
        <f t="shared" si="109"/>
        <v>9900.5755862147216</v>
      </c>
      <c r="Q1777" s="20">
        <f t="shared" si="110"/>
        <v>5821.2594137852775</v>
      </c>
      <c r="R1777" s="22">
        <f t="shared" si="111"/>
        <v>0.37026590177198004</v>
      </c>
    </row>
    <row r="1778" spans="1:18">
      <c r="A1778" s="18">
        <v>2777</v>
      </c>
      <c r="B1778" s="19" t="s">
        <v>626</v>
      </c>
      <c r="C1778" s="18">
        <v>2025</v>
      </c>
      <c r="D1778" s="18" t="s">
        <v>51</v>
      </c>
      <c r="E1778" s="18" t="s">
        <v>88</v>
      </c>
      <c r="F1778" s="18" t="s">
        <v>93</v>
      </c>
      <c r="G1778" s="18" t="s">
        <v>47</v>
      </c>
      <c r="H1778" s="18" t="s">
        <v>103</v>
      </c>
      <c r="I1778" s="18" t="s">
        <v>52</v>
      </c>
      <c r="J1778" s="18" t="s">
        <v>102</v>
      </c>
      <c r="K1778" s="18">
        <v>1</v>
      </c>
      <c r="L1778" s="20">
        <v>3313.48</v>
      </c>
      <c r="M1778" s="21">
        <v>0</v>
      </c>
      <c r="N1778" s="21">
        <v>0.64568346552898404</v>
      </c>
      <c r="O1778" s="20">
        <f t="shared" si="108"/>
        <v>3313.48</v>
      </c>
      <c r="P1778" s="20">
        <f t="shared" si="109"/>
        <v>2139.459249360978</v>
      </c>
      <c r="Q1778" s="20">
        <f t="shared" si="110"/>
        <v>1174.020750639022</v>
      </c>
      <c r="R1778" s="22">
        <f t="shared" si="111"/>
        <v>0.35431653447101596</v>
      </c>
    </row>
    <row r="1779" spans="1:18">
      <c r="A1779" s="18">
        <v>2778</v>
      </c>
      <c r="B1779" s="19" t="s">
        <v>626</v>
      </c>
      <c r="C1779" s="18">
        <v>2025</v>
      </c>
      <c r="D1779" s="18" t="s">
        <v>51</v>
      </c>
      <c r="E1779" s="18" t="s">
        <v>88</v>
      </c>
      <c r="F1779" s="18" t="s">
        <v>110</v>
      </c>
      <c r="G1779" s="18" t="s">
        <v>41</v>
      </c>
      <c r="H1779" s="18" t="s">
        <v>112</v>
      </c>
      <c r="I1779" s="18" t="s">
        <v>62</v>
      </c>
      <c r="J1779" s="18" t="s">
        <v>91</v>
      </c>
      <c r="K1779" s="18">
        <v>7</v>
      </c>
      <c r="L1779" s="20">
        <v>5737.56</v>
      </c>
      <c r="M1779" s="21">
        <v>0</v>
      </c>
      <c r="N1779" s="21">
        <v>0.57335678910271903</v>
      </c>
      <c r="O1779" s="20">
        <f t="shared" si="108"/>
        <v>40162.920000000006</v>
      </c>
      <c r="P1779" s="20">
        <f t="shared" si="109"/>
        <v>23027.68285218938</v>
      </c>
      <c r="Q1779" s="20">
        <f t="shared" si="110"/>
        <v>17135.237147810625</v>
      </c>
      <c r="R1779" s="22">
        <f t="shared" si="111"/>
        <v>0.42664321089728097</v>
      </c>
    </row>
    <row r="1780" spans="1:18">
      <c r="A1780" s="18">
        <v>2779</v>
      </c>
      <c r="B1780" s="19" t="s">
        <v>626</v>
      </c>
      <c r="C1780" s="18">
        <v>2025</v>
      </c>
      <c r="D1780" s="18" t="s">
        <v>51</v>
      </c>
      <c r="E1780" s="18" t="s">
        <v>85</v>
      </c>
      <c r="F1780" s="18" t="s">
        <v>94</v>
      </c>
      <c r="G1780" s="18" t="s">
        <v>44</v>
      </c>
      <c r="H1780" s="18" t="s">
        <v>119</v>
      </c>
      <c r="I1780" s="18" t="s">
        <v>43</v>
      </c>
      <c r="J1780" s="18" t="s">
        <v>102</v>
      </c>
      <c r="K1780" s="18">
        <v>4</v>
      </c>
      <c r="L1780" s="20">
        <v>7220.02</v>
      </c>
      <c r="M1780" s="21">
        <v>0.05</v>
      </c>
      <c r="N1780" s="21">
        <v>0.71471210862620604</v>
      </c>
      <c r="O1780" s="20">
        <f t="shared" si="108"/>
        <v>27436.076000000001</v>
      </c>
      <c r="P1780" s="20">
        <f t="shared" si="109"/>
        <v>19608.895730388846</v>
      </c>
      <c r="Q1780" s="20">
        <f t="shared" si="110"/>
        <v>7827.1802696111554</v>
      </c>
      <c r="R1780" s="22">
        <f t="shared" si="111"/>
        <v>0.28528789137379396</v>
      </c>
    </row>
    <row r="1781" spans="1:18">
      <c r="A1781" s="18">
        <v>2780</v>
      </c>
      <c r="B1781" s="19" t="s">
        <v>627</v>
      </c>
      <c r="C1781" s="18">
        <v>2025</v>
      </c>
      <c r="D1781" s="18" t="s">
        <v>53</v>
      </c>
      <c r="E1781" s="18" t="s">
        <v>79</v>
      </c>
      <c r="F1781" s="18" t="s">
        <v>100</v>
      </c>
      <c r="G1781" s="18" t="s">
        <v>50</v>
      </c>
      <c r="H1781" s="18" t="s">
        <v>87</v>
      </c>
      <c r="I1781" s="18" t="s">
        <v>40</v>
      </c>
      <c r="J1781" s="18" t="s">
        <v>102</v>
      </c>
      <c r="K1781" s="18">
        <v>11</v>
      </c>
      <c r="L1781" s="20">
        <v>9290.2800000000007</v>
      </c>
      <c r="M1781" s="21">
        <v>0.05</v>
      </c>
      <c r="N1781" s="21">
        <v>0.67597240448971596</v>
      </c>
      <c r="O1781" s="20">
        <f t="shared" si="108"/>
        <v>97083.425999999992</v>
      </c>
      <c r="P1781" s="20">
        <f t="shared" si="109"/>
        <v>65625.716909319395</v>
      </c>
      <c r="Q1781" s="20">
        <f t="shared" si="110"/>
        <v>31457.709090680597</v>
      </c>
      <c r="R1781" s="22">
        <f t="shared" si="111"/>
        <v>0.32402759551028409</v>
      </c>
    </row>
    <row r="1782" spans="1:18">
      <c r="A1782" s="18">
        <v>2781</v>
      </c>
      <c r="B1782" s="19" t="s">
        <v>627</v>
      </c>
      <c r="C1782" s="18">
        <v>2025</v>
      </c>
      <c r="D1782" s="18" t="s">
        <v>53</v>
      </c>
      <c r="E1782" s="18" t="s">
        <v>79</v>
      </c>
      <c r="F1782" s="18" t="s">
        <v>80</v>
      </c>
      <c r="G1782" s="18" t="s">
        <v>47</v>
      </c>
      <c r="H1782" s="18" t="s">
        <v>81</v>
      </c>
      <c r="I1782" s="18" t="s">
        <v>58</v>
      </c>
      <c r="J1782" s="18" t="s">
        <v>91</v>
      </c>
      <c r="K1782" s="18">
        <v>3</v>
      </c>
      <c r="L1782" s="20">
        <v>829.03</v>
      </c>
      <c r="M1782" s="21">
        <v>0.15</v>
      </c>
      <c r="N1782" s="21">
        <v>0.58917990307784196</v>
      </c>
      <c r="O1782" s="20">
        <f t="shared" si="108"/>
        <v>2114.0264999999999</v>
      </c>
      <c r="P1782" s="20">
        <f t="shared" si="109"/>
        <v>1245.5419283739893</v>
      </c>
      <c r="Q1782" s="20">
        <f t="shared" si="110"/>
        <v>868.48457162601062</v>
      </c>
      <c r="R1782" s="22">
        <f t="shared" si="111"/>
        <v>0.4108200969221581</v>
      </c>
    </row>
    <row r="1783" spans="1:18">
      <c r="A1783" s="18">
        <v>2782</v>
      </c>
      <c r="B1783" s="19" t="s">
        <v>628</v>
      </c>
      <c r="C1783" s="18">
        <v>2025</v>
      </c>
      <c r="D1783" s="18" t="s">
        <v>53</v>
      </c>
      <c r="E1783" s="18" t="s">
        <v>85</v>
      </c>
      <c r="F1783" s="18" t="s">
        <v>94</v>
      </c>
      <c r="G1783" s="18" t="s">
        <v>44</v>
      </c>
      <c r="H1783" s="18" t="s">
        <v>119</v>
      </c>
      <c r="I1783" s="18" t="s">
        <v>54</v>
      </c>
      <c r="J1783" s="18" t="s">
        <v>82</v>
      </c>
      <c r="K1783" s="18">
        <v>11</v>
      </c>
      <c r="L1783" s="20">
        <v>6845.86</v>
      </c>
      <c r="M1783" s="21">
        <v>0</v>
      </c>
      <c r="N1783" s="21">
        <v>0.72914369478116803</v>
      </c>
      <c r="O1783" s="20">
        <f t="shared" si="108"/>
        <v>75304.459999999992</v>
      </c>
      <c r="P1783" s="20">
        <f t="shared" si="109"/>
        <v>54907.772197900667</v>
      </c>
      <c r="Q1783" s="20">
        <f t="shared" si="110"/>
        <v>20396.687802099324</v>
      </c>
      <c r="R1783" s="22">
        <f t="shared" si="111"/>
        <v>0.27085630521883203</v>
      </c>
    </row>
    <row r="1784" spans="1:18">
      <c r="A1784" s="18">
        <v>2783</v>
      </c>
      <c r="B1784" s="19" t="s">
        <v>628</v>
      </c>
      <c r="C1784" s="18">
        <v>2025</v>
      </c>
      <c r="D1784" s="18" t="s">
        <v>53</v>
      </c>
      <c r="E1784" s="18" t="s">
        <v>85</v>
      </c>
      <c r="F1784" s="18" t="s">
        <v>121</v>
      </c>
      <c r="G1784" s="18" t="s">
        <v>47</v>
      </c>
      <c r="H1784" s="18" t="s">
        <v>107</v>
      </c>
      <c r="I1784" s="18" t="s">
        <v>46</v>
      </c>
      <c r="J1784" s="18" t="s">
        <v>82</v>
      </c>
      <c r="K1784" s="18">
        <v>12</v>
      </c>
      <c r="L1784" s="20">
        <v>2297.44</v>
      </c>
      <c r="M1784" s="21">
        <v>0</v>
      </c>
      <c r="N1784" s="21">
        <v>0.69520424217465404</v>
      </c>
      <c r="O1784" s="20">
        <f t="shared" si="108"/>
        <v>27569.279999999999</v>
      </c>
      <c r="P1784" s="20">
        <f t="shared" si="109"/>
        <v>19166.280409700845</v>
      </c>
      <c r="Q1784" s="20">
        <f t="shared" si="110"/>
        <v>8402.9995902991541</v>
      </c>
      <c r="R1784" s="22">
        <f t="shared" si="111"/>
        <v>0.30479575782534596</v>
      </c>
    </row>
    <row r="1785" spans="1:18">
      <c r="A1785" s="18">
        <v>2784</v>
      </c>
      <c r="B1785" s="19" t="s">
        <v>628</v>
      </c>
      <c r="C1785" s="18">
        <v>2025</v>
      </c>
      <c r="D1785" s="18" t="s">
        <v>53</v>
      </c>
      <c r="E1785" s="18" t="s">
        <v>85</v>
      </c>
      <c r="F1785" s="18" t="s">
        <v>94</v>
      </c>
      <c r="G1785" s="18" t="s">
        <v>44</v>
      </c>
      <c r="H1785" s="18" t="s">
        <v>95</v>
      </c>
      <c r="I1785" s="18" t="s">
        <v>46</v>
      </c>
      <c r="J1785" s="18" t="s">
        <v>91</v>
      </c>
      <c r="K1785" s="18">
        <v>1</v>
      </c>
      <c r="L1785" s="20">
        <v>4524.96</v>
      </c>
      <c r="M1785" s="21">
        <v>0</v>
      </c>
      <c r="N1785" s="21">
        <v>0.69917260389394797</v>
      </c>
      <c r="O1785" s="20">
        <f t="shared" si="108"/>
        <v>4524.96</v>
      </c>
      <c r="P1785" s="20">
        <f t="shared" si="109"/>
        <v>3163.728065715959</v>
      </c>
      <c r="Q1785" s="20">
        <f t="shared" si="110"/>
        <v>1361.231934284041</v>
      </c>
      <c r="R1785" s="22">
        <f t="shared" si="111"/>
        <v>0.30082739610605197</v>
      </c>
    </row>
    <row r="1786" spans="1:18">
      <c r="A1786" s="18">
        <v>2785</v>
      </c>
      <c r="B1786" s="19" t="s">
        <v>628</v>
      </c>
      <c r="C1786" s="18">
        <v>2025</v>
      </c>
      <c r="D1786" s="18" t="s">
        <v>53</v>
      </c>
      <c r="E1786" s="18" t="s">
        <v>85</v>
      </c>
      <c r="F1786" s="18" t="s">
        <v>94</v>
      </c>
      <c r="G1786" s="18" t="s">
        <v>50</v>
      </c>
      <c r="H1786" s="18" t="s">
        <v>97</v>
      </c>
      <c r="I1786" s="18" t="s">
        <v>40</v>
      </c>
      <c r="J1786" s="18" t="s">
        <v>82</v>
      </c>
      <c r="K1786" s="18">
        <v>10</v>
      </c>
      <c r="L1786" s="20">
        <v>12239.14</v>
      </c>
      <c r="M1786" s="21">
        <v>0.15</v>
      </c>
      <c r="N1786" s="21">
        <v>0.56335882212089505</v>
      </c>
      <c r="O1786" s="20">
        <f t="shared" si="108"/>
        <v>104032.68999999999</v>
      </c>
      <c r="P1786" s="20">
        <f t="shared" si="109"/>
        <v>58607.733700468212</v>
      </c>
      <c r="Q1786" s="20">
        <f t="shared" si="110"/>
        <v>45424.956299531776</v>
      </c>
      <c r="R1786" s="22">
        <f t="shared" si="111"/>
        <v>0.43664117787910495</v>
      </c>
    </row>
    <row r="1787" spans="1:18">
      <c r="A1787" s="18">
        <v>2786</v>
      </c>
      <c r="B1787" s="19" t="s">
        <v>628</v>
      </c>
      <c r="C1787" s="18">
        <v>2025</v>
      </c>
      <c r="D1787" s="18" t="s">
        <v>53</v>
      </c>
      <c r="E1787" s="18" t="s">
        <v>98</v>
      </c>
      <c r="F1787" s="18" t="s">
        <v>117</v>
      </c>
      <c r="G1787" s="18" t="s">
        <v>50</v>
      </c>
      <c r="H1787" s="18" t="s">
        <v>87</v>
      </c>
      <c r="I1787" s="18" t="s">
        <v>60</v>
      </c>
      <c r="J1787" s="18" t="s">
        <v>91</v>
      </c>
      <c r="K1787" s="18">
        <v>2</v>
      </c>
      <c r="L1787" s="20">
        <v>9946.7800000000007</v>
      </c>
      <c r="M1787" s="21">
        <v>0</v>
      </c>
      <c r="N1787" s="21">
        <v>0.59053328849951403</v>
      </c>
      <c r="O1787" s="20">
        <f t="shared" si="108"/>
        <v>19893.560000000001</v>
      </c>
      <c r="P1787" s="20">
        <f t="shared" si="109"/>
        <v>11747.809406762393</v>
      </c>
      <c r="Q1787" s="20">
        <f t="shared" si="110"/>
        <v>8145.750593237608</v>
      </c>
      <c r="R1787" s="22">
        <f t="shared" si="111"/>
        <v>0.40946671150048597</v>
      </c>
    </row>
    <row r="1788" spans="1:18">
      <c r="A1788" s="18">
        <v>2787</v>
      </c>
      <c r="B1788" s="19" t="s">
        <v>629</v>
      </c>
      <c r="C1788" s="18">
        <v>2025</v>
      </c>
      <c r="D1788" s="18" t="s">
        <v>53</v>
      </c>
      <c r="E1788" s="18" t="s">
        <v>79</v>
      </c>
      <c r="F1788" s="18" t="s">
        <v>100</v>
      </c>
      <c r="G1788" s="18" t="s">
        <v>47</v>
      </c>
      <c r="H1788" s="18" t="s">
        <v>107</v>
      </c>
      <c r="I1788" s="18" t="s">
        <v>46</v>
      </c>
      <c r="J1788" s="18" t="s">
        <v>82</v>
      </c>
      <c r="K1788" s="18">
        <v>6</v>
      </c>
      <c r="L1788" s="20">
        <v>2291.48</v>
      </c>
      <c r="M1788" s="21">
        <v>0.1</v>
      </c>
      <c r="N1788" s="21">
        <v>0.57174265752314501</v>
      </c>
      <c r="O1788" s="20">
        <f t="shared" si="108"/>
        <v>12373.992000000002</v>
      </c>
      <c r="P1788" s="20">
        <f t="shared" si="109"/>
        <v>7074.739070250137</v>
      </c>
      <c r="Q1788" s="20">
        <f t="shared" si="110"/>
        <v>5299.252929749865</v>
      </c>
      <c r="R1788" s="22">
        <f t="shared" si="111"/>
        <v>0.42825734247685499</v>
      </c>
    </row>
    <row r="1789" spans="1:18">
      <c r="A1789" s="18">
        <v>2788</v>
      </c>
      <c r="B1789" s="19" t="s">
        <v>629</v>
      </c>
      <c r="C1789" s="18">
        <v>2025</v>
      </c>
      <c r="D1789" s="18" t="s">
        <v>53</v>
      </c>
      <c r="E1789" s="18" t="s">
        <v>79</v>
      </c>
      <c r="F1789" s="18" t="s">
        <v>105</v>
      </c>
      <c r="G1789" s="18" t="s">
        <v>41</v>
      </c>
      <c r="H1789" s="18" t="s">
        <v>101</v>
      </c>
      <c r="I1789" s="18" t="s">
        <v>46</v>
      </c>
      <c r="J1789" s="18" t="s">
        <v>102</v>
      </c>
      <c r="K1789" s="18">
        <v>2</v>
      </c>
      <c r="L1789" s="20">
        <v>52682.27</v>
      </c>
      <c r="M1789" s="21">
        <v>0</v>
      </c>
      <c r="N1789" s="21">
        <v>0.55009288844440796</v>
      </c>
      <c r="O1789" s="20">
        <f t="shared" si="108"/>
        <v>105364.54</v>
      </c>
      <c r="P1789" s="20">
        <f t="shared" si="109"/>
        <v>57960.284148216357</v>
      </c>
      <c r="Q1789" s="20">
        <f t="shared" si="110"/>
        <v>47404.255851783637</v>
      </c>
      <c r="R1789" s="22">
        <f t="shared" si="111"/>
        <v>0.44990711155559204</v>
      </c>
    </row>
    <row r="1790" spans="1:18">
      <c r="A1790" s="18">
        <v>2789</v>
      </c>
      <c r="B1790" s="19" t="s">
        <v>629</v>
      </c>
      <c r="C1790" s="18">
        <v>2025</v>
      </c>
      <c r="D1790" s="18" t="s">
        <v>53</v>
      </c>
      <c r="E1790" s="18" t="s">
        <v>79</v>
      </c>
      <c r="F1790" s="18" t="s">
        <v>100</v>
      </c>
      <c r="G1790" s="18" t="s">
        <v>50</v>
      </c>
      <c r="H1790" s="18" t="s">
        <v>83</v>
      </c>
      <c r="I1790" s="18" t="s">
        <v>60</v>
      </c>
      <c r="J1790" s="18" t="s">
        <v>102</v>
      </c>
      <c r="K1790" s="18">
        <v>6</v>
      </c>
      <c r="L1790" s="20">
        <v>3371.32</v>
      </c>
      <c r="M1790" s="21">
        <v>0.1</v>
      </c>
      <c r="N1790" s="21">
        <v>0.65922255750512404</v>
      </c>
      <c r="O1790" s="20">
        <f t="shared" si="108"/>
        <v>18205.128000000001</v>
      </c>
      <c r="P1790" s="20">
        <f t="shared" si="109"/>
        <v>12001.231039868144</v>
      </c>
      <c r="Q1790" s="20">
        <f t="shared" si="110"/>
        <v>6203.8969601318568</v>
      </c>
      <c r="R1790" s="22">
        <f t="shared" si="111"/>
        <v>0.34077744249487596</v>
      </c>
    </row>
    <row r="1791" spans="1:18">
      <c r="A1791" s="18">
        <v>2790</v>
      </c>
      <c r="B1791" s="19" t="s">
        <v>630</v>
      </c>
      <c r="C1791" s="18">
        <v>2025</v>
      </c>
      <c r="D1791" s="18" t="s">
        <v>53</v>
      </c>
      <c r="E1791" s="18" t="s">
        <v>85</v>
      </c>
      <c r="F1791" s="18" t="s">
        <v>86</v>
      </c>
      <c r="G1791" s="18" t="s">
        <v>44</v>
      </c>
      <c r="H1791" s="18" t="s">
        <v>119</v>
      </c>
      <c r="I1791" s="18" t="s">
        <v>58</v>
      </c>
      <c r="J1791" s="18" t="s">
        <v>82</v>
      </c>
      <c r="K1791" s="18">
        <v>11</v>
      </c>
      <c r="L1791" s="20">
        <v>7031.63</v>
      </c>
      <c r="M1791" s="21">
        <v>0.05</v>
      </c>
      <c r="N1791" s="21">
        <v>0.60291973440729796</v>
      </c>
      <c r="O1791" s="20">
        <f t="shared" si="108"/>
        <v>73480.533500000005</v>
      </c>
      <c r="P1791" s="20">
        <f t="shared" si="109"/>
        <v>44302.863741926565</v>
      </c>
      <c r="Q1791" s="20">
        <f t="shared" si="110"/>
        <v>29177.66975807344</v>
      </c>
      <c r="R1791" s="22">
        <f t="shared" si="111"/>
        <v>0.39708026559270204</v>
      </c>
    </row>
    <row r="1792" spans="1:18">
      <c r="A1792" s="18">
        <v>2791</v>
      </c>
      <c r="B1792" s="19" t="s">
        <v>630</v>
      </c>
      <c r="C1792" s="18">
        <v>2025</v>
      </c>
      <c r="D1792" s="18" t="s">
        <v>53</v>
      </c>
      <c r="E1792" s="18" t="s">
        <v>79</v>
      </c>
      <c r="F1792" s="18" t="s">
        <v>80</v>
      </c>
      <c r="G1792" s="18" t="s">
        <v>44</v>
      </c>
      <c r="H1792" s="18" t="s">
        <v>95</v>
      </c>
      <c r="I1792" s="18" t="s">
        <v>54</v>
      </c>
      <c r="J1792" s="18" t="s">
        <v>82</v>
      </c>
      <c r="K1792" s="18">
        <v>3</v>
      </c>
      <c r="L1792" s="20">
        <v>4663.8599999999997</v>
      </c>
      <c r="M1792" s="21">
        <v>0.05</v>
      </c>
      <c r="N1792" s="21">
        <v>0.65205372429341302</v>
      </c>
      <c r="O1792" s="20">
        <f t="shared" si="108"/>
        <v>13292.000999999998</v>
      </c>
      <c r="P1792" s="20">
        <f t="shared" si="109"/>
        <v>8667.0987553617688</v>
      </c>
      <c r="Q1792" s="20">
        <f t="shared" si="110"/>
        <v>4624.9022446382296</v>
      </c>
      <c r="R1792" s="22">
        <f t="shared" si="111"/>
        <v>0.34794627570658698</v>
      </c>
    </row>
    <row r="1793" spans="1:18">
      <c r="A1793" s="18">
        <v>2792</v>
      </c>
      <c r="B1793" s="19" t="s">
        <v>630</v>
      </c>
      <c r="C1793" s="18">
        <v>2025</v>
      </c>
      <c r="D1793" s="18" t="s">
        <v>53</v>
      </c>
      <c r="E1793" s="18" t="s">
        <v>79</v>
      </c>
      <c r="F1793" s="18" t="s">
        <v>105</v>
      </c>
      <c r="G1793" s="18" t="s">
        <v>47</v>
      </c>
      <c r="H1793" s="18" t="s">
        <v>107</v>
      </c>
      <c r="I1793" s="18" t="s">
        <v>40</v>
      </c>
      <c r="J1793" s="18" t="s">
        <v>82</v>
      </c>
      <c r="K1793" s="18">
        <v>8</v>
      </c>
      <c r="L1793" s="20">
        <v>2135.08</v>
      </c>
      <c r="M1793" s="21">
        <v>0.05</v>
      </c>
      <c r="N1793" s="21">
        <v>0.71640008405091704</v>
      </c>
      <c r="O1793" s="20">
        <f t="shared" si="108"/>
        <v>16226.607999999998</v>
      </c>
      <c r="P1793" s="20">
        <f t="shared" si="109"/>
        <v>11624.743335061281</v>
      </c>
      <c r="Q1793" s="20">
        <f t="shared" si="110"/>
        <v>4601.8646649387174</v>
      </c>
      <c r="R1793" s="22">
        <f t="shared" si="111"/>
        <v>0.28359991594908301</v>
      </c>
    </row>
    <row r="1794" spans="1:18">
      <c r="A1794" s="18">
        <v>2793</v>
      </c>
      <c r="B1794" s="19" t="s">
        <v>630</v>
      </c>
      <c r="C1794" s="18">
        <v>2025</v>
      </c>
      <c r="D1794" s="18" t="s">
        <v>53</v>
      </c>
      <c r="E1794" s="18" t="s">
        <v>85</v>
      </c>
      <c r="F1794" s="18" t="s">
        <v>121</v>
      </c>
      <c r="G1794" s="18" t="s">
        <v>41</v>
      </c>
      <c r="H1794" s="18" t="s">
        <v>101</v>
      </c>
      <c r="I1794" s="18" t="s">
        <v>58</v>
      </c>
      <c r="J1794" s="18" t="s">
        <v>102</v>
      </c>
      <c r="K1794" s="18">
        <v>8</v>
      </c>
      <c r="L1794" s="20">
        <v>55920.02</v>
      </c>
      <c r="M1794" s="21">
        <v>0</v>
      </c>
      <c r="N1794" s="21">
        <v>0.73303410587705398</v>
      </c>
      <c r="O1794" s="20">
        <f t="shared" ref="O1794:O1857" si="112">K1794*L1794*(1-M1794)</f>
        <v>447360.16</v>
      </c>
      <c r="P1794" s="20">
        <f t="shared" ref="P1794:P1857" si="113">O1794*N1794</f>
        <v>327930.25489061576</v>
      </c>
      <c r="Q1794" s="20">
        <f t="shared" ref="Q1794:Q1857" si="114">O1794-P1794</f>
        <v>119429.90510938421</v>
      </c>
      <c r="R1794" s="22">
        <f t="shared" ref="R1794:R1857" si="115">IF(O1794=0,0,Q1794/O1794)</f>
        <v>0.26696589412294608</v>
      </c>
    </row>
    <row r="1795" spans="1:18">
      <c r="A1795" s="18">
        <v>2794</v>
      </c>
      <c r="B1795" s="19" t="s">
        <v>631</v>
      </c>
      <c r="C1795" s="18">
        <v>2025</v>
      </c>
      <c r="D1795" s="18" t="s">
        <v>53</v>
      </c>
      <c r="E1795" s="18" t="s">
        <v>79</v>
      </c>
      <c r="F1795" s="18" t="s">
        <v>100</v>
      </c>
      <c r="G1795" s="18" t="s">
        <v>41</v>
      </c>
      <c r="H1795" s="18" t="s">
        <v>112</v>
      </c>
      <c r="I1795" s="18" t="s">
        <v>62</v>
      </c>
      <c r="J1795" s="18" t="s">
        <v>102</v>
      </c>
      <c r="K1795" s="18">
        <v>3</v>
      </c>
      <c r="L1795" s="20">
        <v>5761.4</v>
      </c>
      <c r="M1795" s="21">
        <v>0</v>
      </c>
      <c r="N1795" s="21">
        <v>0.60221967327508996</v>
      </c>
      <c r="O1795" s="20">
        <f t="shared" si="112"/>
        <v>17284.199999999997</v>
      </c>
      <c r="P1795" s="20">
        <f t="shared" si="113"/>
        <v>10408.885276821307</v>
      </c>
      <c r="Q1795" s="20">
        <f t="shared" si="114"/>
        <v>6875.3147231786897</v>
      </c>
      <c r="R1795" s="22">
        <f t="shared" si="115"/>
        <v>0.39778032672491009</v>
      </c>
    </row>
    <row r="1796" spans="1:18">
      <c r="A1796" s="18">
        <v>2795</v>
      </c>
      <c r="B1796" s="19" t="s">
        <v>631</v>
      </c>
      <c r="C1796" s="18">
        <v>2025</v>
      </c>
      <c r="D1796" s="18" t="s">
        <v>53</v>
      </c>
      <c r="E1796" s="18" t="s">
        <v>85</v>
      </c>
      <c r="F1796" s="18" t="s">
        <v>86</v>
      </c>
      <c r="G1796" s="18" t="s">
        <v>47</v>
      </c>
      <c r="H1796" s="18" t="s">
        <v>103</v>
      </c>
      <c r="I1796" s="18" t="s">
        <v>58</v>
      </c>
      <c r="J1796" s="18" t="s">
        <v>102</v>
      </c>
      <c r="K1796" s="18">
        <v>11</v>
      </c>
      <c r="L1796" s="20">
        <v>3234.08</v>
      </c>
      <c r="M1796" s="21">
        <v>0</v>
      </c>
      <c r="N1796" s="21">
        <v>0.70157569114270901</v>
      </c>
      <c r="O1796" s="20">
        <f t="shared" si="112"/>
        <v>35574.879999999997</v>
      </c>
      <c r="P1796" s="20">
        <f t="shared" si="113"/>
        <v>24958.471023318933</v>
      </c>
      <c r="Q1796" s="20">
        <f t="shared" si="114"/>
        <v>10616.408976681065</v>
      </c>
      <c r="R1796" s="22">
        <f t="shared" si="115"/>
        <v>0.29842430885729104</v>
      </c>
    </row>
    <row r="1797" spans="1:18">
      <c r="A1797" s="18">
        <v>2796</v>
      </c>
      <c r="B1797" s="19" t="s">
        <v>632</v>
      </c>
      <c r="C1797" s="18">
        <v>2025</v>
      </c>
      <c r="D1797" s="18" t="s">
        <v>53</v>
      </c>
      <c r="E1797" s="18" t="s">
        <v>88</v>
      </c>
      <c r="F1797" s="18" t="s">
        <v>110</v>
      </c>
      <c r="G1797" s="18" t="s">
        <v>44</v>
      </c>
      <c r="H1797" s="18" t="s">
        <v>95</v>
      </c>
      <c r="I1797" s="18" t="s">
        <v>54</v>
      </c>
      <c r="J1797" s="18" t="s">
        <v>91</v>
      </c>
      <c r="K1797" s="18">
        <v>1</v>
      </c>
      <c r="L1797" s="20">
        <v>4427.3100000000004</v>
      </c>
      <c r="M1797" s="21">
        <v>0.15</v>
      </c>
      <c r="N1797" s="21">
        <v>0.70005424536711502</v>
      </c>
      <c r="O1797" s="20">
        <f t="shared" si="112"/>
        <v>3763.2135000000003</v>
      </c>
      <c r="P1797" s="20">
        <f t="shared" si="113"/>
        <v>2634.4535868978401</v>
      </c>
      <c r="Q1797" s="20">
        <f t="shared" si="114"/>
        <v>1128.7599131021602</v>
      </c>
      <c r="R1797" s="22">
        <f t="shared" si="115"/>
        <v>0.29994575463288492</v>
      </c>
    </row>
    <row r="1798" spans="1:18">
      <c r="A1798" s="18">
        <v>2797</v>
      </c>
      <c r="B1798" s="19" t="s">
        <v>632</v>
      </c>
      <c r="C1798" s="18">
        <v>2025</v>
      </c>
      <c r="D1798" s="18" t="s">
        <v>53</v>
      </c>
      <c r="E1798" s="18" t="s">
        <v>79</v>
      </c>
      <c r="F1798" s="18" t="s">
        <v>105</v>
      </c>
      <c r="G1798" s="18" t="s">
        <v>50</v>
      </c>
      <c r="H1798" s="18" t="s">
        <v>97</v>
      </c>
      <c r="I1798" s="18" t="s">
        <v>43</v>
      </c>
      <c r="J1798" s="18" t="s">
        <v>91</v>
      </c>
      <c r="K1798" s="18">
        <v>8</v>
      </c>
      <c r="L1798" s="20">
        <v>12240.13</v>
      </c>
      <c r="M1798" s="21">
        <v>0.1</v>
      </c>
      <c r="N1798" s="21">
        <v>0.72218080749838698</v>
      </c>
      <c r="O1798" s="20">
        <f t="shared" si="112"/>
        <v>88128.936000000002</v>
      </c>
      <c r="P1798" s="20">
        <f t="shared" si="113"/>
        <v>63645.026164453666</v>
      </c>
      <c r="Q1798" s="20">
        <f t="shared" si="114"/>
        <v>24483.909835546336</v>
      </c>
      <c r="R1798" s="22">
        <f t="shared" si="115"/>
        <v>0.27781919250161302</v>
      </c>
    </row>
    <row r="1799" spans="1:18">
      <c r="A1799" s="18">
        <v>2798</v>
      </c>
      <c r="B1799" s="19" t="s">
        <v>632</v>
      </c>
      <c r="C1799" s="18">
        <v>2025</v>
      </c>
      <c r="D1799" s="18" t="s">
        <v>53</v>
      </c>
      <c r="E1799" s="18" t="s">
        <v>85</v>
      </c>
      <c r="F1799" s="18" t="s">
        <v>86</v>
      </c>
      <c r="G1799" s="18" t="s">
        <v>50</v>
      </c>
      <c r="H1799" s="18" t="s">
        <v>87</v>
      </c>
      <c r="I1799" s="18" t="s">
        <v>46</v>
      </c>
      <c r="J1799" s="18" t="s">
        <v>82</v>
      </c>
      <c r="K1799" s="18">
        <v>6</v>
      </c>
      <c r="L1799" s="20">
        <v>9751.31</v>
      </c>
      <c r="M1799" s="21">
        <v>0.1</v>
      </c>
      <c r="N1799" s="21">
        <v>0.65812412968818801</v>
      </c>
      <c r="O1799" s="20">
        <f t="shared" si="112"/>
        <v>52657.074000000001</v>
      </c>
      <c r="P1799" s="20">
        <f t="shared" si="113"/>
        <v>34654.89099817651</v>
      </c>
      <c r="Q1799" s="20">
        <f t="shared" si="114"/>
        <v>18002.18300182349</v>
      </c>
      <c r="R1799" s="22">
        <f t="shared" si="115"/>
        <v>0.34187587031181205</v>
      </c>
    </row>
    <row r="1800" spans="1:18">
      <c r="A1800" s="18">
        <v>2799</v>
      </c>
      <c r="B1800" s="19" t="s">
        <v>633</v>
      </c>
      <c r="C1800" s="18">
        <v>2025</v>
      </c>
      <c r="D1800" s="18" t="s">
        <v>53</v>
      </c>
      <c r="E1800" s="18" t="s">
        <v>88</v>
      </c>
      <c r="F1800" s="18" t="s">
        <v>110</v>
      </c>
      <c r="G1800" s="18" t="s">
        <v>44</v>
      </c>
      <c r="H1800" s="18" t="s">
        <v>95</v>
      </c>
      <c r="I1800" s="18" t="s">
        <v>54</v>
      </c>
      <c r="J1800" s="18" t="s">
        <v>91</v>
      </c>
      <c r="K1800" s="18">
        <v>11</v>
      </c>
      <c r="L1800" s="20">
        <v>4346.6499999999996</v>
      </c>
      <c r="M1800" s="21">
        <v>0.1</v>
      </c>
      <c r="N1800" s="21">
        <v>0.68574942480541901</v>
      </c>
      <c r="O1800" s="20">
        <f t="shared" si="112"/>
        <v>43031.834999999999</v>
      </c>
      <c r="P1800" s="20">
        <f t="shared" si="113"/>
        <v>29509.056099571699</v>
      </c>
      <c r="Q1800" s="20">
        <f t="shared" si="114"/>
        <v>13522.7789004283</v>
      </c>
      <c r="R1800" s="22">
        <f t="shared" si="115"/>
        <v>0.31425057519458094</v>
      </c>
    </row>
    <row r="1801" spans="1:18">
      <c r="A1801" s="18">
        <v>2800</v>
      </c>
      <c r="B1801" s="19" t="s">
        <v>633</v>
      </c>
      <c r="C1801" s="18">
        <v>2025</v>
      </c>
      <c r="D1801" s="18" t="s">
        <v>53</v>
      </c>
      <c r="E1801" s="18" t="s">
        <v>98</v>
      </c>
      <c r="F1801" s="18" t="s">
        <v>117</v>
      </c>
      <c r="G1801" s="18" t="s">
        <v>47</v>
      </c>
      <c r="H1801" s="18" t="s">
        <v>103</v>
      </c>
      <c r="I1801" s="18" t="s">
        <v>58</v>
      </c>
      <c r="J1801" s="18" t="s">
        <v>82</v>
      </c>
      <c r="K1801" s="18">
        <v>11</v>
      </c>
      <c r="L1801" s="20">
        <v>3124.77</v>
      </c>
      <c r="M1801" s="21">
        <v>0.15</v>
      </c>
      <c r="N1801" s="21">
        <v>0.580068103570476</v>
      </c>
      <c r="O1801" s="20">
        <f t="shared" si="112"/>
        <v>29216.5995</v>
      </c>
      <c r="P1801" s="20">
        <f t="shared" si="113"/>
        <v>16947.617464743118</v>
      </c>
      <c r="Q1801" s="20">
        <f t="shared" si="114"/>
        <v>12268.982035256882</v>
      </c>
      <c r="R1801" s="22">
        <f t="shared" si="115"/>
        <v>0.419931896429524</v>
      </c>
    </row>
    <row r="1802" spans="1:18">
      <c r="A1802" s="18">
        <v>2801</v>
      </c>
      <c r="B1802" s="19" t="s">
        <v>634</v>
      </c>
      <c r="C1802" s="18">
        <v>2025</v>
      </c>
      <c r="D1802" s="18" t="s">
        <v>53</v>
      </c>
      <c r="E1802" s="18" t="s">
        <v>88</v>
      </c>
      <c r="F1802" s="18" t="s">
        <v>110</v>
      </c>
      <c r="G1802" s="18" t="s">
        <v>44</v>
      </c>
      <c r="H1802" s="18" t="s">
        <v>114</v>
      </c>
      <c r="I1802" s="18" t="s">
        <v>62</v>
      </c>
      <c r="J1802" s="18" t="s">
        <v>91</v>
      </c>
      <c r="K1802" s="18">
        <v>8</v>
      </c>
      <c r="L1802" s="20">
        <v>9229.4699999999993</v>
      </c>
      <c r="M1802" s="21">
        <v>0</v>
      </c>
      <c r="N1802" s="21">
        <v>0.66150528280531296</v>
      </c>
      <c r="O1802" s="20">
        <f t="shared" si="112"/>
        <v>73835.759999999995</v>
      </c>
      <c r="P1802" s="20">
        <f t="shared" si="113"/>
        <v>48842.745299945207</v>
      </c>
      <c r="Q1802" s="20">
        <f t="shared" si="114"/>
        <v>24993.014700054788</v>
      </c>
      <c r="R1802" s="22">
        <f t="shared" si="115"/>
        <v>0.3384947171946871</v>
      </c>
    </row>
    <row r="1803" spans="1:18">
      <c r="A1803" s="18">
        <v>2802</v>
      </c>
      <c r="B1803" s="19" t="s">
        <v>634</v>
      </c>
      <c r="C1803" s="18">
        <v>2025</v>
      </c>
      <c r="D1803" s="18" t="s">
        <v>53</v>
      </c>
      <c r="E1803" s="18" t="s">
        <v>98</v>
      </c>
      <c r="F1803" s="18" t="s">
        <v>117</v>
      </c>
      <c r="G1803" s="18" t="s">
        <v>50</v>
      </c>
      <c r="H1803" s="18" t="s">
        <v>87</v>
      </c>
      <c r="I1803" s="18" t="s">
        <v>62</v>
      </c>
      <c r="J1803" s="18" t="s">
        <v>102</v>
      </c>
      <c r="K1803" s="18">
        <v>5</v>
      </c>
      <c r="L1803" s="20">
        <v>9769.18</v>
      </c>
      <c r="M1803" s="21">
        <v>0</v>
      </c>
      <c r="N1803" s="21">
        <v>0.74061738127222199</v>
      </c>
      <c r="O1803" s="20">
        <f t="shared" si="112"/>
        <v>48845.9</v>
      </c>
      <c r="P1803" s="20">
        <f t="shared" si="113"/>
        <v>36176.122543884827</v>
      </c>
      <c r="Q1803" s="20">
        <f t="shared" si="114"/>
        <v>12669.777456115175</v>
      </c>
      <c r="R1803" s="22">
        <f t="shared" si="115"/>
        <v>0.25938261872777807</v>
      </c>
    </row>
    <row r="1804" spans="1:18">
      <c r="A1804" s="18">
        <v>2803</v>
      </c>
      <c r="B1804" s="19" t="s">
        <v>635</v>
      </c>
      <c r="C1804" s="18">
        <v>2025</v>
      </c>
      <c r="D1804" s="18" t="s">
        <v>53</v>
      </c>
      <c r="E1804" s="18" t="s">
        <v>79</v>
      </c>
      <c r="F1804" s="18" t="s">
        <v>105</v>
      </c>
      <c r="G1804" s="18" t="s">
        <v>41</v>
      </c>
      <c r="H1804" s="18" t="s">
        <v>101</v>
      </c>
      <c r="I1804" s="18" t="s">
        <v>60</v>
      </c>
      <c r="J1804" s="18" t="s">
        <v>91</v>
      </c>
      <c r="K1804" s="18">
        <v>12</v>
      </c>
      <c r="L1804" s="20">
        <v>55540.23</v>
      </c>
      <c r="M1804" s="21">
        <v>0.2</v>
      </c>
      <c r="N1804" s="21">
        <v>0.60015426055693799</v>
      </c>
      <c r="O1804" s="20">
        <f t="shared" si="112"/>
        <v>533186.20799999998</v>
      </c>
      <c r="P1804" s="20">
        <f t="shared" si="113"/>
        <v>319993.97440139775</v>
      </c>
      <c r="Q1804" s="20">
        <f t="shared" si="114"/>
        <v>213192.23359860224</v>
      </c>
      <c r="R1804" s="22">
        <f t="shared" si="115"/>
        <v>0.39984573944306195</v>
      </c>
    </row>
    <row r="1805" spans="1:18">
      <c r="A1805" s="18">
        <v>2804</v>
      </c>
      <c r="B1805" s="19" t="s">
        <v>635</v>
      </c>
      <c r="C1805" s="18">
        <v>2025</v>
      </c>
      <c r="D1805" s="18" t="s">
        <v>53</v>
      </c>
      <c r="E1805" s="18" t="s">
        <v>98</v>
      </c>
      <c r="F1805" s="18" t="s">
        <v>99</v>
      </c>
      <c r="G1805" s="18" t="s">
        <v>44</v>
      </c>
      <c r="H1805" s="18" t="s">
        <v>114</v>
      </c>
      <c r="I1805" s="18" t="s">
        <v>62</v>
      </c>
      <c r="J1805" s="18" t="s">
        <v>91</v>
      </c>
      <c r="K1805" s="18">
        <v>12</v>
      </c>
      <c r="L1805" s="20">
        <v>9098.76</v>
      </c>
      <c r="M1805" s="21">
        <v>0.15</v>
      </c>
      <c r="N1805" s="21">
        <v>0.67590320567193196</v>
      </c>
      <c r="O1805" s="20">
        <f t="shared" si="112"/>
        <v>92807.351999999999</v>
      </c>
      <c r="P1805" s="20">
        <f t="shared" si="113"/>
        <v>62728.786726723389</v>
      </c>
      <c r="Q1805" s="20">
        <f t="shared" si="114"/>
        <v>30078.56527327661</v>
      </c>
      <c r="R1805" s="22">
        <f t="shared" si="115"/>
        <v>0.32409679432806798</v>
      </c>
    </row>
    <row r="1806" spans="1:18">
      <c r="A1806" s="18">
        <v>2805</v>
      </c>
      <c r="B1806" s="19" t="s">
        <v>635</v>
      </c>
      <c r="C1806" s="18">
        <v>2025</v>
      </c>
      <c r="D1806" s="18" t="s">
        <v>53</v>
      </c>
      <c r="E1806" s="18" t="s">
        <v>79</v>
      </c>
      <c r="F1806" s="18" t="s">
        <v>105</v>
      </c>
      <c r="G1806" s="18" t="s">
        <v>47</v>
      </c>
      <c r="H1806" s="18" t="s">
        <v>107</v>
      </c>
      <c r="I1806" s="18" t="s">
        <v>60</v>
      </c>
      <c r="J1806" s="18" t="s">
        <v>102</v>
      </c>
      <c r="K1806" s="18">
        <v>8</v>
      </c>
      <c r="L1806" s="20">
        <v>2301.73</v>
      </c>
      <c r="M1806" s="21">
        <v>0</v>
      </c>
      <c r="N1806" s="21">
        <v>0.68905607261483803</v>
      </c>
      <c r="O1806" s="20">
        <f t="shared" si="112"/>
        <v>18413.84</v>
      </c>
      <c r="P1806" s="20">
        <f t="shared" si="113"/>
        <v>12688.168272158009</v>
      </c>
      <c r="Q1806" s="20">
        <f t="shared" si="114"/>
        <v>5725.671727841991</v>
      </c>
      <c r="R1806" s="22">
        <f t="shared" si="115"/>
        <v>0.31094392738516197</v>
      </c>
    </row>
    <row r="1807" spans="1:18">
      <c r="A1807" s="18">
        <v>2806</v>
      </c>
      <c r="B1807" s="19" t="s">
        <v>636</v>
      </c>
      <c r="C1807" s="18">
        <v>2025</v>
      </c>
      <c r="D1807" s="18" t="s">
        <v>53</v>
      </c>
      <c r="E1807" s="18" t="s">
        <v>79</v>
      </c>
      <c r="F1807" s="18" t="s">
        <v>105</v>
      </c>
      <c r="G1807" s="18" t="s">
        <v>44</v>
      </c>
      <c r="H1807" s="18" t="s">
        <v>119</v>
      </c>
      <c r="I1807" s="18" t="s">
        <v>60</v>
      </c>
      <c r="J1807" s="18" t="s">
        <v>91</v>
      </c>
      <c r="K1807" s="18">
        <v>8</v>
      </c>
      <c r="L1807" s="20">
        <v>6923.35</v>
      </c>
      <c r="M1807" s="21">
        <v>0</v>
      </c>
      <c r="N1807" s="21">
        <v>0.65785402025149398</v>
      </c>
      <c r="O1807" s="20">
        <f t="shared" si="112"/>
        <v>55386.8</v>
      </c>
      <c r="P1807" s="20">
        <f t="shared" si="113"/>
        <v>36436.429048865451</v>
      </c>
      <c r="Q1807" s="20">
        <f t="shared" si="114"/>
        <v>18950.370951134551</v>
      </c>
      <c r="R1807" s="22">
        <f t="shared" si="115"/>
        <v>0.34214597974850597</v>
      </c>
    </row>
    <row r="1808" spans="1:18">
      <c r="A1808" s="18">
        <v>2807</v>
      </c>
      <c r="B1808" s="19" t="s">
        <v>636</v>
      </c>
      <c r="C1808" s="18">
        <v>2025</v>
      </c>
      <c r="D1808" s="18" t="s">
        <v>53</v>
      </c>
      <c r="E1808" s="18" t="s">
        <v>88</v>
      </c>
      <c r="F1808" s="18" t="s">
        <v>110</v>
      </c>
      <c r="G1808" s="18" t="s">
        <v>50</v>
      </c>
      <c r="H1808" s="18" t="s">
        <v>97</v>
      </c>
      <c r="I1808" s="18" t="s">
        <v>56</v>
      </c>
      <c r="J1808" s="18" t="s">
        <v>82</v>
      </c>
      <c r="K1808" s="18">
        <v>10</v>
      </c>
      <c r="L1808" s="20">
        <v>11476.18</v>
      </c>
      <c r="M1808" s="21">
        <v>0.2</v>
      </c>
      <c r="N1808" s="21">
        <v>0.68273843969905001</v>
      </c>
      <c r="O1808" s="20">
        <f t="shared" si="112"/>
        <v>91809.44</v>
      </c>
      <c r="P1808" s="20">
        <f t="shared" si="113"/>
        <v>62681.833815243554</v>
      </c>
      <c r="Q1808" s="20">
        <f t="shared" si="114"/>
        <v>29127.606184756449</v>
      </c>
      <c r="R1808" s="22">
        <f t="shared" si="115"/>
        <v>0.31726156030094999</v>
      </c>
    </row>
    <row r="1809" spans="1:18">
      <c r="A1809" s="18">
        <v>2808</v>
      </c>
      <c r="B1809" s="19" t="s">
        <v>636</v>
      </c>
      <c r="C1809" s="18">
        <v>2025</v>
      </c>
      <c r="D1809" s="18" t="s">
        <v>53</v>
      </c>
      <c r="E1809" s="18" t="s">
        <v>85</v>
      </c>
      <c r="F1809" s="18" t="s">
        <v>121</v>
      </c>
      <c r="G1809" s="18" t="s">
        <v>50</v>
      </c>
      <c r="H1809" s="18" t="s">
        <v>97</v>
      </c>
      <c r="I1809" s="18" t="s">
        <v>60</v>
      </c>
      <c r="J1809" s="18" t="s">
        <v>82</v>
      </c>
      <c r="K1809" s="18">
        <v>10</v>
      </c>
      <c r="L1809" s="20">
        <v>12089.51</v>
      </c>
      <c r="M1809" s="21">
        <v>0.1</v>
      </c>
      <c r="N1809" s="21">
        <v>0.65116109922114895</v>
      </c>
      <c r="O1809" s="20">
        <f t="shared" si="112"/>
        <v>108805.59000000001</v>
      </c>
      <c r="P1809" s="20">
        <f t="shared" si="113"/>
        <v>70849.967585805658</v>
      </c>
      <c r="Q1809" s="20">
        <f t="shared" si="114"/>
        <v>37955.622414194353</v>
      </c>
      <c r="R1809" s="22">
        <f t="shared" si="115"/>
        <v>0.34883890077885105</v>
      </c>
    </row>
    <row r="1810" spans="1:18">
      <c r="A1810" s="18">
        <v>2809</v>
      </c>
      <c r="B1810" s="19" t="s">
        <v>636</v>
      </c>
      <c r="C1810" s="18">
        <v>2025</v>
      </c>
      <c r="D1810" s="18" t="s">
        <v>53</v>
      </c>
      <c r="E1810" s="18" t="s">
        <v>88</v>
      </c>
      <c r="F1810" s="18" t="s">
        <v>110</v>
      </c>
      <c r="G1810" s="18" t="s">
        <v>47</v>
      </c>
      <c r="H1810" s="18" t="s">
        <v>103</v>
      </c>
      <c r="I1810" s="18" t="s">
        <v>62</v>
      </c>
      <c r="J1810" s="18" t="s">
        <v>82</v>
      </c>
      <c r="K1810" s="18">
        <v>8</v>
      </c>
      <c r="L1810" s="20">
        <v>3358.14</v>
      </c>
      <c r="M1810" s="21">
        <v>0</v>
      </c>
      <c r="N1810" s="21">
        <v>0.70810560232893505</v>
      </c>
      <c r="O1810" s="20">
        <f t="shared" si="112"/>
        <v>26865.119999999999</v>
      </c>
      <c r="P1810" s="20">
        <f t="shared" si="113"/>
        <v>19023.341979239118</v>
      </c>
      <c r="Q1810" s="20">
        <f t="shared" si="114"/>
        <v>7841.7780207608812</v>
      </c>
      <c r="R1810" s="22">
        <f t="shared" si="115"/>
        <v>0.29189439767106501</v>
      </c>
    </row>
    <row r="1811" spans="1:18">
      <c r="A1811" s="18">
        <v>2810</v>
      </c>
      <c r="B1811" s="19" t="s">
        <v>636</v>
      </c>
      <c r="C1811" s="18">
        <v>2025</v>
      </c>
      <c r="D1811" s="18" t="s">
        <v>53</v>
      </c>
      <c r="E1811" s="18" t="s">
        <v>98</v>
      </c>
      <c r="F1811" s="18" t="s">
        <v>99</v>
      </c>
      <c r="G1811" s="18" t="s">
        <v>41</v>
      </c>
      <c r="H1811" s="18" t="s">
        <v>112</v>
      </c>
      <c r="I1811" s="18" t="s">
        <v>46</v>
      </c>
      <c r="J1811" s="18" t="s">
        <v>102</v>
      </c>
      <c r="K1811" s="18">
        <v>11</v>
      </c>
      <c r="L1811" s="20">
        <v>6175.44</v>
      </c>
      <c r="M1811" s="21">
        <v>0.05</v>
      </c>
      <c r="N1811" s="21">
        <v>0.56037440403625605</v>
      </c>
      <c r="O1811" s="20">
        <f t="shared" si="112"/>
        <v>64533.347999999991</v>
      </c>
      <c r="P1811" s="20">
        <f t="shared" si="113"/>
        <v>36162.836425964313</v>
      </c>
      <c r="Q1811" s="20">
        <f t="shared" si="114"/>
        <v>28370.511574035678</v>
      </c>
      <c r="R1811" s="22">
        <f t="shared" si="115"/>
        <v>0.4396255959637439</v>
      </c>
    </row>
    <row r="1812" spans="1:18">
      <c r="A1812" s="18">
        <v>2811</v>
      </c>
      <c r="B1812" s="19" t="s">
        <v>637</v>
      </c>
      <c r="C1812" s="18">
        <v>2025</v>
      </c>
      <c r="D1812" s="18" t="s">
        <v>53</v>
      </c>
      <c r="E1812" s="18" t="s">
        <v>79</v>
      </c>
      <c r="F1812" s="18" t="s">
        <v>80</v>
      </c>
      <c r="G1812" s="18" t="s">
        <v>47</v>
      </c>
      <c r="H1812" s="18" t="s">
        <v>107</v>
      </c>
      <c r="I1812" s="18" t="s">
        <v>56</v>
      </c>
      <c r="J1812" s="18" t="s">
        <v>102</v>
      </c>
      <c r="K1812" s="18">
        <v>10</v>
      </c>
      <c r="L1812" s="20">
        <v>2163.0100000000002</v>
      </c>
      <c r="M1812" s="21">
        <v>0.1</v>
      </c>
      <c r="N1812" s="21">
        <v>0.66383869653689198</v>
      </c>
      <c r="O1812" s="20">
        <f t="shared" si="112"/>
        <v>19467.090000000004</v>
      </c>
      <c r="P1812" s="20">
        <f t="shared" si="113"/>
        <v>12923.007650966367</v>
      </c>
      <c r="Q1812" s="20">
        <f t="shared" si="114"/>
        <v>6544.082349033637</v>
      </c>
      <c r="R1812" s="22">
        <f t="shared" si="115"/>
        <v>0.33616130346310802</v>
      </c>
    </row>
    <row r="1813" spans="1:18">
      <c r="A1813" s="18">
        <v>2812</v>
      </c>
      <c r="B1813" s="19" t="s">
        <v>637</v>
      </c>
      <c r="C1813" s="18">
        <v>2025</v>
      </c>
      <c r="D1813" s="18" t="s">
        <v>53</v>
      </c>
      <c r="E1813" s="18" t="s">
        <v>79</v>
      </c>
      <c r="F1813" s="18" t="s">
        <v>80</v>
      </c>
      <c r="G1813" s="18" t="s">
        <v>41</v>
      </c>
      <c r="H1813" s="18" t="s">
        <v>101</v>
      </c>
      <c r="I1813" s="18" t="s">
        <v>52</v>
      </c>
      <c r="J1813" s="18" t="s">
        <v>102</v>
      </c>
      <c r="K1813" s="18">
        <v>3</v>
      </c>
      <c r="L1813" s="20">
        <v>56531.08</v>
      </c>
      <c r="M1813" s="21">
        <v>0.05</v>
      </c>
      <c r="N1813" s="21">
        <v>0.72049631979246298</v>
      </c>
      <c r="O1813" s="20">
        <f t="shared" si="112"/>
        <v>161113.57799999998</v>
      </c>
      <c r="P1813" s="20">
        <f t="shared" si="113"/>
        <v>116081.74001759592</v>
      </c>
      <c r="Q1813" s="20">
        <f t="shared" si="114"/>
        <v>45031.83798240406</v>
      </c>
      <c r="R1813" s="22">
        <f t="shared" si="115"/>
        <v>0.27950368020753696</v>
      </c>
    </row>
    <row r="1814" spans="1:18">
      <c r="A1814" s="18">
        <v>2813</v>
      </c>
      <c r="B1814" s="19" t="s">
        <v>637</v>
      </c>
      <c r="C1814" s="18">
        <v>2025</v>
      </c>
      <c r="D1814" s="18" t="s">
        <v>53</v>
      </c>
      <c r="E1814" s="18" t="s">
        <v>98</v>
      </c>
      <c r="F1814" s="18" t="s">
        <v>109</v>
      </c>
      <c r="G1814" s="18" t="s">
        <v>44</v>
      </c>
      <c r="H1814" s="18" t="s">
        <v>95</v>
      </c>
      <c r="I1814" s="18" t="s">
        <v>56</v>
      </c>
      <c r="J1814" s="18" t="s">
        <v>91</v>
      </c>
      <c r="K1814" s="18">
        <v>10</v>
      </c>
      <c r="L1814" s="20">
        <v>4452.33</v>
      </c>
      <c r="M1814" s="21">
        <v>0</v>
      </c>
      <c r="N1814" s="21">
        <v>0.62060398582587895</v>
      </c>
      <c r="O1814" s="20">
        <f t="shared" si="112"/>
        <v>44523.3</v>
      </c>
      <c r="P1814" s="20">
        <f t="shared" si="113"/>
        <v>27631.337442121359</v>
      </c>
      <c r="Q1814" s="20">
        <f t="shared" si="114"/>
        <v>16891.962557878644</v>
      </c>
      <c r="R1814" s="22">
        <f t="shared" si="115"/>
        <v>0.379396014174121</v>
      </c>
    </row>
    <row r="1815" spans="1:18">
      <c r="A1815" s="18">
        <v>2814</v>
      </c>
      <c r="B1815" s="19" t="s">
        <v>637</v>
      </c>
      <c r="C1815" s="18">
        <v>2025</v>
      </c>
      <c r="D1815" s="18" t="s">
        <v>53</v>
      </c>
      <c r="E1815" s="18" t="s">
        <v>98</v>
      </c>
      <c r="F1815" s="18" t="s">
        <v>117</v>
      </c>
      <c r="G1815" s="18" t="s">
        <v>44</v>
      </c>
      <c r="H1815" s="18" t="s">
        <v>95</v>
      </c>
      <c r="I1815" s="18" t="s">
        <v>46</v>
      </c>
      <c r="J1815" s="18" t="s">
        <v>102</v>
      </c>
      <c r="K1815" s="18">
        <v>9</v>
      </c>
      <c r="L1815" s="20">
        <v>4607.71</v>
      </c>
      <c r="M1815" s="21">
        <v>0.05</v>
      </c>
      <c r="N1815" s="21">
        <v>0.70790701864866201</v>
      </c>
      <c r="O1815" s="20">
        <f t="shared" si="112"/>
        <v>39395.9205</v>
      </c>
      <c r="P1815" s="20">
        <f t="shared" si="113"/>
        <v>27888.648628074705</v>
      </c>
      <c r="Q1815" s="20">
        <f t="shared" si="114"/>
        <v>11507.271871925295</v>
      </c>
      <c r="R1815" s="22">
        <f t="shared" si="115"/>
        <v>0.29209298135133804</v>
      </c>
    </row>
    <row r="1816" spans="1:18">
      <c r="A1816" s="18">
        <v>2815</v>
      </c>
      <c r="B1816" s="19" t="s">
        <v>638</v>
      </c>
      <c r="C1816" s="18">
        <v>2025</v>
      </c>
      <c r="D1816" s="18" t="s">
        <v>53</v>
      </c>
      <c r="E1816" s="18" t="s">
        <v>88</v>
      </c>
      <c r="F1816" s="18" t="s">
        <v>93</v>
      </c>
      <c r="G1816" s="18" t="s">
        <v>41</v>
      </c>
      <c r="H1816" s="18" t="s">
        <v>106</v>
      </c>
      <c r="I1816" s="18" t="s">
        <v>56</v>
      </c>
      <c r="J1816" s="18" t="s">
        <v>82</v>
      </c>
      <c r="K1816" s="18">
        <v>5</v>
      </c>
      <c r="L1816" s="20">
        <v>2394.9</v>
      </c>
      <c r="M1816" s="21">
        <v>0.2</v>
      </c>
      <c r="N1816" s="21">
        <v>0.73319942553025597</v>
      </c>
      <c r="O1816" s="20">
        <f t="shared" si="112"/>
        <v>9579.6</v>
      </c>
      <c r="P1816" s="20">
        <f t="shared" si="113"/>
        <v>7023.7572168096403</v>
      </c>
      <c r="Q1816" s="20">
        <f t="shared" si="114"/>
        <v>2555.84278319036</v>
      </c>
      <c r="R1816" s="22">
        <f t="shared" si="115"/>
        <v>0.26680057446974403</v>
      </c>
    </row>
    <row r="1817" spans="1:18">
      <c r="A1817" s="18">
        <v>2816</v>
      </c>
      <c r="B1817" s="19" t="s">
        <v>638</v>
      </c>
      <c r="C1817" s="18">
        <v>2025</v>
      </c>
      <c r="D1817" s="18" t="s">
        <v>53</v>
      </c>
      <c r="E1817" s="18" t="s">
        <v>88</v>
      </c>
      <c r="F1817" s="18" t="s">
        <v>93</v>
      </c>
      <c r="G1817" s="18" t="s">
        <v>47</v>
      </c>
      <c r="H1817" s="18" t="s">
        <v>103</v>
      </c>
      <c r="I1817" s="18" t="s">
        <v>58</v>
      </c>
      <c r="J1817" s="18" t="s">
        <v>82</v>
      </c>
      <c r="K1817" s="18">
        <v>6</v>
      </c>
      <c r="L1817" s="20">
        <v>3164.5</v>
      </c>
      <c r="M1817" s="21">
        <v>0.15</v>
      </c>
      <c r="N1817" s="21">
        <v>0.58437143773384603</v>
      </c>
      <c r="O1817" s="20">
        <f t="shared" si="112"/>
        <v>16138.949999999999</v>
      </c>
      <c r="P1817" s="20">
        <f t="shared" si="113"/>
        <v>9431.1414150146538</v>
      </c>
      <c r="Q1817" s="20">
        <f t="shared" si="114"/>
        <v>6707.8085849853451</v>
      </c>
      <c r="R1817" s="22">
        <f t="shared" si="115"/>
        <v>0.41562856226615397</v>
      </c>
    </row>
    <row r="1818" spans="1:18">
      <c r="A1818" s="18">
        <v>2817</v>
      </c>
      <c r="B1818" s="19" t="s">
        <v>638</v>
      </c>
      <c r="C1818" s="18">
        <v>2025</v>
      </c>
      <c r="D1818" s="18" t="s">
        <v>53</v>
      </c>
      <c r="E1818" s="18" t="s">
        <v>88</v>
      </c>
      <c r="F1818" s="18" t="s">
        <v>93</v>
      </c>
      <c r="G1818" s="18" t="s">
        <v>44</v>
      </c>
      <c r="H1818" s="18" t="s">
        <v>114</v>
      </c>
      <c r="I1818" s="18" t="s">
        <v>60</v>
      </c>
      <c r="J1818" s="18" t="s">
        <v>102</v>
      </c>
      <c r="K1818" s="18">
        <v>11</v>
      </c>
      <c r="L1818" s="20">
        <v>8883.0499999999993</v>
      </c>
      <c r="M1818" s="21">
        <v>0</v>
      </c>
      <c r="N1818" s="21">
        <v>0.72209004013453304</v>
      </c>
      <c r="O1818" s="20">
        <f t="shared" si="112"/>
        <v>97713.549999999988</v>
      </c>
      <c r="P1818" s="20">
        <f t="shared" si="113"/>
        <v>70557.981241187692</v>
      </c>
      <c r="Q1818" s="20">
        <f t="shared" si="114"/>
        <v>27155.568758812296</v>
      </c>
      <c r="R1818" s="22">
        <f t="shared" si="115"/>
        <v>0.27790995986546696</v>
      </c>
    </row>
    <row r="1819" spans="1:18">
      <c r="A1819" s="18">
        <v>2818</v>
      </c>
      <c r="B1819" s="19" t="s">
        <v>639</v>
      </c>
      <c r="C1819" s="18">
        <v>2025</v>
      </c>
      <c r="D1819" s="18" t="s">
        <v>53</v>
      </c>
      <c r="E1819" s="18" t="s">
        <v>85</v>
      </c>
      <c r="F1819" s="18" t="s">
        <v>121</v>
      </c>
      <c r="G1819" s="18" t="s">
        <v>47</v>
      </c>
      <c r="H1819" s="18" t="s">
        <v>81</v>
      </c>
      <c r="I1819" s="18" t="s">
        <v>58</v>
      </c>
      <c r="J1819" s="18" t="s">
        <v>102</v>
      </c>
      <c r="K1819" s="18">
        <v>5</v>
      </c>
      <c r="L1819" s="20">
        <v>836.5</v>
      </c>
      <c r="M1819" s="21">
        <v>0.15</v>
      </c>
      <c r="N1819" s="21">
        <v>0.61487527044956802</v>
      </c>
      <c r="O1819" s="20">
        <f t="shared" si="112"/>
        <v>3555.125</v>
      </c>
      <c r="P1819" s="20">
        <f t="shared" si="113"/>
        <v>2185.9584458570207</v>
      </c>
      <c r="Q1819" s="20">
        <f t="shared" si="114"/>
        <v>1369.1665541429793</v>
      </c>
      <c r="R1819" s="22">
        <f t="shared" si="115"/>
        <v>0.38512472955043192</v>
      </c>
    </row>
    <row r="1820" spans="1:18">
      <c r="A1820" s="18">
        <v>2819</v>
      </c>
      <c r="B1820" s="19" t="s">
        <v>639</v>
      </c>
      <c r="C1820" s="18">
        <v>2025</v>
      </c>
      <c r="D1820" s="18" t="s">
        <v>53</v>
      </c>
      <c r="E1820" s="18" t="s">
        <v>98</v>
      </c>
      <c r="F1820" s="18" t="s">
        <v>109</v>
      </c>
      <c r="G1820" s="18" t="s">
        <v>47</v>
      </c>
      <c r="H1820" s="18" t="s">
        <v>107</v>
      </c>
      <c r="I1820" s="18" t="s">
        <v>49</v>
      </c>
      <c r="J1820" s="18" t="s">
        <v>82</v>
      </c>
      <c r="K1820" s="18">
        <v>4</v>
      </c>
      <c r="L1820" s="20">
        <v>2157.46</v>
      </c>
      <c r="M1820" s="21">
        <v>0.15</v>
      </c>
      <c r="N1820" s="21">
        <v>0.57399555575512395</v>
      </c>
      <c r="O1820" s="20">
        <f t="shared" si="112"/>
        <v>7335.3639999999996</v>
      </c>
      <c r="P1820" s="20">
        <f t="shared" si="113"/>
        <v>4210.4663358461285</v>
      </c>
      <c r="Q1820" s="20">
        <f t="shared" si="114"/>
        <v>3124.8976641538711</v>
      </c>
      <c r="R1820" s="22">
        <f t="shared" si="115"/>
        <v>0.4260044442448761</v>
      </c>
    </row>
    <row r="1821" spans="1:18">
      <c r="A1821" s="18">
        <v>2820</v>
      </c>
      <c r="B1821" s="19" t="s">
        <v>640</v>
      </c>
      <c r="C1821" s="18">
        <v>2025</v>
      </c>
      <c r="D1821" s="18" t="s">
        <v>53</v>
      </c>
      <c r="E1821" s="18" t="s">
        <v>79</v>
      </c>
      <c r="F1821" s="18" t="s">
        <v>105</v>
      </c>
      <c r="G1821" s="18" t="s">
        <v>50</v>
      </c>
      <c r="H1821" s="18" t="s">
        <v>83</v>
      </c>
      <c r="I1821" s="18" t="s">
        <v>40</v>
      </c>
      <c r="J1821" s="18" t="s">
        <v>82</v>
      </c>
      <c r="K1821" s="18">
        <v>9</v>
      </c>
      <c r="L1821" s="20">
        <v>3616.56</v>
      </c>
      <c r="M1821" s="21">
        <v>0.05</v>
      </c>
      <c r="N1821" s="21">
        <v>0.66639539187553198</v>
      </c>
      <c r="O1821" s="20">
        <f t="shared" si="112"/>
        <v>30921.588</v>
      </c>
      <c r="P1821" s="20">
        <f t="shared" si="113"/>
        <v>20606.003752673747</v>
      </c>
      <c r="Q1821" s="20">
        <f t="shared" si="114"/>
        <v>10315.584247326253</v>
      </c>
      <c r="R1821" s="22">
        <f t="shared" si="115"/>
        <v>0.33360460812446802</v>
      </c>
    </row>
    <row r="1822" spans="1:18">
      <c r="A1822" s="18">
        <v>2821</v>
      </c>
      <c r="B1822" s="19" t="s">
        <v>640</v>
      </c>
      <c r="C1822" s="18">
        <v>2025</v>
      </c>
      <c r="D1822" s="18" t="s">
        <v>53</v>
      </c>
      <c r="E1822" s="18" t="s">
        <v>98</v>
      </c>
      <c r="F1822" s="18" t="s">
        <v>117</v>
      </c>
      <c r="G1822" s="18" t="s">
        <v>41</v>
      </c>
      <c r="H1822" s="18" t="s">
        <v>106</v>
      </c>
      <c r="I1822" s="18" t="s">
        <v>49</v>
      </c>
      <c r="J1822" s="18" t="s">
        <v>91</v>
      </c>
      <c r="K1822" s="18">
        <v>5</v>
      </c>
      <c r="L1822" s="20">
        <v>2397.0500000000002</v>
      </c>
      <c r="M1822" s="21">
        <v>0.05</v>
      </c>
      <c r="N1822" s="21">
        <v>0.64073534623909401</v>
      </c>
      <c r="O1822" s="20">
        <f t="shared" si="112"/>
        <v>11385.987499999999</v>
      </c>
      <c r="P1822" s="20">
        <f t="shared" si="113"/>
        <v>7295.4046430864955</v>
      </c>
      <c r="Q1822" s="20">
        <f t="shared" si="114"/>
        <v>4090.5828569135037</v>
      </c>
      <c r="R1822" s="22">
        <f t="shared" si="115"/>
        <v>0.35926465376090605</v>
      </c>
    </row>
    <row r="1823" spans="1:18">
      <c r="A1823" s="18">
        <v>2822</v>
      </c>
      <c r="B1823" s="19" t="s">
        <v>641</v>
      </c>
      <c r="C1823" s="18">
        <v>2025</v>
      </c>
      <c r="D1823" s="18" t="s">
        <v>53</v>
      </c>
      <c r="E1823" s="18" t="s">
        <v>98</v>
      </c>
      <c r="F1823" s="18" t="s">
        <v>117</v>
      </c>
      <c r="G1823" s="18" t="s">
        <v>41</v>
      </c>
      <c r="H1823" s="18" t="s">
        <v>101</v>
      </c>
      <c r="I1823" s="18" t="s">
        <v>46</v>
      </c>
      <c r="J1823" s="18" t="s">
        <v>91</v>
      </c>
      <c r="K1823" s="18">
        <v>10</v>
      </c>
      <c r="L1823" s="20">
        <v>57123.54</v>
      </c>
      <c r="M1823" s="21">
        <v>0.1</v>
      </c>
      <c r="N1823" s="21">
        <v>0.64517112631774198</v>
      </c>
      <c r="O1823" s="20">
        <f t="shared" si="112"/>
        <v>514111.86000000004</v>
      </c>
      <c r="P1823" s="20">
        <f t="shared" si="113"/>
        <v>331690.12776950933</v>
      </c>
      <c r="Q1823" s="20">
        <f t="shared" si="114"/>
        <v>182421.73223049071</v>
      </c>
      <c r="R1823" s="22">
        <f t="shared" si="115"/>
        <v>0.35482887368225796</v>
      </c>
    </row>
    <row r="1824" spans="1:18">
      <c r="A1824" s="18">
        <v>2823</v>
      </c>
      <c r="B1824" s="19" t="s">
        <v>641</v>
      </c>
      <c r="C1824" s="18">
        <v>2025</v>
      </c>
      <c r="D1824" s="18" t="s">
        <v>53</v>
      </c>
      <c r="E1824" s="18" t="s">
        <v>79</v>
      </c>
      <c r="F1824" s="18" t="s">
        <v>100</v>
      </c>
      <c r="G1824" s="18" t="s">
        <v>50</v>
      </c>
      <c r="H1824" s="18" t="s">
        <v>97</v>
      </c>
      <c r="I1824" s="18" t="s">
        <v>54</v>
      </c>
      <c r="J1824" s="18" t="s">
        <v>82</v>
      </c>
      <c r="K1824" s="18">
        <v>1</v>
      </c>
      <c r="L1824" s="20">
        <v>12551.76</v>
      </c>
      <c r="M1824" s="21">
        <v>0.05</v>
      </c>
      <c r="N1824" s="21">
        <v>0.74054612047464397</v>
      </c>
      <c r="O1824" s="20">
        <f t="shared" si="112"/>
        <v>11924.172</v>
      </c>
      <c r="P1824" s="20">
        <f t="shared" si="113"/>
        <v>8830.3993144723772</v>
      </c>
      <c r="Q1824" s="20">
        <f t="shared" si="114"/>
        <v>3093.7726855276233</v>
      </c>
      <c r="R1824" s="22">
        <f t="shared" si="115"/>
        <v>0.25945387952535598</v>
      </c>
    </row>
    <row r="1825" spans="1:18">
      <c r="A1825" s="18">
        <v>2824</v>
      </c>
      <c r="B1825" s="19" t="s">
        <v>641</v>
      </c>
      <c r="C1825" s="18">
        <v>2025</v>
      </c>
      <c r="D1825" s="18" t="s">
        <v>53</v>
      </c>
      <c r="E1825" s="18" t="s">
        <v>88</v>
      </c>
      <c r="F1825" s="18" t="s">
        <v>93</v>
      </c>
      <c r="G1825" s="18" t="s">
        <v>41</v>
      </c>
      <c r="H1825" s="18" t="s">
        <v>106</v>
      </c>
      <c r="I1825" s="18" t="s">
        <v>43</v>
      </c>
      <c r="J1825" s="18" t="s">
        <v>82</v>
      </c>
      <c r="K1825" s="18">
        <v>6</v>
      </c>
      <c r="L1825" s="20">
        <v>2419.33</v>
      </c>
      <c r="M1825" s="21">
        <v>0.1</v>
      </c>
      <c r="N1825" s="21">
        <v>0.67314375270785698</v>
      </c>
      <c r="O1825" s="20">
        <f t="shared" si="112"/>
        <v>13064.382</v>
      </c>
      <c r="P1825" s="20">
        <f t="shared" si="113"/>
        <v>8794.2071262889785</v>
      </c>
      <c r="Q1825" s="20">
        <f t="shared" si="114"/>
        <v>4270.1748737110211</v>
      </c>
      <c r="R1825" s="22">
        <f t="shared" si="115"/>
        <v>0.32685624729214297</v>
      </c>
    </row>
    <row r="1826" spans="1:18">
      <c r="A1826" s="18">
        <v>2825</v>
      </c>
      <c r="B1826" s="19" t="s">
        <v>641</v>
      </c>
      <c r="C1826" s="18">
        <v>2025</v>
      </c>
      <c r="D1826" s="18" t="s">
        <v>53</v>
      </c>
      <c r="E1826" s="18" t="s">
        <v>79</v>
      </c>
      <c r="F1826" s="18" t="s">
        <v>80</v>
      </c>
      <c r="G1826" s="18" t="s">
        <v>50</v>
      </c>
      <c r="H1826" s="18" t="s">
        <v>87</v>
      </c>
      <c r="I1826" s="18" t="s">
        <v>40</v>
      </c>
      <c r="J1826" s="18" t="s">
        <v>102</v>
      </c>
      <c r="K1826" s="18">
        <v>12</v>
      </c>
      <c r="L1826" s="20">
        <v>9818.17</v>
      </c>
      <c r="M1826" s="21">
        <v>0.1</v>
      </c>
      <c r="N1826" s="21">
        <v>0.55134530554962502</v>
      </c>
      <c r="O1826" s="20">
        <f t="shared" si="112"/>
        <v>106036.236</v>
      </c>
      <c r="P1826" s="20">
        <f t="shared" si="113"/>
        <v>58462.580936752151</v>
      </c>
      <c r="Q1826" s="20">
        <f t="shared" si="114"/>
        <v>47573.655063247854</v>
      </c>
      <c r="R1826" s="22">
        <f t="shared" si="115"/>
        <v>0.44865469445037498</v>
      </c>
    </row>
    <row r="1827" spans="1:18">
      <c r="A1827" s="18">
        <v>2826</v>
      </c>
      <c r="B1827" s="19" t="s">
        <v>642</v>
      </c>
      <c r="C1827" s="18">
        <v>2025</v>
      </c>
      <c r="D1827" s="18" t="s">
        <v>53</v>
      </c>
      <c r="E1827" s="18" t="s">
        <v>88</v>
      </c>
      <c r="F1827" s="18" t="s">
        <v>110</v>
      </c>
      <c r="G1827" s="18" t="s">
        <v>47</v>
      </c>
      <c r="H1827" s="18" t="s">
        <v>107</v>
      </c>
      <c r="I1827" s="18" t="s">
        <v>46</v>
      </c>
      <c r="J1827" s="18" t="s">
        <v>82</v>
      </c>
      <c r="K1827" s="18">
        <v>6</v>
      </c>
      <c r="L1827" s="20">
        <v>2212.63</v>
      </c>
      <c r="M1827" s="21">
        <v>0.1</v>
      </c>
      <c r="N1827" s="21">
        <v>0.63321662106867005</v>
      </c>
      <c r="O1827" s="20">
        <f t="shared" si="112"/>
        <v>11948.202000000001</v>
      </c>
      <c r="P1827" s="20">
        <f t="shared" si="113"/>
        <v>7565.8000982859267</v>
      </c>
      <c r="Q1827" s="20">
        <f t="shared" si="114"/>
        <v>4382.4019017140745</v>
      </c>
      <c r="R1827" s="22">
        <f t="shared" si="115"/>
        <v>0.36678337893132995</v>
      </c>
    </row>
    <row r="1828" spans="1:18">
      <c r="A1828" s="18">
        <v>2827</v>
      </c>
      <c r="B1828" s="19" t="s">
        <v>642</v>
      </c>
      <c r="C1828" s="18">
        <v>2025</v>
      </c>
      <c r="D1828" s="18" t="s">
        <v>53</v>
      </c>
      <c r="E1828" s="18" t="s">
        <v>98</v>
      </c>
      <c r="F1828" s="18" t="s">
        <v>99</v>
      </c>
      <c r="G1828" s="18" t="s">
        <v>50</v>
      </c>
      <c r="H1828" s="18" t="s">
        <v>97</v>
      </c>
      <c r="I1828" s="18" t="s">
        <v>60</v>
      </c>
      <c r="J1828" s="18" t="s">
        <v>91</v>
      </c>
      <c r="K1828" s="18">
        <v>5</v>
      </c>
      <c r="L1828" s="20">
        <v>11758.38</v>
      </c>
      <c r="M1828" s="21">
        <v>0</v>
      </c>
      <c r="N1828" s="21">
        <v>0.57764381243692597</v>
      </c>
      <c r="O1828" s="20">
        <f t="shared" si="112"/>
        <v>58791.899999999994</v>
      </c>
      <c r="P1828" s="20">
        <f t="shared" si="113"/>
        <v>33960.777256410503</v>
      </c>
      <c r="Q1828" s="20">
        <f t="shared" si="114"/>
        <v>24831.122743589491</v>
      </c>
      <c r="R1828" s="22">
        <f t="shared" si="115"/>
        <v>0.42235618756307403</v>
      </c>
    </row>
    <row r="1829" spans="1:18">
      <c r="A1829" s="18">
        <v>2828</v>
      </c>
      <c r="B1829" s="19" t="s">
        <v>642</v>
      </c>
      <c r="C1829" s="18">
        <v>2025</v>
      </c>
      <c r="D1829" s="18" t="s">
        <v>53</v>
      </c>
      <c r="E1829" s="18" t="s">
        <v>98</v>
      </c>
      <c r="F1829" s="18" t="s">
        <v>99</v>
      </c>
      <c r="G1829" s="18" t="s">
        <v>47</v>
      </c>
      <c r="H1829" s="18" t="s">
        <v>103</v>
      </c>
      <c r="I1829" s="18" t="s">
        <v>52</v>
      </c>
      <c r="J1829" s="18" t="s">
        <v>102</v>
      </c>
      <c r="K1829" s="18">
        <v>11</v>
      </c>
      <c r="L1829" s="20">
        <v>3148.65</v>
      </c>
      <c r="M1829" s="21">
        <v>0.15</v>
      </c>
      <c r="N1829" s="21">
        <v>0.63439292455395402</v>
      </c>
      <c r="O1829" s="20">
        <f t="shared" si="112"/>
        <v>29439.877499999999</v>
      </c>
      <c r="P1829" s="20">
        <f t="shared" si="113"/>
        <v>18676.449985735147</v>
      </c>
      <c r="Q1829" s="20">
        <f t="shared" si="114"/>
        <v>10763.427514264851</v>
      </c>
      <c r="R1829" s="22">
        <f t="shared" si="115"/>
        <v>0.36560707544604598</v>
      </c>
    </row>
    <row r="1830" spans="1:18">
      <c r="A1830" s="18">
        <v>2829</v>
      </c>
      <c r="B1830" s="19" t="s">
        <v>642</v>
      </c>
      <c r="C1830" s="18">
        <v>2025</v>
      </c>
      <c r="D1830" s="18" t="s">
        <v>53</v>
      </c>
      <c r="E1830" s="18" t="s">
        <v>98</v>
      </c>
      <c r="F1830" s="18" t="s">
        <v>109</v>
      </c>
      <c r="G1830" s="18" t="s">
        <v>47</v>
      </c>
      <c r="H1830" s="18" t="s">
        <v>81</v>
      </c>
      <c r="I1830" s="18" t="s">
        <v>60</v>
      </c>
      <c r="J1830" s="18" t="s">
        <v>82</v>
      </c>
      <c r="K1830" s="18">
        <v>5</v>
      </c>
      <c r="L1830" s="20">
        <v>836.64</v>
      </c>
      <c r="M1830" s="21">
        <v>0</v>
      </c>
      <c r="N1830" s="21">
        <v>0.74352687907662696</v>
      </c>
      <c r="O1830" s="20">
        <f t="shared" si="112"/>
        <v>4183.2</v>
      </c>
      <c r="P1830" s="20">
        <f t="shared" si="113"/>
        <v>3110.3216405533458</v>
      </c>
      <c r="Q1830" s="20">
        <f t="shared" si="114"/>
        <v>1072.878359446654</v>
      </c>
      <c r="R1830" s="22">
        <f t="shared" si="115"/>
        <v>0.25647312092337304</v>
      </c>
    </row>
    <row r="1831" spans="1:18">
      <c r="A1831" s="18">
        <v>2830</v>
      </c>
      <c r="B1831" s="19" t="s">
        <v>643</v>
      </c>
      <c r="C1831" s="18">
        <v>2025</v>
      </c>
      <c r="D1831" s="18" t="s">
        <v>53</v>
      </c>
      <c r="E1831" s="18" t="s">
        <v>98</v>
      </c>
      <c r="F1831" s="18" t="s">
        <v>117</v>
      </c>
      <c r="G1831" s="18" t="s">
        <v>44</v>
      </c>
      <c r="H1831" s="18" t="s">
        <v>119</v>
      </c>
      <c r="I1831" s="18" t="s">
        <v>40</v>
      </c>
      <c r="J1831" s="18" t="s">
        <v>82</v>
      </c>
      <c r="K1831" s="18">
        <v>3</v>
      </c>
      <c r="L1831" s="20">
        <v>7211.14</v>
      </c>
      <c r="M1831" s="21">
        <v>0.05</v>
      </c>
      <c r="N1831" s="21">
        <v>0.67783300761814902</v>
      </c>
      <c r="O1831" s="20">
        <f t="shared" si="112"/>
        <v>20551.749</v>
      </c>
      <c r="P1831" s="20">
        <f t="shared" si="113"/>
        <v>13930.653836483287</v>
      </c>
      <c r="Q1831" s="20">
        <f t="shared" si="114"/>
        <v>6621.095163516713</v>
      </c>
      <c r="R1831" s="22">
        <f t="shared" si="115"/>
        <v>0.32216699238185098</v>
      </c>
    </row>
    <row r="1832" spans="1:18">
      <c r="A1832" s="18">
        <v>2831</v>
      </c>
      <c r="B1832" s="19" t="s">
        <v>643</v>
      </c>
      <c r="C1832" s="18">
        <v>2025</v>
      </c>
      <c r="D1832" s="18" t="s">
        <v>53</v>
      </c>
      <c r="E1832" s="18" t="s">
        <v>88</v>
      </c>
      <c r="F1832" s="18" t="s">
        <v>110</v>
      </c>
      <c r="G1832" s="18" t="s">
        <v>44</v>
      </c>
      <c r="H1832" s="18" t="s">
        <v>119</v>
      </c>
      <c r="I1832" s="18" t="s">
        <v>43</v>
      </c>
      <c r="J1832" s="18" t="s">
        <v>91</v>
      </c>
      <c r="K1832" s="18">
        <v>6</v>
      </c>
      <c r="L1832" s="20">
        <v>6698.47</v>
      </c>
      <c r="M1832" s="21">
        <v>0</v>
      </c>
      <c r="N1832" s="21">
        <v>0.61479531875242299</v>
      </c>
      <c r="O1832" s="20">
        <f t="shared" si="112"/>
        <v>40190.82</v>
      </c>
      <c r="P1832" s="20">
        <f t="shared" si="113"/>
        <v>24709.127992821257</v>
      </c>
      <c r="Q1832" s="20">
        <f t="shared" si="114"/>
        <v>15481.692007178743</v>
      </c>
      <c r="R1832" s="22">
        <f t="shared" si="115"/>
        <v>0.38520468124757701</v>
      </c>
    </row>
    <row r="1833" spans="1:18">
      <c r="A1833" s="18">
        <v>2832</v>
      </c>
      <c r="B1833" s="19" t="s">
        <v>643</v>
      </c>
      <c r="C1833" s="18">
        <v>2025</v>
      </c>
      <c r="D1833" s="18" t="s">
        <v>53</v>
      </c>
      <c r="E1833" s="18" t="s">
        <v>85</v>
      </c>
      <c r="F1833" s="18" t="s">
        <v>86</v>
      </c>
      <c r="G1833" s="18" t="s">
        <v>44</v>
      </c>
      <c r="H1833" s="18" t="s">
        <v>95</v>
      </c>
      <c r="I1833" s="18" t="s">
        <v>56</v>
      </c>
      <c r="J1833" s="18" t="s">
        <v>102</v>
      </c>
      <c r="K1833" s="18">
        <v>12</v>
      </c>
      <c r="L1833" s="20">
        <v>4356.97</v>
      </c>
      <c r="M1833" s="21">
        <v>0</v>
      </c>
      <c r="N1833" s="21">
        <v>0.60678189591059495</v>
      </c>
      <c r="O1833" s="20">
        <f t="shared" si="112"/>
        <v>52283.64</v>
      </c>
      <c r="P1833" s="20">
        <f t="shared" si="113"/>
        <v>31724.76620430702</v>
      </c>
      <c r="Q1833" s="20">
        <f t="shared" si="114"/>
        <v>20558.87379569298</v>
      </c>
      <c r="R1833" s="22">
        <f t="shared" si="115"/>
        <v>0.39321810408940505</v>
      </c>
    </row>
    <row r="1834" spans="1:18">
      <c r="A1834" s="18">
        <v>2833</v>
      </c>
      <c r="B1834" s="19" t="s">
        <v>643</v>
      </c>
      <c r="C1834" s="18">
        <v>2025</v>
      </c>
      <c r="D1834" s="18" t="s">
        <v>53</v>
      </c>
      <c r="E1834" s="18" t="s">
        <v>98</v>
      </c>
      <c r="F1834" s="18" t="s">
        <v>99</v>
      </c>
      <c r="G1834" s="18" t="s">
        <v>50</v>
      </c>
      <c r="H1834" s="18" t="s">
        <v>97</v>
      </c>
      <c r="I1834" s="18" t="s">
        <v>62</v>
      </c>
      <c r="J1834" s="18" t="s">
        <v>102</v>
      </c>
      <c r="K1834" s="18">
        <v>12</v>
      </c>
      <c r="L1834" s="20">
        <v>11988.76</v>
      </c>
      <c r="M1834" s="21">
        <v>0.1</v>
      </c>
      <c r="N1834" s="21">
        <v>0.74261905528656003</v>
      </c>
      <c r="O1834" s="20">
        <f t="shared" si="112"/>
        <v>129478.60799999999</v>
      </c>
      <c r="P1834" s="20">
        <f t="shared" si="113"/>
        <v>96153.281552778833</v>
      </c>
      <c r="Q1834" s="20">
        <f t="shared" si="114"/>
        <v>33325.326447221159</v>
      </c>
      <c r="R1834" s="22">
        <f t="shared" si="115"/>
        <v>0.25738094471343992</v>
      </c>
    </row>
    <row r="1835" spans="1:18">
      <c r="A1835" s="18">
        <v>2834</v>
      </c>
      <c r="B1835" s="19" t="s">
        <v>643</v>
      </c>
      <c r="C1835" s="18">
        <v>2025</v>
      </c>
      <c r="D1835" s="18" t="s">
        <v>53</v>
      </c>
      <c r="E1835" s="18" t="s">
        <v>88</v>
      </c>
      <c r="F1835" s="18" t="s">
        <v>89</v>
      </c>
      <c r="G1835" s="18" t="s">
        <v>50</v>
      </c>
      <c r="H1835" s="18" t="s">
        <v>87</v>
      </c>
      <c r="I1835" s="18" t="s">
        <v>58</v>
      </c>
      <c r="J1835" s="18" t="s">
        <v>102</v>
      </c>
      <c r="K1835" s="18">
        <v>5</v>
      </c>
      <c r="L1835" s="20">
        <v>9635.99</v>
      </c>
      <c r="M1835" s="21">
        <v>0</v>
      </c>
      <c r="N1835" s="21">
        <v>0.69938002229685403</v>
      </c>
      <c r="O1835" s="20">
        <f t="shared" si="112"/>
        <v>48179.95</v>
      </c>
      <c r="P1835" s="20">
        <f t="shared" si="113"/>
        <v>33696.09450526131</v>
      </c>
      <c r="Q1835" s="20">
        <f t="shared" si="114"/>
        <v>14483.855494738687</v>
      </c>
      <c r="R1835" s="22">
        <f t="shared" si="115"/>
        <v>0.30061997770314597</v>
      </c>
    </row>
    <row r="1836" spans="1:18">
      <c r="A1836" s="18">
        <v>2835</v>
      </c>
      <c r="B1836" s="19" t="s">
        <v>644</v>
      </c>
      <c r="C1836" s="18">
        <v>2025</v>
      </c>
      <c r="D1836" s="18" t="s">
        <v>53</v>
      </c>
      <c r="E1836" s="18" t="s">
        <v>98</v>
      </c>
      <c r="F1836" s="18" t="s">
        <v>99</v>
      </c>
      <c r="G1836" s="18" t="s">
        <v>44</v>
      </c>
      <c r="H1836" s="18" t="s">
        <v>114</v>
      </c>
      <c r="I1836" s="18" t="s">
        <v>52</v>
      </c>
      <c r="J1836" s="18" t="s">
        <v>82</v>
      </c>
      <c r="K1836" s="18">
        <v>2</v>
      </c>
      <c r="L1836" s="20">
        <v>9023.24</v>
      </c>
      <c r="M1836" s="21">
        <v>0</v>
      </c>
      <c r="N1836" s="21">
        <v>0.69151315919066203</v>
      </c>
      <c r="O1836" s="20">
        <f t="shared" si="112"/>
        <v>18046.48</v>
      </c>
      <c r="P1836" s="20">
        <f t="shared" si="113"/>
        <v>12479.378397071097</v>
      </c>
      <c r="Q1836" s="20">
        <f t="shared" si="114"/>
        <v>5567.1016029289021</v>
      </c>
      <c r="R1836" s="22">
        <f t="shared" si="115"/>
        <v>0.30848684080933803</v>
      </c>
    </row>
    <row r="1837" spans="1:18">
      <c r="A1837" s="18">
        <v>2836</v>
      </c>
      <c r="B1837" s="19" t="s">
        <v>644</v>
      </c>
      <c r="C1837" s="18">
        <v>2025</v>
      </c>
      <c r="D1837" s="18" t="s">
        <v>53</v>
      </c>
      <c r="E1837" s="18" t="s">
        <v>79</v>
      </c>
      <c r="F1837" s="18" t="s">
        <v>80</v>
      </c>
      <c r="G1837" s="18" t="s">
        <v>44</v>
      </c>
      <c r="H1837" s="18" t="s">
        <v>119</v>
      </c>
      <c r="I1837" s="18" t="s">
        <v>43</v>
      </c>
      <c r="J1837" s="18" t="s">
        <v>82</v>
      </c>
      <c r="K1837" s="18">
        <v>4</v>
      </c>
      <c r="L1837" s="20">
        <v>7074.61</v>
      </c>
      <c r="M1837" s="21">
        <v>0.2</v>
      </c>
      <c r="N1837" s="21">
        <v>0.55141685698466303</v>
      </c>
      <c r="O1837" s="20">
        <f t="shared" si="112"/>
        <v>22638.752</v>
      </c>
      <c r="P1837" s="20">
        <f t="shared" si="113"/>
        <v>12483.389473895255</v>
      </c>
      <c r="Q1837" s="20">
        <f t="shared" si="114"/>
        <v>10155.362526104745</v>
      </c>
      <c r="R1837" s="22">
        <f t="shared" si="115"/>
        <v>0.44858314301533697</v>
      </c>
    </row>
    <row r="1838" spans="1:18">
      <c r="A1838" s="18">
        <v>2837</v>
      </c>
      <c r="B1838" s="19" t="s">
        <v>644</v>
      </c>
      <c r="C1838" s="18">
        <v>2025</v>
      </c>
      <c r="D1838" s="18" t="s">
        <v>53</v>
      </c>
      <c r="E1838" s="18" t="s">
        <v>98</v>
      </c>
      <c r="F1838" s="18" t="s">
        <v>99</v>
      </c>
      <c r="G1838" s="18" t="s">
        <v>41</v>
      </c>
      <c r="H1838" s="18" t="s">
        <v>90</v>
      </c>
      <c r="I1838" s="18" t="s">
        <v>56</v>
      </c>
      <c r="J1838" s="18" t="s">
        <v>102</v>
      </c>
      <c r="K1838" s="18">
        <v>1</v>
      </c>
      <c r="L1838" s="20">
        <v>18693.87</v>
      </c>
      <c r="M1838" s="21">
        <v>0.15</v>
      </c>
      <c r="N1838" s="21">
        <v>0.59894969674254706</v>
      </c>
      <c r="O1838" s="20">
        <f t="shared" si="112"/>
        <v>15889.789499999999</v>
      </c>
      <c r="P1838" s="20">
        <f t="shared" si="113"/>
        <v>9517.1846023279086</v>
      </c>
      <c r="Q1838" s="20">
        <f t="shared" si="114"/>
        <v>6372.6048976720904</v>
      </c>
      <c r="R1838" s="22">
        <f t="shared" si="115"/>
        <v>0.40105030325745289</v>
      </c>
    </row>
    <row r="1839" spans="1:18">
      <c r="A1839" s="18">
        <v>2838</v>
      </c>
      <c r="B1839" s="19" t="s">
        <v>645</v>
      </c>
      <c r="C1839" s="18">
        <v>2025</v>
      </c>
      <c r="D1839" s="18" t="s">
        <v>53</v>
      </c>
      <c r="E1839" s="18" t="s">
        <v>85</v>
      </c>
      <c r="F1839" s="18" t="s">
        <v>86</v>
      </c>
      <c r="G1839" s="18" t="s">
        <v>44</v>
      </c>
      <c r="H1839" s="18" t="s">
        <v>95</v>
      </c>
      <c r="I1839" s="18" t="s">
        <v>60</v>
      </c>
      <c r="J1839" s="18" t="s">
        <v>91</v>
      </c>
      <c r="K1839" s="18">
        <v>6</v>
      </c>
      <c r="L1839" s="20">
        <v>4285.8999999999996</v>
      </c>
      <c r="M1839" s="21">
        <v>0</v>
      </c>
      <c r="N1839" s="21">
        <v>0.70338700334975202</v>
      </c>
      <c r="O1839" s="20">
        <f t="shared" si="112"/>
        <v>25715.399999999998</v>
      </c>
      <c r="P1839" s="20">
        <f t="shared" si="113"/>
        <v>18087.878145940213</v>
      </c>
      <c r="Q1839" s="20">
        <f t="shared" si="114"/>
        <v>7627.5218540597853</v>
      </c>
      <c r="R1839" s="22">
        <f t="shared" si="115"/>
        <v>0.29661299665024793</v>
      </c>
    </row>
    <row r="1840" spans="1:18">
      <c r="A1840" s="18">
        <v>2839</v>
      </c>
      <c r="B1840" s="19" t="s">
        <v>645</v>
      </c>
      <c r="C1840" s="18">
        <v>2025</v>
      </c>
      <c r="D1840" s="18" t="s">
        <v>53</v>
      </c>
      <c r="E1840" s="18" t="s">
        <v>85</v>
      </c>
      <c r="F1840" s="18" t="s">
        <v>94</v>
      </c>
      <c r="G1840" s="18" t="s">
        <v>41</v>
      </c>
      <c r="H1840" s="18" t="s">
        <v>112</v>
      </c>
      <c r="I1840" s="18" t="s">
        <v>46</v>
      </c>
      <c r="J1840" s="18" t="s">
        <v>82</v>
      </c>
      <c r="K1840" s="18">
        <v>6</v>
      </c>
      <c r="L1840" s="20">
        <v>5988.05</v>
      </c>
      <c r="M1840" s="21">
        <v>0.05</v>
      </c>
      <c r="N1840" s="21">
        <v>0.60206813327495301</v>
      </c>
      <c r="O1840" s="20">
        <f t="shared" si="112"/>
        <v>34131.885000000002</v>
      </c>
      <c r="P1840" s="20">
        <f t="shared" si="113"/>
        <v>20549.720287105371</v>
      </c>
      <c r="Q1840" s="20">
        <f t="shared" si="114"/>
        <v>13582.164712894632</v>
      </c>
      <c r="R1840" s="22">
        <f t="shared" si="115"/>
        <v>0.39793186672504699</v>
      </c>
    </row>
    <row r="1841" spans="1:18">
      <c r="A1841" s="18">
        <v>2840</v>
      </c>
      <c r="B1841" s="19" t="s">
        <v>645</v>
      </c>
      <c r="C1841" s="18">
        <v>2025</v>
      </c>
      <c r="D1841" s="18" t="s">
        <v>53</v>
      </c>
      <c r="E1841" s="18" t="s">
        <v>98</v>
      </c>
      <c r="F1841" s="18" t="s">
        <v>99</v>
      </c>
      <c r="G1841" s="18" t="s">
        <v>47</v>
      </c>
      <c r="H1841" s="18" t="s">
        <v>107</v>
      </c>
      <c r="I1841" s="18" t="s">
        <v>46</v>
      </c>
      <c r="J1841" s="18" t="s">
        <v>91</v>
      </c>
      <c r="K1841" s="18">
        <v>3</v>
      </c>
      <c r="L1841" s="20">
        <v>2279.8000000000002</v>
      </c>
      <c r="M1841" s="21">
        <v>0</v>
      </c>
      <c r="N1841" s="21">
        <v>0.615086847755977</v>
      </c>
      <c r="O1841" s="20">
        <f t="shared" si="112"/>
        <v>6839.4000000000005</v>
      </c>
      <c r="P1841" s="20">
        <f t="shared" si="113"/>
        <v>4206.8249865422295</v>
      </c>
      <c r="Q1841" s="20">
        <f t="shared" si="114"/>
        <v>2632.5750134577711</v>
      </c>
      <c r="R1841" s="22">
        <f t="shared" si="115"/>
        <v>0.384913152244023</v>
      </c>
    </row>
    <row r="1842" spans="1:18">
      <c r="A1842" s="18">
        <v>2841</v>
      </c>
      <c r="B1842" s="19" t="s">
        <v>645</v>
      </c>
      <c r="C1842" s="18">
        <v>2025</v>
      </c>
      <c r="D1842" s="18" t="s">
        <v>53</v>
      </c>
      <c r="E1842" s="18" t="s">
        <v>79</v>
      </c>
      <c r="F1842" s="18" t="s">
        <v>80</v>
      </c>
      <c r="G1842" s="18" t="s">
        <v>50</v>
      </c>
      <c r="H1842" s="18" t="s">
        <v>97</v>
      </c>
      <c r="I1842" s="18" t="s">
        <v>60</v>
      </c>
      <c r="J1842" s="18" t="s">
        <v>82</v>
      </c>
      <c r="K1842" s="18">
        <v>12</v>
      </c>
      <c r="L1842" s="20">
        <v>11522.7</v>
      </c>
      <c r="M1842" s="21">
        <v>0</v>
      </c>
      <c r="N1842" s="21">
        <v>0.65987481604372</v>
      </c>
      <c r="O1842" s="20">
        <f t="shared" si="112"/>
        <v>138272.40000000002</v>
      </c>
      <c r="P1842" s="20">
        <f t="shared" si="113"/>
        <v>91242.474513923691</v>
      </c>
      <c r="Q1842" s="20">
        <f t="shared" si="114"/>
        <v>47029.925486076332</v>
      </c>
      <c r="R1842" s="22">
        <f t="shared" si="115"/>
        <v>0.34012518395627994</v>
      </c>
    </row>
    <row r="1843" spans="1:18">
      <c r="A1843" s="18">
        <v>2842</v>
      </c>
      <c r="B1843" s="19" t="s">
        <v>646</v>
      </c>
      <c r="C1843" s="18">
        <v>2025</v>
      </c>
      <c r="D1843" s="18" t="s">
        <v>53</v>
      </c>
      <c r="E1843" s="18" t="s">
        <v>85</v>
      </c>
      <c r="F1843" s="18" t="s">
        <v>86</v>
      </c>
      <c r="G1843" s="18" t="s">
        <v>50</v>
      </c>
      <c r="H1843" s="18" t="s">
        <v>83</v>
      </c>
      <c r="I1843" s="18" t="s">
        <v>43</v>
      </c>
      <c r="J1843" s="18" t="s">
        <v>91</v>
      </c>
      <c r="K1843" s="18">
        <v>11</v>
      </c>
      <c r="L1843" s="20">
        <v>3400.27</v>
      </c>
      <c r="M1843" s="21">
        <v>0.1</v>
      </c>
      <c r="N1843" s="21">
        <v>0.70744233089267405</v>
      </c>
      <c r="O1843" s="20">
        <f t="shared" si="112"/>
        <v>33662.673000000003</v>
      </c>
      <c r="P1843" s="20">
        <f t="shared" si="113"/>
        <v>23814.399851197886</v>
      </c>
      <c r="Q1843" s="20">
        <f t="shared" si="114"/>
        <v>9848.2731488021163</v>
      </c>
      <c r="R1843" s="22">
        <f t="shared" si="115"/>
        <v>0.29255766910732595</v>
      </c>
    </row>
    <row r="1844" spans="1:18">
      <c r="A1844" s="18">
        <v>2843</v>
      </c>
      <c r="B1844" s="19" t="s">
        <v>646</v>
      </c>
      <c r="C1844" s="18">
        <v>2025</v>
      </c>
      <c r="D1844" s="18" t="s">
        <v>53</v>
      </c>
      <c r="E1844" s="18" t="s">
        <v>88</v>
      </c>
      <c r="F1844" s="18" t="s">
        <v>93</v>
      </c>
      <c r="G1844" s="18" t="s">
        <v>44</v>
      </c>
      <c r="H1844" s="18" t="s">
        <v>119</v>
      </c>
      <c r="I1844" s="18" t="s">
        <v>54</v>
      </c>
      <c r="J1844" s="18" t="s">
        <v>82</v>
      </c>
      <c r="K1844" s="18">
        <v>3</v>
      </c>
      <c r="L1844" s="20">
        <v>6758.63</v>
      </c>
      <c r="M1844" s="21">
        <v>0.15</v>
      </c>
      <c r="N1844" s="21">
        <v>0.73192830624402905</v>
      </c>
      <c r="O1844" s="20">
        <f t="shared" si="112"/>
        <v>17234.5065</v>
      </c>
      <c r="P1844" s="20">
        <f t="shared" si="113"/>
        <v>12614.423151496709</v>
      </c>
      <c r="Q1844" s="20">
        <f t="shared" si="114"/>
        <v>4620.0833485032908</v>
      </c>
      <c r="R1844" s="22">
        <f t="shared" si="115"/>
        <v>0.26807169375597095</v>
      </c>
    </row>
    <row r="1845" spans="1:18">
      <c r="A1845" s="18">
        <v>2844</v>
      </c>
      <c r="B1845" s="19" t="s">
        <v>646</v>
      </c>
      <c r="C1845" s="18">
        <v>2025</v>
      </c>
      <c r="D1845" s="18" t="s">
        <v>53</v>
      </c>
      <c r="E1845" s="18" t="s">
        <v>88</v>
      </c>
      <c r="F1845" s="18" t="s">
        <v>93</v>
      </c>
      <c r="G1845" s="18" t="s">
        <v>50</v>
      </c>
      <c r="H1845" s="18" t="s">
        <v>83</v>
      </c>
      <c r="I1845" s="18" t="s">
        <v>43</v>
      </c>
      <c r="J1845" s="18" t="s">
        <v>102</v>
      </c>
      <c r="K1845" s="18">
        <v>7</v>
      </c>
      <c r="L1845" s="20">
        <v>3604.79</v>
      </c>
      <c r="M1845" s="21">
        <v>0.2</v>
      </c>
      <c r="N1845" s="21">
        <v>0.72077349213537101</v>
      </c>
      <c r="O1845" s="20">
        <f t="shared" si="112"/>
        <v>20186.824000000001</v>
      </c>
      <c r="P1845" s="20">
        <f t="shared" si="113"/>
        <v>14550.127629602119</v>
      </c>
      <c r="Q1845" s="20">
        <f t="shared" si="114"/>
        <v>5636.6963703978818</v>
      </c>
      <c r="R1845" s="22">
        <f t="shared" si="115"/>
        <v>0.27922650786462899</v>
      </c>
    </row>
    <row r="1846" spans="1:18">
      <c r="A1846" s="18">
        <v>2845</v>
      </c>
      <c r="B1846" s="19" t="s">
        <v>647</v>
      </c>
      <c r="C1846" s="18">
        <v>2025</v>
      </c>
      <c r="D1846" s="18" t="s">
        <v>53</v>
      </c>
      <c r="E1846" s="18" t="s">
        <v>98</v>
      </c>
      <c r="F1846" s="18" t="s">
        <v>117</v>
      </c>
      <c r="G1846" s="18" t="s">
        <v>44</v>
      </c>
      <c r="H1846" s="18" t="s">
        <v>119</v>
      </c>
      <c r="I1846" s="18" t="s">
        <v>46</v>
      </c>
      <c r="J1846" s="18" t="s">
        <v>91</v>
      </c>
      <c r="K1846" s="18">
        <v>11</v>
      </c>
      <c r="L1846" s="20">
        <v>6904.58</v>
      </c>
      <c r="M1846" s="21">
        <v>0</v>
      </c>
      <c r="N1846" s="21">
        <v>0.70787033822775702</v>
      </c>
      <c r="O1846" s="20">
        <f t="shared" si="112"/>
        <v>75950.38</v>
      </c>
      <c r="P1846" s="20">
        <f t="shared" si="113"/>
        <v>53763.021179126677</v>
      </c>
      <c r="Q1846" s="20">
        <f t="shared" si="114"/>
        <v>22187.358820873327</v>
      </c>
      <c r="R1846" s="22">
        <f t="shared" si="115"/>
        <v>0.29212966177224298</v>
      </c>
    </row>
    <row r="1847" spans="1:18">
      <c r="A1847" s="18">
        <v>2846</v>
      </c>
      <c r="B1847" s="19" t="s">
        <v>647</v>
      </c>
      <c r="C1847" s="18">
        <v>2025</v>
      </c>
      <c r="D1847" s="18" t="s">
        <v>53</v>
      </c>
      <c r="E1847" s="18" t="s">
        <v>88</v>
      </c>
      <c r="F1847" s="18" t="s">
        <v>89</v>
      </c>
      <c r="G1847" s="18" t="s">
        <v>47</v>
      </c>
      <c r="H1847" s="18" t="s">
        <v>107</v>
      </c>
      <c r="I1847" s="18" t="s">
        <v>56</v>
      </c>
      <c r="J1847" s="18" t="s">
        <v>82</v>
      </c>
      <c r="K1847" s="18">
        <v>8</v>
      </c>
      <c r="L1847" s="20">
        <v>2249.4499999999998</v>
      </c>
      <c r="M1847" s="21">
        <v>0.1</v>
      </c>
      <c r="N1847" s="21">
        <v>0.69742298684069504</v>
      </c>
      <c r="O1847" s="20">
        <f t="shared" si="112"/>
        <v>16196.039999999999</v>
      </c>
      <c r="P1847" s="20">
        <f t="shared" si="113"/>
        <v>11295.490591791369</v>
      </c>
      <c r="Q1847" s="20">
        <f t="shared" si="114"/>
        <v>4900.5494082086298</v>
      </c>
      <c r="R1847" s="22">
        <f t="shared" si="115"/>
        <v>0.30257701315930502</v>
      </c>
    </row>
    <row r="1848" spans="1:18">
      <c r="A1848" s="18">
        <v>2847</v>
      </c>
      <c r="B1848" s="19" t="s">
        <v>648</v>
      </c>
      <c r="C1848" s="18">
        <v>2025</v>
      </c>
      <c r="D1848" s="18" t="s">
        <v>53</v>
      </c>
      <c r="E1848" s="18" t="s">
        <v>88</v>
      </c>
      <c r="F1848" s="18" t="s">
        <v>110</v>
      </c>
      <c r="G1848" s="18" t="s">
        <v>50</v>
      </c>
      <c r="H1848" s="18" t="s">
        <v>97</v>
      </c>
      <c r="I1848" s="18" t="s">
        <v>49</v>
      </c>
      <c r="J1848" s="18" t="s">
        <v>82</v>
      </c>
      <c r="K1848" s="18">
        <v>10</v>
      </c>
      <c r="L1848" s="20">
        <v>11799.15</v>
      </c>
      <c r="M1848" s="21">
        <v>0.05</v>
      </c>
      <c r="N1848" s="21">
        <v>0.66552178533489004</v>
      </c>
      <c r="O1848" s="20">
        <f t="shared" si="112"/>
        <v>112091.92499999999</v>
      </c>
      <c r="P1848" s="20">
        <f t="shared" si="113"/>
        <v>74599.618047624579</v>
      </c>
      <c r="Q1848" s="20">
        <f t="shared" si="114"/>
        <v>37492.306952375409</v>
      </c>
      <c r="R1848" s="22">
        <f t="shared" si="115"/>
        <v>0.33447821466511002</v>
      </c>
    </row>
    <row r="1849" spans="1:18">
      <c r="A1849" s="18">
        <v>2848</v>
      </c>
      <c r="B1849" s="19" t="s">
        <v>648</v>
      </c>
      <c r="C1849" s="18">
        <v>2025</v>
      </c>
      <c r="D1849" s="18" t="s">
        <v>53</v>
      </c>
      <c r="E1849" s="18" t="s">
        <v>85</v>
      </c>
      <c r="F1849" s="18" t="s">
        <v>94</v>
      </c>
      <c r="G1849" s="18" t="s">
        <v>41</v>
      </c>
      <c r="H1849" s="18" t="s">
        <v>101</v>
      </c>
      <c r="I1849" s="18" t="s">
        <v>58</v>
      </c>
      <c r="J1849" s="18" t="s">
        <v>102</v>
      </c>
      <c r="K1849" s="18">
        <v>10</v>
      </c>
      <c r="L1849" s="20">
        <v>54663.38</v>
      </c>
      <c r="M1849" s="21">
        <v>0</v>
      </c>
      <c r="N1849" s="21">
        <v>0.66420864190806495</v>
      </c>
      <c r="O1849" s="20">
        <f t="shared" si="112"/>
        <v>546633.79999999993</v>
      </c>
      <c r="P1849" s="20">
        <f t="shared" si="113"/>
        <v>363078.89391904476</v>
      </c>
      <c r="Q1849" s="20">
        <f t="shared" si="114"/>
        <v>183554.90608095517</v>
      </c>
      <c r="R1849" s="22">
        <f t="shared" si="115"/>
        <v>0.33579135809193505</v>
      </c>
    </row>
    <row r="1850" spans="1:18">
      <c r="A1850" s="18">
        <v>2849</v>
      </c>
      <c r="B1850" s="19" t="s">
        <v>648</v>
      </c>
      <c r="C1850" s="18">
        <v>2025</v>
      </c>
      <c r="D1850" s="18" t="s">
        <v>53</v>
      </c>
      <c r="E1850" s="18" t="s">
        <v>85</v>
      </c>
      <c r="F1850" s="18" t="s">
        <v>86</v>
      </c>
      <c r="G1850" s="18" t="s">
        <v>44</v>
      </c>
      <c r="H1850" s="18" t="s">
        <v>119</v>
      </c>
      <c r="I1850" s="18" t="s">
        <v>54</v>
      </c>
      <c r="J1850" s="18" t="s">
        <v>82</v>
      </c>
      <c r="K1850" s="18">
        <v>11</v>
      </c>
      <c r="L1850" s="20">
        <v>7280.75</v>
      </c>
      <c r="M1850" s="21">
        <v>0.1</v>
      </c>
      <c r="N1850" s="21">
        <v>0.70194912631362705</v>
      </c>
      <c r="O1850" s="20">
        <f t="shared" si="112"/>
        <v>72079.425000000003</v>
      </c>
      <c r="P1850" s="20">
        <f t="shared" si="113"/>
        <v>50596.089403938611</v>
      </c>
      <c r="Q1850" s="20">
        <f t="shared" si="114"/>
        <v>21483.335596061392</v>
      </c>
      <c r="R1850" s="22">
        <f t="shared" si="115"/>
        <v>0.29805087368637295</v>
      </c>
    </row>
    <row r="1851" spans="1:18">
      <c r="A1851" s="18">
        <v>2850</v>
      </c>
      <c r="B1851" s="19" t="s">
        <v>648</v>
      </c>
      <c r="C1851" s="18">
        <v>2025</v>
      </c>
      <c r="D1851" s="18" t="s">
        <v>53</v>
      </c>
      <c r="E1851" s="18" t="s">
        <v>85</v>
      </c>
      <c r="F1851" s="18" t="s">
        <v>94</v>
      </c>
      <c r="G1851" s="18" t="s">
        <v>41</v>
      </c>
      <c r="H1851" s="18" t="s">
        <v>101</v>
      </c>
      <c r="I1851" s="18" t="s">
        <v>58</v>
      </c>
      <c r="J1851" s="18" t="s">
        <v>102</v>
      </c>
      <c r="K1851" s="18">
        <v>6</v>
      </c>
      <c r="L1851" s="20">
        <v>53010.51</v>
      </c>
      <c r="M1851" s="21">
        <v>0.15</v>
      </c>
      <c r="N1851" s="21">
        <v>0.73916085796800401</v>
      </c>
      <c r="O1851" s="20">
        <f t="shared" si="112"/>
        <v>270353.60099999997</v>
      </c>
      <c r="P1851" s="20">
        <f t="shared" si="113"/>
        <v>199834.7996698994</v>
      </c>
      <c r="Q1851" s="20">
        <f t="shared" si="114"/>
        <v>70518.80133010057</v>
      </c>
      <c r="R1851" s="22">
        <f t="shared" si="115"/>
        <v>0.26083914203199599</v>
      </c>
    </row>
    <row r="1852" spans="1:18">
      <c r="A1852" s="18">
        <v>2851</v>
      </c>
      <c r="B1852" s="19" t="s">
        <v>648</v>
      </c>
      <c r="C1852" s="18">
        <v>2025</v>
      </c>
      <c r="D1852" s="18" t="s">
        <v>53</v>
      </c>
      <c r="E1852" s="18" t="s">
        <v>88</v>
      </c>
      <c r="F1852" s="18" t="s">
        <v>110</v>
      </c>
      <c r="G1852" s="18" t="s">
        <v>44</v>
      </c>
      <c r="H1852" s="18" t="s">
        <v>119</v>
      </c>
      <c r="I1852" s="18" t="s">
        <v>43</v>
      </c>
      <c r="J1852" s="18" t="s">
        <v>82</v>
      </c>
      <c r="K1852" s="18">
        <v>6</v>
      </c>
      <c r="L1852" s="20">
        <v>6927.99</v>
      </c>
      <c r="M1852" s="21">
        <v>0.2</v>
      </c>
      <c r="N1852" s="21">
        <v>0.72259563215716305</v>
      </c>
      <c r="O1852" s="20">
        <f t="shared" si="112"/>
        <v>33254.352000000006</v>
      </c>
      <c r="P1852" s="20">
        <f t="shared" si="113"/>
        <v>24029.449505416826</v>
      </c>
      <c r="Q1852" s="20">
        <f t="shared" si="114"/>
        <v>9224.9024945831807</v>
      </c>
      <c r="R1852" s="22">
        <f t="shared" si="115"/>
        <v>0.2774043678428369</v>
      </c>
    </row>
    <row r="1853" spans="1:18">
      <c r="A1853" s="18">
        <v>2852</v>
      </c>
      <c r="B1853" s="19" t="s">
        <v>649</v>
      </c>
      <c r="C1853" s="18">
        <v>2025</v>
      </c>
      <c r="D1853" s="18" t="s">
        <v>53</v>
      </c>
      <c r="E1853" s="18" t="s">
        <v>88</v>
      </c>
      <c r="F1853" s="18" t="s">
        <v>110</v>
      </c>
      <c r="G1853" s="18" t="s">
        <v>41</v>
      </c>
      <c r="H1853" s="18" t="s">
        <v>106</v>
      </c>
      <c r="I1853" s="18" t="s">
        <v>60</v>
      </c>
      <c r="J1853" s="18" t="s">
        <v>91</v>
      </c>
      <c r="K1853" s="18">
        <v>10</v>
      </c>
      <c r="L1853" s="20">
        <v>2577.71</v>
      </c>
      <c r="M1853" s="21">
        <v>0.2</v>
      </c>
      <c r="N1853" s="21">
        <v>0.72696508387565895</v>
      </c>
      <c r="O1853" s="20">
        <f t="shared" si="112"/>
        <v>20621.68</v>
      </c>
      <c r="P1853" s="20">
        <f t="shared" si="113"/>
        <v>14991.241330856999</v>
      </c>
      <c r="Q1853" s="20">
        <f t="shared" si="114"/>
        <v>5630.4386691430009</v>
      </c>
      <c r="R1853" s="22">
        <f t="shared" si="115"/>
        <v>0.273034916124341</v>
      </c>
    </row>
    <row r="1854" spans="1:18">
      <c r="A1854" s="18">
        <v>2853</v>
      </c>
      <c r="B1854" s="19" t="s">
        <v>649</v>
      </c>
      <c r="C1854" s="18">
        <v>2025</v>
      </c>
      <c r="D1854" s="18" t="s">
        <v>53</v>
      </c>
      <c r="E1854" s="18" t="s">
        <v>85</v>
      </c>
      <c r="F1854" s="18" t="s">
        <v>121</v>
      </c>
      <c r="G1854" s="18" t="s">
        <v>44</v>
      </c>
      <c r="H1854" s="18" t="s">
        <v>95</v>
      </c>
      <c r="I1854" s="18" t="s">
        <v>54</v>
      </c>
      <c r="J1854" s="18" t="s">
        <v>102</v>
      </c>
      <c r="K1854" s="18">
        <v>9</v>
      </c>
      <c r="L1854" s="20">
        <v>4435.8100000000004</v>
      </c>
      <c r="M1854" s="21">
        <v>0</v>
      </c>
      <c r="N1854" s="21">
        <v>0.67748542656747901</v>
      </c>
      <c r="O1854" s="20">
        <f t="shared" si="112"/>
        <v>39922.29</v>
      </c>
      <c r="P1854" s="20">
        <f t="shared" si="113"/>
        <v>27046.769670200603</v>
      </c>
      <c r="Q1854" s="20">
        <f t="shared" si="114"/>
        <v>12875.520329799398</v>
      </c>
      <c r="R1854" s="22">
        <f t="shared" si="115"/>
        <v>0.32251457343252099</v>
      </c>
    </row>
    <row r="1855" spans="1:18">
      <c r="A1855" s="18">
        <v>2854</v>
      </c>
      <c r="B1855" s="19" t="s">
        <v>649</v>
      </c>
      <c r="C1855" s="18">
        <v>2025</v>
      </c>
      <c r="D1855" s="18" t="s">
        <v>53</v>
      </c>
      <c r="E1855" s="18" t="s">
        <v>85</v>
      </c>
      <c r="F1855" s="18" t="s">
        <v>86</v>
      </c>
      <c r="G1855" s="18" t="s">
        <v>41</v>
      </c>
      <c r="H1855" s="18" t="s">
        <v>101</v>
      </c>
      <c r="I1855" s="18" t="s">
        <v>40</v>
      </c>
      <c r="J1855" s="18" t="s">
        <v>91</v>
      </c>
      <c r="K1855" s="18">
        <v>5</v>
      </c>
      <c r="L1855" s="20">
        <v>53549.58</v>
      </c>
      <c r="M1855" s="21">
        <v>0.1</v>
      </c>
      <c r="N1855" s="21">
        <v>0.67908136856855394</v>
      </c>
      <c r="O1855" s="20">
        <f t="shared" si="112"/>
        <v>240973.11000000002</v>
      </c>
      <c r="P1855" s="20">
        <f t="shared" si="113"/>
        <v>163640.3493270207</v>
      </c>
      <c r="Q1855" s="20">
        <f t="shared" si="114"/>
        <v>77332.760672979319</v>
      </c>
      <c r="R1855" s="22">
        <f t="shared" si="115"/>
        <v>0.32091863143144606</v>
      </c>
    </row>
    <row r="1856" spans="1:18">
      <c r="A1856" s="18">
        <v>2855</v>
      </c>
      <c r="B1856" s="19" t="s">
        <v>650</v>
      </c>
      <c r="C1856" s="18">
        <v>2025</v>
      </c>
      <c r="D1856" s="18" t="s">
        <v>53</v>
      </c>
      <c r="E1856" s="18" t="s">
        <v>79</v>
      </c>
      <c r="F1856" s="18" t="s">
        <v>105</v>
      </c>
      <c r="G1856" s="18" t="s">
        <v>41</v>
      </c>
      <c r="H1856" s="18" t="s">
        <v>106</v>
      </c>
      <c r="I1856" s="18" t="s">
        <v>46</v>
      </c>
      <c r="J1856" s="18" t="s">
        <v>82</v>
      </c>
      <c r="K1856" s="18">
        <v>12</v>
      </c>
      <c r="L1856" s="20">
        <v>2517.63</v>
      </c>
      <c r="M1856" s="21">
        <v>0</v>
      </c>
      <c r="N1856" s="21">
        <v>0.55456811603746503</v>
      </c>
      <c r="O1856" s="20">
        <f t="shared" si="112"/>
        <v>30211.56</v>
      </c>
      <c r="P1856" s="20">
        <f t="shared" si="113"/>
        <v>16754.367911752837</v>
      </c>
      <c r="Q1856" s="20">
        <f t="shared" si="114"/>
        <v>13457.192088247164</v>
      </c>
      <c r="R1856" s="22">
        <f t="shared" si="115"/>
        <v>0.44543188396253497</v>
      </c>
    </row>
    <row r="1857" spans="1:18">
      <c r="A1857" s="18">
        <v>2856</v>
      </c>
      <c r="B1857" s="19" t="s">
        <v>650</v>
      </c>
      <c r="C1857" s="18">
        <v>2025</v>
      </c>
      <c r="D1857" s="18" t="s">
        <v>53</v>
      </c>
      <c r="E1857" s="18" t="s">
        <v>88</v>
      </c>
      <c r="F1857" s="18" t="s">
        <v>93</v>
      </c>
      <c r="G1857" s="18" t="s">
        <v>44</v>
      </c>
      <c r="H1857" s="18" t="s">
        <v>95</v>
      </c>
      <c r="I1857" s="18" t="s">
        <v>62</v>
      </c>
      <c r="J1857" s="18" t="s">
        <v>102</v>
      </c>
      <c r="K1857" s="18">
        <v>6</v>
      </c>
      <c r="L1857" s="20">
        <v>4573.8</v>
      </c>
      <c r="M1857" s="21">
        <v>0</v>
      </c>
      <c r="N1857" s="21">
        <v>0.61055813163345996</v>
      </c>
      <c r="O1857" s="20">
        <f t="shared" si="112"/>
        <v>27442.800000000003</v>
      </c>
      <c r="P1857" s="20">
        <f t="shared" si="113"/>
        <v>16755.424694790716</v>
      </c>
      <c r="Q1857" s="20">
        <f t="shared" si="114"/>
        <v>10687.375305209287</v>
      </c>
      <c r="R1857" s="22">
        <f t="shared" si="115"/>
        <v>0.38944186836654004</v>
      </c>
    </row>
    <row r="1858" spans="1:18">
      <c r="A1858" s="18">
        <v>2857</v>
      </c>
      <c r="B1858" s="19" t="s">
        <v>650</v>
      </c>
      <c r="C1858" s="18">
        <v>2025</v>
      </c>
      <c r="D1858" s="18" t="s">
        <v>53</v>
      </c>
      <c r="E1858" s="18" t="s">
        <v>85</v>
      </c>
      <c r="F1858" s="18" t="s">
        <v>121</v>
      </c>
      <c r="G1858" s="18" t="s">
        <v>44</v>
      </c>
      <c r="H1858" s="18" t="s">
        <v>119</v>
      </c>
      <c r="I1858" s="18" t="s">
        <v>62</v>
      </c>
      <c r="J1858" s="18" t="s">
        <v>82</v>
      </c>
      <c r="K1858" s="18">
        <v>1</v>
      </c>
      <c r="L1858" s="20">
        <v>7053.58</v>
      </c>
      <c r="M1858" s="21">
        <v>0.1</v>
      </c>
      <c r="N1858" s="21">
        <v>0.56652956338288996</v>
      </c>
      <c r="O1858" s="20">
        <f t="shared" ref="O1858:O1921" si="116">K1858*L1858*(1-M1858)</f>
        <v>6348.2219999999998</v>
      </c>
      <c r="P1858" s="20">
        <f t="shared" ref="P1858:P1921" si="117">O1858*N1858</f>
        <v>3596.4554379176561</v>
      </c>
      <c r="Q1858" s="20">
        <f t="shared" ref="Q1858:Q1921" si="118">O1858-P1858</f>
        <v>2751.7665620823436</v>
      </c>
      <c r="R1858" s="22">
        <f t="shared" ref="R1858:R1921" si="119">IF(O1858=0,0,Q1858/O1858)</f>
        <v>0.43347043661711004</v>
      </c>
    </row>
    <row r="1859" spans="1:18">
      <c r="A1859" s="18">
        <v>2858</v>
      </c>
      <c r="B1859" s="19" t="s">
        <v>650</v>
      </c>
      <c r="C1859" s="18">
        <v>2025</v>
      </c>
      <c r="D1859" s="18" t="s">
        <v>53</v>
      </c>
      <c r="E1859" s="18" t="s">
        <v>85</v>
      </c>
      <c r="F1859" s="18" t="s">
        <v>86</v>
      </c>
      <c r="G1859" s="18" t="s">
        <v>41</v>
      </c>
      <c r="H1859" s="18" t="s">
        <v>101</v>
      </c>
      <c r="I1859" s="18" t="s">
        <v>56</v>
      </c>
      <c r="J1859" s="18" t="s">
        <v>82</v>
      </c>
      <c r="K1859" s="18">
        <v>11</v>
      </c>
      <c r="L1859" s="20">
        <v>53080.12</v>
      </c>
      <c r="M1859" s="21">
        <v>0</v>
      </c>
      <c r="N1859" s="21">
        <v>0.57311191887743096</v>
      </c>
      <c r="O1859" s="20">
        <f t="shared" si="116"/>
        <v>583881.32000000007</v>
      </c>
      <c r="P1859" s="20">
        <f t="shared" si="117"/>
        <v>334629.34370188735</v>
      </c>
      <c r="Q1859" s="20">
        <f t="shared" si="118"/>
        <v>249251.97629811271</v>
      </c>
      <c r="R1859" s="22">
        <f t="shared" si="119"/>
        <v>0.42688808112256904</v>
      </c>
    </row>
    <row r="1860" spans="1:18">
      <c r="A1860" s="18">
        <v>2859</v>
      </c>
      <c r="B1860" s="19" t="s">
        <v>651</v>
      </c>
      <c r="C1860" s="18">
        <v>2025</v>
      </c>
      <c r="D1860" s="18" t="s">
        <v>53</v>
      </c>
      <c r="E1860" s="18" t="s">
        <v>79</v>
      </c>
      <c r="F1860" s="18" t="s">
        <v>80</v>
      </c>
      <c r="G1860" s="18" t="s">
        <v>50</v>
      </c>
      <c r="H1860" s="18" t="s">
        <v>97</v>
      </c>
      <c r="I1860" s="18" t="s">
        <v>58</v>
      </c>
      <c r="J1860" s="18" t="s">
        <v>102</v>
      </c>
      <c r="K1860" s="18">
        <v>3</v>
      </c>
      <c r="L1860" s="20">
        <v>11464.2</v>
      </c>
      <c r="M1860" s="21">
        <v>0.15</v>
      </c>
      <c r="N1860" s="21">
        <v>0.70427538118663602</v>
      </c>
      <c r="O1860" s="20">
        <f t="shared" si="116"/>
        <v>29233.710000000003</v>
      </c>
      <c r="P1860" s="20">
        <f t="shared" si="117"/>
        <v>20588.582253749577</v>
      </c>
      <c r="Q1860" s="20">
        <f t="shared" si="118"/>
        <v>8645.1277462504258</v>
      </c>
      <c r="R1860" s="22">
        <f t="shared" si="119"/>
        <v>0.29572461881336393</v>
      </c>
    </row>
    <row r="1861" spans="1:18">
      <c r="A1861" s="18">
        <v>2860</v>
      </c>
      <c r="B1861" s="19" t="s">
        <v>651</v>
      </c>
      <c r="C1861" s="18">
        <v>2025</v>
      </c>
      <c r="D1861" s="18" t="s">
        <v>53</v>
      </c>
      <c r="E1861" s="18" t="s">
        <v>79</v>
      </c>
      <c r="F1861" s="18" t="s">
        <v>100</v>
      </c>
      <c r="G1861" s="18" t="s">
        <v>41</v>
      </c>
      <c r="H1861" s="18" t="s">
        <v>112</v>
      </c>
      <c r="I1861" s="18" t="s">
        <v>56</v>
      </c>
      <c r="J1861" s="18" t="s">
        <v>82</v>
      </c>
      <c r="K1861" s="18">
        <v>3</v>
      </c>
      <c r="L1861" s="20">
        <v>6247.97</v>
      </c>
      <c r="M1861" s="21">
        <v>0</v>
      </c>
      <c r="N1861" s="21">
        <v>0.57419135811553601</v>
      </c>
      <c r="O1861" s="20">
        <f t="shared" si="116"/>
        <v>18743.91</v>
      </c>
      <c r="P1861" s="20">
        <f t="shared" si="117"/>
        <v>10762.591139295377</v>
      </c>
      <c r="Q1861" s="20">
        <f t="shared" si="118"/>
        <v>7981.3188607046231</v>
      </c>
      <c r="R1861" s="22">
        <f t="shared" si="119"/>
        <v>0.42580864188446399</v>
      </c>
    </row>
    <row r="1862" spans="1:18">
      <c r="A1862" s="18">
        <v>2861</v>
      </c>
      <c r="B1862" s="19" t="s">
        <v>651</v>
      </c>
      <c r="C1862" s="18">
        <v>2025</v>
      </c>
      <c r="D1862" s="18" t="s">
        <v>53</v>
      </c>
      <c r="E1862" s="18" t="s">
        <v>79</v>
      </c>
      <c r="F1862" s="18" t="s">
        <v>105</v>
      </c>
      <c r="G1862" s="18" t="s">
        <v>44</v>
      </c>
      <c r="H1862" s="18" t="s">
        <v>95</v>
      </c>
      <c r="I1862" s="18" t="s">
        <v>54</v>
      </c>
      <c r="J1862" s="18" t="s">
        <v>102</v>
      </c>
      <c r="K1862" s="18">
        <v>12</v>
      </c>
      <c r="L1862" s="20">
        <v>4691.49</v>
      </c>
      <c r="M1862" s="21">
        <v>0.1</v>
      </c>
      <c r="N1862" s="21">
        <v>0.73648048229317897</v>
      </c>
      <c r="O1862" s="20">
        <f t="shared" si="116"/>
        <v>50668.091999999997</v>
      </c>
      <c r="P1862" s="20">
        <f t="shared" si="117"/>
        <v>37316.060833035161</v>
      </c>
      <c r="Q1862" s="20">
        <f t="shared" si="118"/>
        <v>13352.031166964836</v>
      </c>
      <c r="R1862" s="22">
        <f t="shared" si="119"/>
        <v>0.26351951770682103</v>
      </c>
    </row>
    <row r="1863" spans="1:18">
      <c r="A1863" s="18">
        <v>2862</v>
      </c>
      <c r="B1863" s="19" t="s">
        <v>652</v>
      </c>
      <c r="C1863" s="18">
        <v>2025</v>
      </c>
      <c r="D1863" s="18" t="s">
        <v>53</v>
      </c>
      <c r="E1863" s="18" t="s">
        <v>88</v>
      </c>
      <c r="F1863" s="18" t="s">
        <v>110</v>
      </c>
      <c r="G1863" s="18" t="s">
        <v>47</v>
      </c>
      <c r="H1863" s="18" t="s">
        <v>103</v>
      </c>
      <c r="I1863" s="18" t="s">
        <v>49</v>
      </c>
      <c r="J1863" s="18" t="s">
        <v>91</v>
      </c>
      <c r="K1863" s="18">
        <v>7</v>
      </c>
      <c r="L1863" s="20">
        <v>3147.94</v>
      </c>
      <c r="M1863" s="21">
        <v>0.15</v>
      </c>
      <c r="N1863" s="21">
        <v>0.55268181362798396</v>
      </c>
      <c r="O1863" s="20">
        <f t="shared" si="116"/>
        <v>18730.243000000002</v>
      </c>
      <c r="P1863" s="20">
        <f t="shared" si="117"/>
        <v>10351.864670932853</v>
      </c>
      <c r="Q1863" s="20">
        <f t="shared" si="118"/>
        <v>8378.378329067149</v>
      </c>
      <c r="R1863" s="22">
        <f t="shared" si="119"/>
        <v>0.44731818637201598</v>
      </c>
    </row>
    <row r="1864" spans="1:18">
      <c r="A1864" s="18">
        <v>2863</v>
      </c>
      <c r="B1864" s="19" t="s">
        <v>652</v>
      </c>
      <c r="C1864" s="18">
        <v>2025</v>
      </c>
      <c r="D1864" s="18" t="s">
        <v>53</v>
      </c>
      <c r="E1864" s="18" t="s">
        <v>88</v>
      </c>
      <c r="F1864" s="18" t="s">
        <v>89</v>
      </c>
      <c r="G1864" s="18" t="s">
        <v>47</v>
      </c>
      <c r="H1864" s="18" t="s">
        <v>103</v>
      </c>
      <c r="I1864" s="18" t="s">
        <v>43</v>
      </c>
      <c r="J1864" s="18" t="s">
        <v>82</v>
      </c>
      <c r="K1864" s="18">
        <v>5</v>
      </c>
      <c r="L1864" s="20">
        <v>3096.36</v>
      </c>
      <c r="M1864" s="21">
        <v>0</v>
      </c>
      <c r="N1864" s="21">
        <v>0.60689008686350199</v>
      </c>
      <c r="O1864" s="20">
        <f t="shared" si="116"/>
        <v>15481.800000000001</v>
      </c>
      <c r="P1864" s="20">
        <f t="shared" si="117"/>
        <v>9395.7509468033659</v>
      </c>
      <c r="Q1864" s="20">
        <f t="shared" si="118"/>
        <v>6086.0490531966352</v>
      </c>
      <c r="R1864" s="22">
        <f t="shared" si="119"/>
        <v>0.39310991313649801</v>
      </c>
    </row>
    <row r="1865" spans="1:18">
      <c r="A1865" s="18">
        <v>2864</v>
      </c>
      <c r="B1865" s="19" t="s">
        <v>652</v>
      </c>
      <c r="C1865" s="18">
        <v>2025</v>
      </c>
      <c r="D1865" s="18" t="s">
        <v>53</v>
      </c>
      <c r="E1865" s="18" t="s">
        <v>85</v>
      </c>
      <c r="F1865" s="18" t="s">
        <v>94</v>
      </c>
      <c r="G1865" s="18" t="s">
        <v>44</v>
      </c>
      <c r="H1865" s="18" t="s">
        <v>114</v>
      </c>
      <c r="I1865" s="18" t="s">
        <v>40</v>
      </c>
      <c r="J1865" s="18" t="s">
        <v>102</v>
      </c>
      <c r="K1865" s="18">
        <v>11</v>
      </c>
      <c r="L1865" s="20">
        <v>8843.98</v>
      </c>
      <c r="M1865" s="21">
        <v>0</v>
      </c>
      <c r="N1865" s="21">
        <v>0.58002561568666</v>
      </c>
      <c r="O1865" s="20">
        <f t="shared" si="116"/>
        <v>97283.78</v>
      </c>
      <c r="P1865" s="20">
        <f t="shared" si="117"/>
        <v>56427.084390825577</v>
      </c>
      <c r="Q1865" s="20">
        <f t="shared" si="118"/>
        <v>40856.695609174421</v>
      </c>
      <c r="R1865" s="22">
        <f t="shared" si="119"/>
        <v>0.41997438431334</v>
      </c>
    </row>
    <row r="1866" spans="1:18">
      <c r="A1866" s="18">
        <v>2865</v>
      </c>
      <c r="B1866" s="19" t="s">
        <v>653</v>
      </c>
      <c r="C1866" s="18">
        <v>2025</v>
      </c>
      <c r="D1866" s="18" t="s">
        <v>53</v>
      </c>
      <c r="E1866" s="18" t="s">
        <v>85</v>
      </c>
      <c r="F1866" s="18" t="s">
        <v>86</v>
      </c>
      <c r="G1866" s="18" t="s">
        <v>41</v>
      </c>
      <c r="H1866" s="18" t="s">
        <v>101</v>
      </c>
      <c r="I1866" s="18" t="s">
        <v>54</v>
      </c>
      <c r="J1866" s="18" t="s">
        <v>91</v>
      </c>
      <c r="K1866" s="18">
        <v>12</v>
      </c>
      <c r="L1866" s="20">
        <v>54342.73</v>
      </c>
      <c r="M1866" s="21">
        <v>0</v>
      </c>
      <c r="N1866" s="21">
        <v>0.71209292224364296</v>
      </c>
      <c r="O1866" s="20">
        <f t="shared" si="116"/>
        <v>652112.76</v>
      </c>
      <c r="P1866" s="20">
        <f t="shared" si="117"/>
        <v>464364.8809007674</v>
      </c>
      <c r="Q1866" s="20">
        <f t="shared" si="118"/>
        <v>187747.87909923261</v>
      </c>
      <c r="R1866" s="22">
        <f t="shared" si="119"/>
        <v>0.28790707775635704</v>
      </c>
    </row>
    <row r="1867" spans="1:18">
      <c r="A1867" s="18">
        <v>2866</v>
      </c>
      <c r="B1867" s="19" t="s">
        <v>653</v>
      </c>
      <c r="C1867" s="18">
        <v>2025</v>
      </c>
      <c r="D1867" s="18" t="s">
        <v>53</v>
      </c>
      <c r="E1867" s="18" t="s">
        <v>79</v>
      </c>
      <c r="F1867" s="18" t="s">
        <v>100</v>
      </c>
      <c r="G1867" s="18" t="s">
        <v>47</v>
      </c>
      <c r="H1867" s="18" t="s">
        <v>81</v>
      </c>
      <c r="I1867" s="18" t="s">
        <v>62</v>
      </c>
      <c r="J1867" s="18" t="s">
        <v>91</v>
      </c>
      <c r="K1867" s="18">
        <v>1</v>
      </c>
      <c r="L1867" s="20">
        <v>822.11</v>
      </c>
      <c r="M1867" s="21">
        <v>0</v>
      </c>
      <c r="N1867" s="21">
        <v>0.74377710141798004</v>
      </c>
      <c r="O1867" s="20">
        <f t="shared" si="116"/>
        <v>822.11</v>
      </c>
      <c r="P1867" s="20">
        <f t="shared" si="117"/>
        <v>611.46659284673558</v>
      </c>
      <c r="Q1867" s="20">
        <f t="shared" si="118"/>
        <v>210.64340715326443</v>
      </c>
      <c r="R1867" s="22">
        <f t="shared" si="119"/>
        <v>0.25622289858201996</v>
      </c>
    </row>
    <row r="1868" spans="1:18">
      <c r="A1868" s="18">
        <v>2867</v>
      </c>
      <c r="B1868" s="19" t="s">
        <v>653</v>
      </c>
      <c r="C1868" s="18">
        <v>2025</v>
      </c>
      <c r="D1868" s="18" t="s">
        <v>53</v>
      </c>
      <c r="E1868" s="18" t="s">
        <v>79</v>
      </c>
      <c r="F1868" s="18" t="s">
        <v>100</v>
      </c>
      <c r="G1868" s="18" t="s">
        <v>47</v>
      </c>
      <c r="H1868" s="18" t="s">
        <v>81</v>
      </c>
      <c r="I1868" s="18" t="s">
        <v>56</v>
      </c>
      <c r="J1868" s="18" t="s">
        <v>91</v>
      </c>
      <c r="K1868" s="18">
        <v>9</v>
      </c>
      <c r="L1868" s="20">
        <v>786.13</v>
      </c>
      <c r="M1868" s="21">
        <v>0.05</v>
      </c>
      <c r="N1868" s="21">
        <v>0.62747374967775504</v>
      </c>
      <c r="O1868" s="20">
        <f t="shared" si="116"/>
        <v>6721.4115000000002</v>
      </c>
      <c r="P1868" s="20">
        <f t="shared" si="117"/>
        <v>4217.5092770321844</v>
      </c>
      <c r="Q1868" s="20">
        <f t="shared" si="118"/>
        <v>2503.9022229678158</v>
      </c>
      <c r="R1868" s="22">
        <f t="shared" si="119"/>
        <v>0.3725262503222449</v>
      </c>
    </row>
    <row r="1869" spans="1:18">
      <c r="A1869" s="18">
        <v>2868</v>
      </c>
      <c r="B1869" s="19" t="s">
        <v>653</v>
      </c>
      <c r="C1869" s="18">
        <v>2025</v>
      </c>
      <c r="D1869" s="18" t="s">
        <v>53</v>
      </c>
      <c r="E1869" s="18" t="s">
        <v>88</v>
      </c>
      <c r="F1869" s="18" t="s">
        <v>110</v>
      </c>
      <c r="G1869" s="18" t="s">
        <v>41</v>
      </c>
      <c r="H1869" s="18" t="s">
        <v>106</v>
      </c>
      <c r="I1869" s="18" t="s">
        <v>43</v>
      </c>
      <c r="J1869" s="18" t="s">
        <v>102</v>
      </c>
      <c r="K1869" s="18">
        <v>3</v>
      </c>
      <c r="L1869" s="20">
        <v>2381.41</v>
      </c>
      <c r="M1869" s="21">
        <v>0.1</v>
      </c>
      <c r="N1869" s="21">
        <v>0.73603704579743101</v>
      </c>
      <c r="O1869" s="20">
        <f t="shared" si="116"/>
        <v>6429.8069999999998</v>
      </c>
      <c r="P1869" s="20">
        <f t="shared" si="117"/>
        <v>4732.5761493276423</v>
      </c>
      <c r="Q1869" s="20">
        <f t="shared" si="118"/>
        <v>1697.2308506723575</v>
      </c>
      <c r="R1869" s="22">
        <f t="shared" si="119"/>
        <v>0.26396295420256899</v>
      </c>
    </row>
    <row r="1870" spans="1:18">
      <c r="A1870" s="18">
        <v>2869</v>
      </c>
      <c r="B1870" s="19" t="s">
        <v>654</v>
      </c>
      <c r="C1870" s="18">
        <v>2025</v>
      </c>
      <c r="D1870" s="18" t="s">
        <v>53</v>
      </c>
      <c r="E1870" s="18" t="s">
        <v>79</v>
      </c>
      <c r="F1870" s="18" t="s">
        <v>105</v>
      </c>
      <c r="G1870" s="18" t="s">
        <v>44</v>
      </c>
      <c r="H1870" s="18" t="s">
        <v>114</v>
      </c>
      <c r="I1870" s="18" t="s">
        <v>49</v>
      </c>
      <c r="J1870" s="18" t="s">
        <v>102</v>
      </c>
      <c r="K1870" s="18">
        <v>8</v>
      </c>
      <c r="L1870" s="20">
        <v>8800.14</v>
      </c>
      <c r="M1870" s="21">
        <v>0</v>
      </c>
      <c r="N1870" s="21">
        <v>0.66981336119685297</v>
      </c>
      <c r="O1870" s="20">
        <f t="shared" si="116"/>
        <v>70401.119999999995</v>
      </c>
      <c r="P1870" s="20">
        <f t="shared" si="117"/>
        <v>47155.610819222988</v>
      </c>
      <c r="Q1870" s="20">
        <f t="shared" si="118"/>
        <v>23245.509180777008</v>
      </c>
      <c r="R1870" s="22">
        <f t="shared" si="119"/>
        <v>0.33018663880314703</v>
      </c>
    </row>
    <row r="1871" spans="1:18">
      <c r="A1871" s="18">
        <v>2870</v>
      </c>
      <c r="B1871" s="19" t="s">
        <v>654</v>
      </c>
      <c r="C1871" s="18">
        <v>2025</v>
      </c>
      <c r="D1871" s="18" t="s">
        <v>53</v>
      </c>
      <c r="E1871" s="18" t="s">
        <v>79</v>
      </c>
      <c r="F1871" s="18" t="s">
        <v>105</v>
      </c>
      <c r="G1871" s="18" t="s">
        <v>41</v>
      </c>
      <c r="H1871" s="18" t="s">
        <v>112</v>
      </c>
      <c r="I1871" s="18" t="s">
        <v>56</v>
      </c>
      <c r="J1871" s="18" t="s">
        <v>102</v>
      </c>
      <c r="K1871" s="18">
        <v>1</v>
      </c>
      <c r="L1871" s="20">
        <v>5947.4</v>
      </c>
      <c r="M1871" s="21">
        <v>0</v>
      </c>
      <c r="N1871" s="21">
        <v>0.57529655525089896</v>
      </c>
      <c r="O1871" s="20">
        <f t="shared" si="116"/>
        <v>5947.4</v>
      </c>
      <c r="P1871" s="20">
        <f t="shared" si="117"/>
        <v>3421.5187326991963</v>
      </c>
      <c r="Q1871" s="20">
        <f t="shared" si="118"/>
        <v>2525.8812673008033</v>
      </c>
      <c r="R1871" s="22">
        <f t="shared" si="119"/>
        <v>0.42470344474910104</v>
      </c>
    </row>
    <row r="1872" spans="1:18">
      <c r="A1872" s="18">
        <v>2871</v>
      </c>
      <c r="B1872" s="19" t="s">
        <v>654</v>
      </c>
      <c r="C1872" s="18">
        <v>2025</v>
      </c>
      <c r="D1872" s="18" t="s">
        <v>53</v>
      </c>
      <c r="E1872" s="18" t="s">
        <v>98</v>
      </c>
      <c r="F1872" s="18" t="s">
        <v>99</v>
      </c>
      <c r="G1872" s="18" t="s">
        <v>41</v>
      </c>
      <c r="H1872" s="18" t="s">
        <v>106</v>
      </c>
      <c r="I1872" s="18" t="s">
        <v>54</v>
      </c>
      <c r="J1872" s="18" t="s">
        <v>91</v>
      </c>
      <c r="K1872" s="18">
        <v>3</v>
      </c>
      <c r="L1872" s="20">
        <v>2581.94</v>
      </c>
      <c r="M1872" s="21">
        <v>0.2</v>
      </c>
      <c r="N1872" s="21">
        <v>0.67634694671935003</v>
      </c>
      <c r="O1872" s="20">
        <f t="shared" si="116"/>
        <v>6196.6559999999999</v>
      </c>
      <c r="P1872" s="20">
        <f t="shared" si="117"/>
        <v>4191.0893654701404</v>
      </c>
      <c r="Q1872" s="20">
        <f t="shared" si="118"/>
        <v>2005.5666345298596</v>
      </c>
      <c r="R1872" s="22">
        <f t="shared" si="119"/>
        <v>0.32365305328065003</v>
      </c>
    </row>
    <row r="1873" spans="1:18">
      <c r="A1873" s="18">
        <v>2872</v>
      </c>
      <c r="B1873" s="19" t="s">
        <v>654</v>
      </c>
      <c r="C1873" s="18">
        <v>2025</v>
      </c>
      <c r="D1873" s="18" t="s">
        <v>53</v>
      </c>
      <c r="E1873" s="18" t="s">
        <v>79</v>
      </c>
      <c r="F1873" s="18" t="s">
        <v>100</v>
      </c>
      <c r="G1873" s="18" t="s">
        <v>47</v>
      </c>
      <c r="H1873" s="18" t="s">
        <v>81</v>
      </c>
      <c r="I1873" s="18" t="s">
        <v>49</v>
      </c>
      <c r="J1873" s="18" t="s">
        <v>82</v>
      </c>
      <c r="K1873" s="18">
        <v>2</v>
      </c>
      <c r="L1873" s="20">
        <v>761.35</v>
      </c>
      <c r="M1873" s="21">
        <v>0.05</v>
      </c>
      <c r="N1873" s="21">
        <v>0.73159610167905098</v>
      </c>
      <c r="O1873" s="20">
        <f t="shared" si="116"/>
        <v>1446.5650000000001</v>
      </c>
      <c r="P1873" s="20">
        <f t="shared" si="117"/>
        <v>1058.3013148253565</v>
      </c>
      <c r="Q1873" s="20">
        <f t="shared" si="118"/>
        <v>388.26368517464357</v>
      </c>
      <c r="R1873" s="22">
        <f t="shared" si="119"/>
        <v>0.26840389832094896</v>
      </c>
    </row>
    <row r="1874" spans="1:18">
      <c r="A1874" s="18">
        <v>2873</v>
      </c>
      <c r="B1874" s="19" t="s">
        <v>654</v>
      </c>
      <c r="C1874" s="18">
        <v>2025</v>
      </c>
      <c r="D1874" s="18" t="s">
        <v>53</v>
      </c>
      <c r="E1874" s="18" t="s">
        <v>85</v>
      </c>
      <c r="F1874" s="18" t="s">
        <v>121</v>
      </c>
      <c r="G1874" s="18" t="s">
        <v>50</v>
      </c>
      <c r="H1874" s="18" t="s">
        <v>97</v>
      </c>
      <c r="I1874" s="18" t="s">
        <v>56</v>
      </c>
      <c r="J1874" s="18" t="s">
        <v>91</v>
      </c>
      <c r="K1874" s="18">
        <v>10</v>
      </c>
      <c r="L1874" s="20">
        <v>11477.86</v>
      </c>
      <c r="M1874" s="21">
        <v>0.1</v>
      </c>
      <c r="N1874" s="21">
        <v>0.66802457969943996</v>
      </c>
      <c r="O1874" s="20">
        <f t="shared" si="116"/>
        <v>103300.74</v>
      </c>
      <c r="P1874" s="20">
        <f t="shared" si="117"/>
        <v>69007.433421141133</v>
      </c>
      <c r="Q1874" s="20">
        <f t="shared" si="118"/>
        <v>34293.306578858872</v>
      </c>
      <c r="R1874" s="22">
        <f t="shared" si="119"/>
        <v>0.33197542030055999</v>
      </c>
    </row>
    <row r="1875" spans="1:18">
      <c r="A1875" s="18">
        <v>2874</v>
      </c>
      <c r="B1875" s="19" t="s">
        <v>655</v>
      </c>
      <c r="C1875" s="18">
        <v>2025</v>
      </c>
      <c r="D1875" s="18" t="s">
        <v>53</v>
      </c>
      <c r="E1875" s="18" t="s">
        <v>98</v>
      </c>
      <c r="F1875" s="18" t="s">
        <v>109</v>
      </c>
      <c r="G1875" s="18" t="s">
        <v>50</v>
      </c>
      <c r="H1875" s="18" t="s">
        <v>83</v>
      </c>
      <c r="I1875" s="18" t="s">
        <v>49</v>
      </c>
      <c r="J1875" s="18" t="s">
        <v>91</v>
      </c>
      <c r="K1875" s="18">
        <v>8</v>
      </c>
      <c r="L1875" s="20">
        <v>3619.55</v>
      </c>
      <c r="M1875" s="21">
        <v>0</v>
      </c>
      <c r="N1875" s="21">
        <v>0.71735404105497602</v>
      </c>
      <c r="O1875" s="20">
        <f t="shared" si="116"/>
        <v>28956.400000000001</v>
      </c>
      <c r="P1875" s="20">
        <f t="shared" si="117"/>
        <v>20771.99055440431</v>
      </c>
      <c r="Q1875" s="20">
        <f t="shared" si="118"/>
        <v>8184.4094455956911</v>
      </c>
      <c r="R1875" s="22">
        <f t="shared" si="119"/>
        <v>0.28264595894502392</v>
      </c>
    </row>
    <row r="1876" spans="1:18">
      <c r="A1876" s="18">
        <v>2875</v>
      </c>
      <c r="B1876" s="19" t="s">
        <v>655</v>
      </c>
      <c r="C1876" s="18">
        <v>2025</v>
      </c>
      <c r="D1876" s="18" t="s">
        <v>53</v>
      </c>
      <c r="E1876" s="18" t="s">
        <v>98</v>
      </c>
      <c r="F1876" s="18" t="s">
        <v>109</v>
      </c>
      <c r="G1876" s="18" t="s">
        <v>50</v>
      </c>
      <c r="H1876" s="18" t="s">
        <v>83</v>
      </c>
      <c r="I1876" s="18" t="s">
        <v>43</v>
      </c>
      <c r="J1876" s="18" t="s">
        <v>82</v>
      </c>
      <c r="K1876" s="18">
        <v>9</v>
      </c>
      <c r="L1876" s="20">
        <v>3345.79</v>
      </c>
      <c r="M1876" s="21">
        <v>0</v>
      </c>
      <c r="N1876" s="21">
        <v>0.709451810693146</v>
      </c>
      <c r="O1876" s="20">
        <f t="shared" si="116"/>
        <v>30112.11</v>
      </c>
      <c r="P1876" s="20">
        <f t="shared" si="117"/>
        <v>21363.09096329119</v>
      </c>
      <c r="Q1876" s="20">
        <f t="shared" si="118"/>
        <v>8749.0190367088107</v>
      </c>
      <c r="R1876" s="22">
        <f t="shared" si="119"/>
        <v>0.290548189306854</v>
      </c>
    </row>
    <row r="1877" spans="1:18">
      <c r="A1877" s="18">
        <v>2876</v>
      </c>
      <c r="B1877" s="19" t="s">
        <v>655</v>
      </c>
      <c r="C1877" s="18">
        <v>2025</v>
      </c>
      <c r="D1877" s="18" t="s">
        <v>53</v>
      </c>
      <c r="E1877" s="18" t="s">
        <v>79</v>
      </c>
      <c r="F1877" s="18" t="s">
        <v>100</v>
      </c>
      <c r="G1877" s="18" t="s">
        <v>44</v>
      </c>
      <c r="H1877" s="18" t="s">
        <v>119</v>
      </c>
      <c r="I1877" s="18" t="s">
        <v>56</v>
      </c>
      <c r="J1877" s="18" t="s">
        <v>102</v>
      </c>
      <c r="K1877" s="18">
        <v>4</v>
      </c>
      <c r="L1877" s="20">
        <v>6720.26</v>
      </c>
      <c r="M1877" s="21">
        <v>0.1</v>
      </c>
      <c r="N1877" s="21">
        <v>0.60523399824417301</v>
      </c>
      <c r="O1877" s="20">
        <f t="shared" si="116"/>
        <v>24192.936000000002</v>
      </c>
      <c r="P1877" s="20">
        <f t="shared" si="117"/>
        <v>14642.387384545391</v>
      </c>
      <c r="Q1877" s="20">
        <f t="shared" si="118"/>
        <v>9550.5486154546106</v>
      </c>
      <c r="R1877" s="22">
        <f t="shared" si="119"/>
        <v>0.39476600175582699</v>
      </c>
    </row>
    <row r="1878" spans="1:18">
      <c r="A1878" s="18">
        <v>2877</v>
      </c>
      <c r="B1878" s="19" t="s">
        <v>655</v>
      </c>
      <c r="C1878" s="18">
        <v>2025</v>
      </c>
      <c r="D1878" s="18" t="s">
        <v>53</v>
      </c>
      <c r="E1878" s="18" t="s">
        <v>79</v>
      </c>
      <c r="F1878" s="18" t="s">
        <v>105</v>
      </c>
      <c r="G1878" s="18" t="s">
        <v>44</v>
      </c>
      <c r="H1878" s="18" t="s">
        <v>114</v>
      </c>
      <c r="I1878" s="18" t="s">
        <v>60</v>
      </c>
      <c r="J1878" s="18" t="s">
        <v>82</v>
      </c>
      <c r="K1878" s="18">
        <v>9</v>
      </c>
      <c r="L1878" s="20">
        <v>8561.82</v>
      </c>
      <c r="M1878" s="21">
        <v>0</v>
      </c>
      <c r="N1878" s="21">
        <v>0.71246723342949603</v>
      </c>
      <c r="O1878" s="20">
        <f t="shared" si="116"/>
        <v>77056.38</v>
      </c>
      <c r="P1878" s="20">
        <f t="shared" si="117"/>
        <v>54900.145876691953</v>
      </c>
      <c r="Q1878" s="20">
        <f t="shared" si="118"/>
        <v>22156.234123308051</v>
      </c>
      <c r="R1878" s="22">
        <f t="shared" si="119"/>
        <v>0.28753276657050397</v>
      </c>
    </row>
    <row r="1879" spans="1:18">
      <c r="A1879" s="18">
        <v>2878</v>
      </c>
      <c r="B1879" s="19" t="s">
        <v>656</v>
      </c>
      <c r="C1879" s="18">
        <v>2025</v>
      </c>
      <c r="D1879" s="18" t="s">
        <v>53</v>
      </c>
      <c r="E1879" s="18" t="s">
        <v>85</v>
      </c>
      <c r="F1879" s="18" t="s">
        <v>86</v>
      </c>
      <c r="G1879" s="18" t="s">
        <v>44</v>
      </c>
      <c r="H1879" s="18" t="s">
        <v>95</v>
      </c>
      <c r="I1879" s="18" t="s">
        <v>40</v>
      </c>
      <c r="J1879" s="18" t="s">
        <v>102</v>
      </c>
      <c r="K1879" s="18">
        <v>2</v>
      </c>
      <c r="L1879" s="20">
        <v>4713.3900000000003</v>
      </c>
      <c r="M1879" s="21">
        <v>0.2</v>
      </c>
      <c r="N1879" s="21">
        <v>0.56216048816361297</v>
      </c>
      <c r="O1879" s="20">
        <f t="shared" si="116"/>
        <v>7541.4240000000009</v>
      </c>
      <c r="P1879" s="20">
        <f t="shared" si="117"/>
        <v>4239.4905972887873</v>
      </c>
      <c r="Q1879" s="20">
        <f t="shared" si="118"/>
        <v>3301.9334027112136</v>
      </c>
      <c r="R1879" s="22">
        <f t="shared" si="119"/>
        <v>0.43783951183638703</v>
      </c>
    </row>
    <row r="1880" spans="1:18">
      <c r="A1880" s="18">
        <v>2879</v>
      </c>
      <c r="B1880" s="19" t="s">
        <v>656</v>
      </c>
      <c r="C1880" s="18">
        <v>2025</v>
      </c>
      <c r="D1880" s="18" t="s">
        <v>53</v>
      </c>
      <c r="E1880" s="18" t="s">
        <v>79</v>
      </c>
      <c r="F1880" s="18" t="s">
        <v>100</v>
      </c>
      <c r="G1880" s="18" t="s">
        <v>41</v>
      </c>
      <c r="H1880" s="18" t="s">
        <v>112</v>
      </c>
      <c r="I1880" s="18" t="s">
        <v>58</v>
      </c>
      <c r="J1880" s="18" t="s">
        <v>82</v>
      </c>
      <c r="K1880" s="18">
        <v>4</v>
      </c>
      <c r="L1880" s="20">
        <v>5732.33</v>
      </c>
      <c r="M1880" s="21">
        <v>0.2</v>
      </c>
      <c r="N1880" s="21">
        <v>0.59583780069967995</v>
      </c>
      <c r="O1880" s="20">
        <f t="shared" si="116"/>
        <v>18343.456000000002</v>
      </c>
      <c r="P1880" s="20">
        <f t="shared" si="117"/>
        <v>10929.72448027135</v>
      </c>
      <c r="Q1880" s="20">
        <f t="shared" si="118"/>
        <v>7413.7315197286516</v>
      </c>
      <c r="R1880" s="22">
        <f t="shared" si="119"/>
        <v>0.40416219930031999</v>
      </c>
    </row>
    <row r="1881" spans="1:18">
      <c r="A1881" s="18">
        <v>2880</v>
      </c>
      <c r="B1881" s="19" t="s">
        <v>656</v>
      </c>
      <c r="C1881" s="18">
        <v>2025</v>
      </c>
      <c r="D1881" s="18" t="s">
        <v>53</v>
      </c>
      <c r="E1881" s="18" t="s">
        <v>79</v>
      </c>
      <c r="F1881" s="18" t="s">
        <v>100</v>
      </c>
      <c r="G1881" s="18" t="s">
        <v>47</v>
      </c>
      <c r="H1881" s="18" t="s">
        <v>107</v>
      </c>
      <c r="I1881" s="18" t="s">
        <v>60</v>
      </c>
      <c r="J1881" s="18" t="s">
        <v>91</v>
      </c>
      <c r="K1881" s="18">
        <v>8</v>
      </c>
      <c r="L1881" s="20">
        <v>2156.0500000000002</v>
      </c>
      <c r="M1881" s="21">
        <v>0.1</v>
      </c>
      <c r="N1881" s="21">
        <v>0.584996125272223</v>
      </c>
      <c r="O1881" s="20">
        <f t="shared" si="116"/>
        <v>15523.560000000001</v>
      </c>
      <c r="P1881" s="20">
        <f t="shared" si="117"/>
        <v>9081.2224504308706</v>
      </c>
      <c r="Q1881" s="20">
        <f t="shared" si="118"/>
        <v>6442.3375495691307</v>
      </c>
      <c r="R1881" s="22">
        <f t="shared" si="119"/>
        <v>0.415003874727777</v>
      </c>
    </row>
    <row r="1882" spans="1:18">
      <c r="A1882" s="18">
        <v>2881</v>
      </c>
      <c r="B1882" s="19" t="s">
        <v>656</v>
      </c>
      <c r="C1882" s="18">
        <v>2025</v>
      </c>
      <c r="D1882" s="18" t="s">
        <v>53</v>
      </c>
      <c r="E1882" s="18" t="s">
        <v>88</v>
      </c>
      <c r="F1882" s="18" t="s">
        <v>110</v>
      </c>
      <c r="G1882" s="18" t="s">
        <v>41</v>
      </c>
      <c r="H1882" s="18" t="s">
        <v>112</v>
      </c>
      <c r="I1882" s="18" t="s">
        <v>46</v>
      </c>
      <c r="J1882" s="18" t="s">
        <v>91</v>
      </c>
      <c r="K1882" s="18">
        <v>9</v>
      </c>
      <c r="L1882" s="20">
        <v>6215.64</v>
      </c>
      <c r="M1882" s="21">
        <v>0.2</v>
      </c>
      <c r="N1882" s="21">
        <v>0.62106670356813098</v>
      </c>
      <c r="O1882" s="20">
        <f t="shared" si="116"/>
        <v>44752.608000000007</v>
      </c>
      <c r="P1882" s="20">
        <f t="shared" si="117"/>
        <v>27794.354726636771</v>
      </c>
      <c r="Q1882" s="20">
        <f t="shared" si="118"/>
        <v>16958.253273363236</v>
      </c>
      <c r="R1882" s="22">
        <f t="shared" si="119"/>
        <v>0.37893329643186902</v>
      </c>
    </row>
    <row r="1883" spans="1:18">
      <c r="A1883" s="18">
        <v>2882</v>
      </c>
      <c r="B1883" s="19" t="s">
        <v>657</v>
      </c>
      <c r="C1883" s="18">
        <v>2025</v>
      </c>
      <c r="D1883" s="18" t="s">
        <v>55</v>
      </c>
      <c r="E1883" s="18" t="s">
        <v>85</v>
      </c>
      <c r="F1883" s="18" t="s">
        <v>94</v>
      </c>
      <c r="G1883" s="18" t="s">
        <v>47</v>
      </c>
      <c r="H1883" s="18" t="s">
        <v>107</v>
      </c>
      <c r="I1883" s="18" t="s">
        <v>40</v>
      </c>
      <c r="J1883" s="18" t="s">
        <v>82</v>
      </c>
      <c r="K1883" s="18">
        <v>2</v>
      </c>
      <c r="L1883" s="20">
        <v>2213.48</v>
      </c>
      <c r="M1883" s="21">
        <v>0.05</v>
      </c>
      <c r="N1883" s="21">
        <v>0.58979295939171095</v>
      </c>
      <c r="O1883" s="20">
        <f t="shared" si="116"/>
        <v>4205.6120000000001</v>
      </c>
      <c r="P1883" s="20">
        <f t="shared" si="117"/>
        <v>2480.4403475332924</v>
      </c>
      <c r="Q1883" s="20">
        <f t="shared" si="118"/>
        <v>1725.1716524667077</v>
      </c>
      <c r="R1883" s="22">
        <f t="shared" si="119"/>
        <v>0.410207040608289</v>
      </c>
    </row>
    <row r="1884" spans="1:18">
      <c r="A1884" s="18">
        <v>2883</v>
      </c>
      <c r="B1884" s="19" t="s">
        <v>657</v>
      </c>
      <c r="C1884" s="18">
        <v>2025</v>
      </c>
      <c r="D1884" s="18" t="s">
        <v>55</v>
      </c>
      <c r="E1884" s="18" t="s">
        <v>88</v>
      </c>
      <c r="F1884" s="18" t="s">
        <v>93</v>
      </c>
      <c r="G1884" s="18" t="s">
        <v>50</v>
      </c>
      <c r="H1884" s="18" t="s">
        <v>83</v>
      </c>
      <c r="I1884" s="18" t="s">
        <v>58</v>
      </c>
      <c r="J1884" s="18" t="s">
        <v>91</v>
      </c>
      <c r="K1884" s="18">
        <v>7</v>
      </c>
      <c r="L1884" s="20">
        <v>3636.37</v>
      </c>
      <c r="M1884" s="21">
        <v>0.1</v>
      </c>
      <c r="N1884" s="21">
        <v>0.71463861487643998</v>
      </c>
      <c r="O1884" s="20">
        <f t="shared" si="116"/>
        <v>22909.131000000001</v>
      </c>
      <c r="P1884" s="20">
        <f t="shared" si="117"/>
        <v>16371.749645862914</v>
      </c>
      <c r="Q1884" s="20">
        <f t="shared" si="118"/>
        <v>6537.3813541370873</v>
      </c>
      <c r="R1884" s="22">
        <f t="shared" si="119"/>
        <v>0.28536138512355996</v>
      </c>
    </row>
    <row r="1885" spans="1:18">
      <c r="A1885" s="18">
        <v>2884</v>
      </c>
      <c r="B1885" s="19" t="s">
        <v>657</v>
      </c>
      <c r="C1885" s="18">
        <v>2025</v>
      </c>
      <c r="D1885" s="18" t="s">
        <v>55</v>
      </c>
      <c r="E1885" s="18" t="s">
        <v>79</v>
      </c>
      <c r="F1885" s="18" t="s">
        <v>105</v>
      </c>
      <c r="G1885" s="18" t="s">
        <v>41</v>
      </c>
      <c r="H1885" s="18" t="s">
        <v>101</v>
      </c>
      <c r="I1885" s="18" t="s">
        <v>46</v>
      </c>
      <c r="J1885" s="18" t="s">
        <v>102</v>
      </c>
      <c r="K1885" s="18">
        <v>8</v>
      </c>
      <c r="L1885" s="20">
        <v>52354.39</v>
      </c>
      <c r="M1885" s="21">
        <v>0</v>
      </c>
      <c r="N1885" s="21">
        <v>0.74596456328929095</v>
      </c>
      <c r="O1885" s="20">
        <f t="shared" si="116"/>
        <v>418835.12</v>
      </c>
      <c r="P1885" s="20">
        <f t="shared" si="117"/>
        <v>312436.15738101775</v>
      </c>
      <c r="Q1885" s="20">
        <f t="shared" si="118"/>
        <v>106398.96261898224</v>
      </c>
      <c r="R1885" s="22">
        <f t="shared" si="119"/>
        <v>0.25403543671070911</v>
      </c>
    </row>
    <row r="1886" spans="1:18">
      <c r="A1886" s="18">
        <v>2885</v>
      </c>
      <c r="B1886" s="19" t="s">
        <v>657</v>
      </c>
      <c r="C1886" s="18">
        <v>2025</v>
      </c>
      <c r="D1886" s="18" t="s">
        <v>55</v>
      </c>
      <c r="E1886" s="18" t="s">
        <v>85</v>
      </c>
      <c r="F1886" s="18" t="s">
        <v>121</v>
      </c>
      <c r="G1886" s="18" t="s">
        <v>50</v>
      </c>
      <c r="H1886" s="18" t="s">
        <v>83</v>
      </c>
      <c r="I1886" s="18" t="s">
        <v>52</v>
      </c>
      <c r="J1886" s="18" t="s">
        <v>91</v>
      </c>
      <c r="K1886" s="18">
        <v>11</v>
      </c>
      <c r="L1886" s="20">
        <v>3531.26</v>
      </c>
      <c r="M1886" s="21">
        <v>0</v>
      </c>
      <c r="N1886" s="21">
        <v>0.70902067887258502</v>
      </c>
      <c r="O1886" s="20">
        <f t="shared" si="116"/>
        <v>38843.86</v>
      </c>
      <c r="P1886" s="20">
        <f t="shared" si="117"/>
        <v>27541.09998723165</v>
      </c>
      <c r="Q1886" s="20">
        <f t="shared" si="118"/>
        <v>11302.760012768351</v>
      </c>
      <c r="R1886" s="22">
        <f t="shared" si="119"/>
        <v>0.29097932112741498</v>
      </c>
    </row>
    <row r="1887" spans="1:18">
      <c r="A1887" s="18">
        <v>2886</v>
      </c>
      <c r="B1887" s="19" t="s">
        <v>657</v>
      </c>
      <c r="C1887" s="18">
        <v>2025</v>
      </c>
      <c r="D1887" s="18" t="s">
        <v>55</v>
      </c>
      <c r="E1887" s="18" t="s">
        <v>79</v>
      </c>
      <c r="F1887" s="18" t="s">
        <v>105</v>
      </c>
      <c r="G1887" s="18" t="s">
        <v>50</v>
      </c>
      <c r="H1887" s="18" t="s">
        <v>87</v>
      </c>
      <c r="I1887" s="18" t="s">
        <v>58</v>
      </c>
      <c r="J1887" s="18" t="s">
        <v>82</v>
      </c>
      <c r="K1887" s="18">
        <v>5</v>
      </c>
      <c r="L1887" s="20">
        <v>9060.48</v>
      </c>
      <c r="M1887" s="21">
        <v>0.2</v>
      </c>
      <c r="N1887" s="21">
        <v>0.68102063873811702</v>
      </c>
      <c r="O1887" s="20">
        <f t="shared" si="116"/>
        <v>36241.919999999998</v>
      </c>
      <c r="P1887" s="20">
        <f t="shared" si="117"/>
        <v>24681.495507495736</v>
      </c>
      <c r="Q1887" s="20">
        <f t="shared" si="118"/>
        <v>11560.424492504262</v>
      </c>
      <c r="R1887" s="22">
        <f t="shared" si="119"/>
        <v>0.31897936126188298</v>
      </c>
    </row>
    <row r="1888" spans="1:18">
      <c r="A1888" s="18">
        <v>2887</v>
      </c>
      <c r="B1888" s="19" t="s">
        <v>658</v>
      </c>
      <c r="C1888" s="18">
        <v>2025</v>
      </c>
      <c r="D1888" s="18" t="s">
        <v>55</v>
      </c>
      <c r="E1888" s="18" t="s">
        <v>79</v>
      </c>
      <c r="F1888" s="18" t="s">
        <v>80</v>
      </c>
      <c r="G1888" s="18" t="s">
        <v>47</v>
      </c>
      <c r="H1888" s="18" t="s">
        <v>103</v>
      </c>
      <c r="I1888" s="18" t="s">
        <v>40</v>
      </c>
      <c r="J1888" s="18" t="s">
        <v>91</v>
      </c>
      <c r="K1888" s="18">
        <v>4</v>
      </c>
      <c r="L1888" s="20">
        <v>3253.67</v>
      </c>
      <c r="M1888" s="21">
        <v>0.2</v>
      </c>
      <c r="N1888" s="21">
        <v>0.56315576481322305</v>
      </c>
      <c r="O1888" s="20">
        <f t="shared" si="116"/>
        <v>10411.744000000001</v>
      </c>
      <c r="P1888" s="20">
        <f t="shared" si="117"/>
        <v>5863.4336553594867</v>
      </c>
      <c r="Q1888" s="20">
        <f t="shared" si="118"/>
        <v>4548.3103446405139</v>
      </c>
      <c r="R1888" s="22">
        <f t="shared" si="119"/>
        <v>0.43684423518677695</v>
      </c>
    </row>
    <row r="1889" spans="1:18">
      <c r="A1889" s="18">
        <v>2888</v>
      </c>
      <c r="B1889" s="19" t="s">
        <v>658</v>
      </c>
      <c r="C1889" s="18">
        <v>2025</v>
      </c>
      <c r="D1889" s="18" t="s">
        <v>55</v>
      </c>
      <c r="E1889" s="18" t="s">
        <v>88</v>
      </c>
      <c r="F1889" s="18" t="s">
        <v>110</v>
      </c>
      <c r="G1889" s="18" t="s">
        <v>47</v>
      </c>
      <c r="H1889" s="18" t="s">
        <v>103</v>
      </c>
      <c r="I1889" s="18" t="s">
        <v>62</v>
      </c>
      <c r="J1889" s="18" t="s">
        <v>102</v>
      </c>
      <c r="K1889" s="18">
        <v>1</v>
      </c>
      <c r="L1889" s="20">
        <v>3298.51</v>
      </c>
      <c r="M1889" s="21">
        <v>0.05</v>
      </c>
      <c r="N1889" s="21">
        <v>0.67931681250055298</v>
      </c>
      <c r="O1889" s="20">
        <f t="shared" si="116"/>
        <v>3133.5844999999999</v>
      </c>
      <c r="P1889" s="20">
        <f t="shared" si="117"/>
        <v>2128.6966342411392</v>
      </c>
      <c r="Q1889" s="20">
        <f t="shared" si="118"/>
        <v>1004.8878657588607</v>
      </c>
      <c r="R1889" s="22">
        <f t="shared" si="119"/>
        <v>0.32068318749944696</v>
      </c>
    </row>
    <row r="1890" spans="1:18">
      <c r="A1890" s="18">
        <v>2889</v>
      </c>
      <c r="B1890" s="19" t="s">
        <v>658</v>
      </c>
      <c r="C1890" s="18">
        <v>2025</v>
      </c>
      <c r="D1890" s="18" t="s">
        <v>55</v>
      </c>
      <c r="E1890" s="18" t="s">
        <v>85</v>
      </c>
      <c r="F1890" s="18" t="s">
        <v>121</v>
      </c>
      <c r="G1890" s="18" t="s">
        <v>50</v>
      </c>
      <c r="H1890" s="18" t="s">
        <v>87</v>
      </c>
      <c r="I1890" s="18" t="s">
        <v>49</v>
      </c>
      <c r="J1890" s="18" t="s">
        <v>102</v>
      </c>
      <c r="K1890" s="18">
        <v>2</v>
      </c>
      <c r="L1890" s="20">
        <v>9213.73</v>
      </c>
      <c r="M1890" s="21">
        <v>0.15</v>
      </c>
      <c r="N1890" s="21">
        <v>0.63780346912913899</v>
      </c>
      <c r="O1890" s="20">
        <f t="shared" si="116"/>
        <v>15663.340999999999</v>
      </c>
      <c r="P1890" s="20">
        <f t="shared" si="117"/>
        <v>9990.133227952676</v>
      </c>
      <c r="Q1890" s="20">
        <f t="shared" si="118"/>
        <v>5673.2077720473226</v>
      </c>
      <c r="R1890" s="22">
        <f t="shared" si="119"/>
        <v>0.36219653087086101</v>
      </c>
    </row>
    <row r="1891" spans="1:18">
      <c r="A1891" s="18">
        <v>2890</v>
      </c>
      <c r="B1891" s="19" t="s">
        <v>659</v>
      </c>
      <c r="C1891" s="18">
        <v>2025</v>
      </c>
      <c r="D1891" s="18" t="s">
        <v>55</v>
      </c>
      <c r="E1891" s="18" t="s">
        <v>85</v>
      </c>
      <c r="F1891" s="18" t="s">
        <v>121</v>
      </c>
      <c r="G1891" s="18" t="s">
        <v>47</v>
      </c>
      <c r="H1891" s="18" t="s">
        <v>81</v>
      </c>
      <c r="I1891" s="18" t="s">
        <v>56</v>
      </c>
      <c r="J1891" s="18" t="s">
        <v>91</v>
      </c>
      <c r="K1891" s="18">
        <v>2</v>
      </c>
      <c r="L1891" s="20">
        <v>771.88</v>
      </c>
      <c r="M1891" s="21">
        <v>0.1</v>
      </c>
      <c r="N1891" s="21">
        <v>0.60733100615821201</v>
      </c>
      <c r="O1891" s="20">
        <f t="shared" si="116"/>
        <v>1389.384</v>
      </c>
      <c r="P1891" s="20">
        <f t="shared" si="117"/>
        <v>843.81598266012122</v>
      </c>
      <c r="Q1891" s="20">
        <f t="shared" si="118"/>
        <v>545.56801733987879</v>
      </c>
      <c r="R1891" s="22">
        <f t="shared" si="119"/>
        <v>0.39266899384178799</v>
      </c>
    </row>
    <row r="1892" spans="1:18">
      <c r="A1892" s="18">
        <v>2891</v>
      </c>
      <c r="B1892" s="19" t="s">
        <v>659</v>
      </c>
      <c r="C1892" s="18">
        <v>2025</v>
      </c>
      <c r="D1892" s="18" t="s">
        <v>55</v>
      </c>
      <c r="E1892" s="18" t="s">
        <v>79</v>
      </c>
      <c r="F1892" s="18" t="s">
        <v>105</v>
      </c>
      <c r="G1892" s="18" t="s">
        <v>50</v>
      </c>
      <c r="H1892" s="18" t="s">
        <v>87</v>
      </c>
      <c r="I1892" s="18" t="s">
        <v>52</v>
      </c>
      <c r="J1892" s="18" t="s">
        <v>82</v>
      </c>
      <c r="K1892" s="18">
        <v>4</v>
      </c>
      <c r="L1892" s="20">
        <v>9814.3700000000008</v>
      </c>
      <c r="M1892" s="21">
        <v>0.05</v>
      </c>
      <c r="N1892" s="21">
        <v>0.63737874058338295</v>
      </c>
      <c r="O1892" s="20">
        <f t="shared" si="116"/>
        <v>37294.606</v>
      </c>
      <c r="P1892" s="20">
        <f t="shared" si="117"/>
        <v>23770.789002833477</v>
      </c>
      <c r="Q1892" s="20">
        <f t="shared" si="118"/>
        <v>13523.816997166523</v>
      </c>
      <c r="R1892" s="22">
        <f t="shared" si="119"/>
        <v>0.36262125941661705</v>
      </c>
    </row>
    <row r="1893" spans="1:18">
      <c r="A1893" s="18">
        <v>2892</v>
      </c>
      <c r="B1893" s="19" t="s">
        <v>660</v>
      </c>
      <c r="C1893" s="18">
        <v>2025</v>
      </c>
      <c r="D1893" s="18" t="s">
        <v>55</v>
      </c>
      <c r="E1893" s="18" t="s">
        <v>98</v>
      </c>
      <c r="F1893" s="18" t="s">
        <v>99</v>
      </c>
      <c r="G1893" s="18" t="s">
        <v>41</v>
      </c>
      <c r="H1893" s="18" t="s">
        <v>112</v>
      </c>
      <c r="I1893" s="18" t="s">
        <v>40</v>
      </c>
      <c r="J1893" s="18" t="s">
        <v>82</v>
      </c>
      <c r="K1893" s="18">
        <v>12</v>
      </c>
      <c r="L1893" s="20">
        <v>6193.53</v>
      </c>
      <c r="M1893" s="21">
        <v>0.05</v>
      </c>
      <c r="N1893" s="21">
        <v>0.58302854580197505</v>
      </c>
      <c r="O1893" s="20">
        <f t="shared" si="116"/>
        <v>70606.241999999998</v>
      </c>
      <c r="P1893" s="20">
        <f t="shared" si="117"/>
        <v>41165.454597802331</v>
      </c>
      <c r="Q1893" s="20">
        <f t="shared" si="118"/>
        <v>29440.787402197668</v>
      </c>
      <c r="R1893" s="22">
        <f t="shared" si="119"/>
        <v>0.416971454198025</v>
      </c>
    </row>
    <row r="1894" spans="1:18">
      <c r="A1894" s="18">
        <v>2893</v>
      </c>
      <c r="B1894" s="19" t="s">
        <v>660</v>
      </c>
      <c r="C1894" s="18">
        <v>2025</v>
      </c>
      <c r="D1894" s="18" t="s">
        <v>55</v>
      </c>
      <c r="E1894" s="18" t="s">
        <v>85</v>
      </c>
      <c r="F1894" s="18" t="s">
        <v>94</v>
      </c>
      <c r="G1894" s="18" t="s">
        <v>44</v>
      </c>
      <c r="H1894" s="18" t="s">
        <v>119</v>
      </c>
      <c r="I1894" s="18" t="s">
        <v>49</v>
      </c>
      <c r="J1894" s="18" t="s">
        <v>91</v>
      </c>
      <c r="K1894" s="18">
        <v>1</v>
      </c>
      <c r="L1894" s="20">
        <v>7010.9</v>
      </c>
      <c r="M1894" s="21">
        <v>0.15</v>
      </c>
      <c r="N1894" s="21">
        <v>0.71885017629195502</v>
      </c>
      <c r="O1894" s="20">
        <f t="shared" si="116"/>
        <v>5959.2649999999994</v>
      </c>
      <c r="P1894" s="20">
        <f t="shared" si="117"/>
        <v>4283.8186958204769</v>
      </c>
      <c r="Q1894" s="20">
        <f t="shared" si="118"/>
        <v>1675.4463041795225</v>
      </c>
      <c r="R1894" s="22">
        <f t="shared" si="119"/>
        <v>0.28114982370804498</v>
      </c>
    </row>
    <row r="1895" spans="1:18">
      <c r="A1895" s="18">
        <v>2894</v>
      </c>
      <c r="B1895" s="19" t="s">
        <v>660</v>
      </c>
      <c r="C1895" s="18">
        <v>2025</v>
      </c>
      <c r="D1895" s="18" t="s">
        <v>55</v>
      </c>
      <c r="E1895" s="18" t="s">
        <v>79</v>
      </c>
      <c r="F1895" s="18" t="s">
        <v>100</v>
      </c>
      <c r="G1895" s="18" t="s">
        <v>50</v>
      </c>
      <c r="H1895" s="18" t="s">
        <v>83</v>
      </c>
      <c r="I1895" s="18" t="s">
        <v>46</v>
      </c>
      <c r="J1895" s="18" t="s">
        <v>102</v>
      </c>
      <c r="K1895" s="18">
        <v>11</v>
      </c>
      <c r="L1895" s="20">
        <v>3555.74</v>
      </c>
      <c r="M1895" s="21">
        <v>0.2</v>
      </c>
      <c r="N1895" s="21">
        <v>0.71064990112251103</v>
      </c>
      <c r="O1895" s="20">
        <f t="shared" si="116"/>
        <v>31290.512000000002</v>
      </c>
      <c r="P1895" s="20">
        <f t="shared" si="117"/>
        <v>22236.599258872746</v>
      </c>
      <c r="Q1895" s="20">
        <f t="shared" si="118"/>
        <v>9053.9127411272566</v>
      </c>
      <c r="R1895" s="22">
        <f t="shared" si="119"/>
        <v>0.28935009887748897</v>
      </c>
    </row>
    <row r="1896" spans="1:18">
      <c r="A1896" s="18">
        <v>2895</v>
      </c>
      <c r="B1896" s="19" t="s">
        <v>661</v>
      </c>
      <c r="C1896" s="18">
        <v>2025</v>
      </c>
      <c r="D1896" s="18" t="s">
        <v>55</v>
      </c>
      <c r="E1896" s="18" t="s">
        <v>79</v>
      </c>
      <c r="F1896" s="18" t="s">
        <v>80</v>
      </c>
      <c r="G1896" s="18" t="s">
        <v>41</v>
      </c>
      <c r="H1896" s="18" t="s">
        <v>101</v>
      </c>
      <c r="I1896" s="18" t="s">
        <v>54</v>
      </c>
      <c r="J1896" s="18" t="s">
        <v>102</v>
      </c>
      <c r="K1896" s="18">
        <v>12</v>
      </c>
      <c r="L1896" s="20">
        <v>56380.09</v>
      </c>
      <c r="M1896" s="21">
        <v>0.15</v>
      </c>
      <c r="N1896" s="21">
        <v>0.65259104757826603</v>
      </c>
      <c r="O1896" s="20">
        <f t="shared" si="116"/>
        <v>575076.91799999995</v>
      </c>
      <c r="P1896" s="20">
        <f t="shared" si="117"/>
        <v>375290.04835570056</v>
      </c>
      <c r="Q1896" s="20">
        <f t="shared" si="118"/>
        <v>199786.86964429938</v>
      </c>
      <c r="R1896" s="22">
        <f t="shared" si="119"/>
        <v>0.34740895242173397</v>
      </c>
    </row>
    <row r="1897" spans="1:18">
      <c r="A1897" s="18">
        <v>2896</v>
      </c>
      <c r="B1897" s="19" t="s">
        <v>661</v>
      </c>
      <c r="C1897" s="18">
        <v>2025</v>
      </c>
      <c r="D1897" s="18" t="s">
        <v>55</v>
      </c>
      <c r="E1897" s="18" t="s">
        <v>85</v>
      </c>
      <c r="F1897" s="18" t="s">
        <v>86</v>
      </c>
      <c r="G1897" s="18" t="s">
        <v>41</v>
      </c>
      <c r="H1897" s="18" t="s">
        <v>90</v>
      </c>
      <c r="I1897" s="18" t="s">
        <v>58</v>
      </c>
      <c r="J1897" s="18" t="s">
        <v>82</v>
      </c>
      <c r="K1897" s="18">
        <v>12</v>
      </c>
      <c r="L1897" s="20">
        <v>18605.3</v>
      </c>
      <c r="M1897" s="21">
        <v>0.15</v>
      </c>
      <c r="N1897" s="21">
        <v>0.67519213495798003</v>
      </c>
      <c r="O1897" s="20">
        <f t="shared" si="116"/>
        <v>189774.05999999997</v>
      </c>
      <c r="P1897" s="20">
        <f t="shared" si="117"/>
        <v>128133.95273104378</v>
      </c>
      <c r="Q1897" s="20">
        <f t="shared" si="118"/>
        <v>61640.107268956184</v>
      </c>
      <c r="R1897" s="22">
        <f t="shared" si="119"/>
        <v>0.32480786504201992</v>
      </c>
    </row>
    <row r="1898" spans="1:18">
      <c r="A1898" s="18">
        <v>2897</v>
      </c>
      <c r="B1898" s="19" t="s">
        <v>661</v>
      </c>
      <c r="C1898" s="18">
        <v>2025</v>
      </c>
      <c r="D1898" s="18" t="s">
        <v>55</v>
      </c>
      <c r="E1898" s="18" t="s">
        <v>98</v>
      </c>
      <c r="F1898" s="18" t="s">
        <v>99</v>
      </c>
      <c r="G1898" s="18" t="s">
        <v>41</v>
      </c>
      <c r="H1898" s="18" t="s">
        <v>90</v>
      </c>
      <c r="I1898" s="18" t="s">
        <v>60</v>
      </c>
      <c r="J1898" s="18" t="s">
        <v>91</v>
      </c>
      <c r="K1898" s="18">
        <v>5</v>
      </c>
      <c r="L1898" s="20">
        <v>17647.41</v>
      </c>
      <c r="M1898" s="21">
        <v>0</v>
      </c>
      <c r="N1898" s="21">
        <v>0.58214326464806898</v>
      </c>
      <c r="O1898" s="20">
        <f t="shared" si="116"/>
        <v>88237.05</v>
      </c>
      <c r="P1898" s="20">
        <f t="shared" si="117"/>
        <v>51366.604349914895</v>
      </c>
      <c r="Q1898" s="20">
        <f t="shared" si="118"/>
        <v>36870.445650085108</v>
      </c>
      <c r="R1898" s="22">
        <f t="shared" si="119"/>
        <v>0.41785673535193102</v>
      </c>
    </row>
    <row r="1899" spans="1:18">
      <c r="A1899" s="18">
        <v>2898</v>
      </c>
      <c r="B1899" s="19" t="s">
        <v>661</v>
      </c>
      <c r="C1899" s="18">
        <v>2025</v>
      </c>
      <c r="D1899" s="18" t="s">
        <v>55</v>
      </c>
      <c r="E1899" s="18" t="s">
        <v>79</v>
      </c>
      <c r="F1899" s="18" t="s">
        <v>105</v>
      </c>
      <c r="G1899" s="18" t="s">
        <v>47</v>
      </c>
      <c r="H1899" s="18" t="s">
        <v>103</v>
      </c>
      <c r="I1899" s="18" t="s">
        <v>60</v>
      </c>
      <c r="J1899" s="18" t="s">
        <v>102</v>
      </c>
      <c r="K1899" s="18">
        <v>4</v>
      </c>
      <c r="L1899" s="20">
        <v>3222.75</v>
      </c>
      <c r="M1899" s="21">
        <v>0.1</v>
      </c>
      <c r="N1899" s="21">
        <v>0.74450383112855001</v>
      </c>
      <c r="O1899" s="20">
        <f t="shared" si="116"/>
        <v>11601.9</v>
      </c>
      <c r="P1899" s="20">
        <f t="shared" si="117"/>
        <v>8637.6589983703234</v>
      </c>
      <c r="Q1899" s="20">
        <f t="shared" si="118"/>
        <v>2964.2410016296762</v>
      </c>
      <c r="R1899" s="22">
        <f t="shared" si="119"/>
        <v>0.25549616887145005</v>
      </c>
    </row>
    <row r="1900" spans="1:18">
      <c r="A1900" s="18">
        <v>2899</v>
      </c>
      <c r="B1900" s="19" t="s">
        <v>662</v>
      </c>
      <c r="C1900" s="18">
        <v>2025</v>
      </c>
      <c r="D1900" s="18" t="s">
        <v>55</v>
      </c>
      <c r="E1900" s="18" t="s">
        <v>85</v>
      </c>
      <c r="F1900" s="18" t="s">
        <v>86</v>
      </c>
      <c r="G1900" s="18" t="s">
        <v>44</v>
      </c>
      <c r="H1900" s="18" t="s">
        <v>119</v>
      </c>
      <c r="I1900" s="18" t="s">
        <v>40</v>
      </c>
      <c r="J1900" s="18" t="s">
        <v>91</v>
      </c>
      <c r="K1900" s="18">
        <v>9</v>
      </c>
      <c r="L1900" s="20">
        <v>6682.78</v>
      </c>
      <c r="M1900" s="21">
        <v>0.1</v>
      </c>
      <c r="N1900" s="21">
        <v>0.61403962891291897</v>
      </c>
      <c r="O1900" s="20">
        <f t="shared" si="116"/>
        <v>54130.517999999996</v>
      </c>
      <c r="P1900" s="20">
        <f t="shared" si="117"/>
        <v>33238.283185584078</v>
      </c>
      <c r="Q1900" s="20">
        <f t="shared" si="118"/>
        <v>20892.234814415919</v>
      </c>
      <c r="R1900" s="22">
        <f t="shared" si="119"/>
        <v>0.38596037108708103</v>
      </c>
    </row>
    <row r="1901" spans="1:18">
      <c r="A1901" s="18">
        <v>2900</v>
      </c>
      <c r="B1901" s="19" t="s">
        <v>662</v>
      </c>
      <c r="C1901" s="18">
        <v>2025</v>
      </c>
      <c r="D1901" s="18" t="s">
        <v>55</v>
      </c>
      <c r="E1901" s="18" t="s">
        <v>79</v>
      </c>
      <c r="F1901" s="18" t="s">
        <v>100</v>
      </c>
      <c r="G1901" s="18" t="s">
        <v>44</v>
      </c>
      <c r="H1901" s="18" t="s">
        <v>114</v>
      </c>
      <c r="I1901" s="18" t="s">
        <v>62</v>
      </c>
      <c r="J1901" s="18" t="s">
        <v>82</v>
      </c>
      <c r="K1901" s="18">
        <v>5</v>
      </c>
      <c r="L1901" s="20">
        <v>9086.11</v>
      </c>
      <c r="M1901" s="21">
        <v>0</v>
      </c>
      <c r="N1901" s="21">
        <v>0.70292191005938098</v>
      </c>
      <c r="O1901" s="20">
        <f t="shared" si="116"/>
        <v>45430.55</v>
      </c>
      <c r="P1901" s="20">
        <f t="shared" si="117"/>
        <v>31934.128981048212</v>
      </c>
      <c r="Q1901" s="20">
        <f t="shared" si="118"/>
        <v>13496.421018951791</v>
      </c>
      <c r="R1901" s="22">
        <f t="shared" si="119"/>
        <v>0.29707808994061902</v>
      </c>
    </row>
    <row r="1902" spans="1:18">
      <c r="A1902" s="18">
        <v>2901</v>
      </c>
      <c r="B1902" s="19" t="s">
        <v>662</v>
      </c>
      <c r="C1902" s="18">
        <v>2025</v>
      </c>
      <c r="D1902" s="18" t="s">
        <v>55</v>
      </c>
      <c r="E1902" s="18" t="s">
        <v>79</v>
      </c>
      <c r="F1902" s="18" t="s">
        <v>100</v>
      </c>
      <c r="G1902" s="18" t="s">
        <v>50</v>
      </c>
      <c r="H1902" s="18" t="s">
        <v>87</v>
      </c>
      <c r="I1902" s="18" t="s">
        <v>62</v>
      </c>
      <c r="J1902" s="18" t="s">
        <v>91</v>
      </c>
      <c r="K1902" s="18">
        <v>3</v>
      </c>
      <c r="L1902" s="20">
        <v>9594.91</v>
      </c>
      <c r="M1902" s="21">
        <v>0.1</v>
      </c>
      <c r="N1902" s="21">
        <v>0.66193778202505704</v>
      </c>
      <c r="O1902" s="20">
        <f t="shared" si="116"/>
        <v>25906.257000000001</v>
      </c>
      <c r="P1902" s="20">
        <f t="shared" si="117"/>
        <v>17148.330299151108</v>
      </c>
      <c r="Q1902" s="20">
        <f t="shared" si="118"/>
        <v>8757.9267008488932</v>
      </c>
      <c r="R1902" s="22">
        <f t="shared" si="119"/>
        <v>0.33806221797494301</v>
      </c>
    </row>
    <row r="1903" spans="1:18">
      <c r="A1903" s="18">
        <v>2902</v>
      </c>
      <c r="B1903" s="19" t="s">
        <v>662</v>
      </c>
      <c r="C1903" s="18">
        <v>2025</v>
      </c>
      <c r="D1903" s="18" t="s">
        <v>55</v>
      </c>
      <c r="E1903" s="18" t="s">
        <v>88</v>
      </c>
      <c r="F1903" s="18" t="s">
        <v>89</v>
      </c>
      <c r="G1903" s="18" t="s">
        <v>50</v>
      </c>
      <c r="H1903" s="18" t="s">
        <v>87</v>
      </c>
      <c r="I1903" s="18" t="s">
        <v>58</v>
      </c>
      <c r="J1903" s="18" t="s">
        <v>102</v>
      </c>
      <c r="K1903" s="18">
        <v>11</v>
      </c>
      <c r="L1903" s="20">
        <v>9072.52</v>
      </c>
      <c r="M1903" s="21">
        <v>0</v>
      </c>
      <c r="N1903" s="21">
        <v>0.66776833587086404</v>
      </c>
      <c r="O1903" s="20">
        <f t="shared" si="116"/>
        <v>99797.72</v>
      </c>
      <c r="P1903" s="20">
        <f t="shared" si="117"/>
        <v>66641.757408106452</v>
      </c>
      <c r="Q1903" s="20">
        <f t="shared" si="118"/>
        <v>33155.962591893549</v>
      </c>
      <c r="R1903" s="22">
        <f t="shared" si="119"/>
        <v>0.33223166412913591</v>
      </c>
    </row>
    <row r="1904" spans="1:18">
      <c r="A1904" s="18">
        <v>2903</v>
      </c>
      <c r="B1904" s="19" t="s">
        <v>663</v>
      </c>
      <c r="C1904" s="18">
        <v>2025</v>
      </c>
      <c r="D1904" s="18" t="s">
        <v>55</v>
      </c>
      <c r="E1904" s="18" t="s">
        <v>79</v>
      </c>
      <c r="F1904" s="18" t="s">
        <v>105</v>
      </c>
      <c r="G1904" s="18" t="s">
        <v>41</v>
      </c>
      <c r="H1904" s="18" t="s">
        <v>112</v>
      </c>
      <c r="I1904" s="18" t="s">
        <v>43</v>
      </c>
      <c r="J1904" s="18" t="s">
        <v>91</v>
      </c>
      <c r="K1904" s="18">
        <v>7</v>
      </c>
      <c r="L1904" s="20">
        <v>5726.41</v>
      </c>
      <c r="M1904" s="21">
        <v>0.15</v>
      </c>
      <c r="N1904" s="21">
        <v>0.678465362262892</v>
      </c>
      <c r="O1904" s="20">
        <f t="shared" si="116"/>
        <v>34072.139499999997</v>
      </c>
      <c r="P1904" s="20">
        <f t="shared" si="117"/>
        <v>23116.766468939291</v>
      </c>
      <c r="Q1904" s="20">
        <f t="shared" si="118"/>
        <v>10955.373031060706</v>
      </c>
      <c r="R1904" s="22">
        <f t="shared" si="119"/>
        <v>0.32153463773710794</v>
      </c>
    </row>
    <row r="1905" spans="1:18">
      <c r="A1905" s="18">
        <v>2904</v>
      </c>
      <c r="B1905" s="19" t="s">
        <v>663</v>
      </c>
      <c r="C1905" s="18">
        <v>2025</v>
      </c>
      <c r="D1905" s="18" t="s">
        <v>55</v>
      </c>
      <c r="E1905" s="18" t="s">
        <v>88</v>
      </c>
      <c r="F1905" s="18" t="s">
        <v>89</v>
      </c>
      <c r="G1905" s="18" t="s">
        <v>47</v>
      </c>
      <c r="H1905" s="18" t="s">
        <v>103</v>
      </c>
      <c r="I1905" s="18" t="s">
        <v>60</v>
      </c>
      <c r="J1905" s="18" t="s">
        <v>102</v>
      </c>
      <c r="K1905" s="18">
        <v>4</v>
      </c>
      <c r="L1905" s="20">
        <v>3146.66</v>
      </c>
      <c r="M1905" s="21">
        <v>0.1</v>
      </c>
      <c r="N1905" s="21">
        <v>0.62080851660223202</v>
      </c>
      <c r="O1905" s="20">
        <f t="shared" si="116"/>
        <v>11327.976000000001</v>
      </c>
      <c r="P1905" s="20">
        <f t="shared" si="117"/>
        <v>7032.5039766656864</v>
      </c>
      <c r="Q1905" s="20">
        <f t="shared" si="118"/>
        <v>4295.4720233343141</v>
      </c>
      <c r="R1905" s="22">
        <f t="shared" si="119"/>
        <v>0.37919148339776798</v>
      </c>
    </row>
    <row r="1906" spans="1:18">
      <c r="A1906" s="18">
        <v>2905</v>
      </c>
      <c r="B1906" s="19" t="s">
        <v>663</v>
      </c>
      <c r="C1906" s="18">
        <v>2025</v>
      </c>
      <c r="D1906" s="18" t="s">
        <v>55</v>
      </c>
      <c r="E1906" s="18" t="s">
        <v>85</v>
      </c>
      <c r="F1906" s="18" t="s">
        <v>94</v>
      </c>
      <c r="G1906" s="18" t="s">
        <v>50</v>
      </c>
      <c r="H1906" s="18" t="s">
        <v>83</v>
      </c>
      <c r="I1906" s="18" t="s">
        <v>52</v>
      </c>
      <c r="J1906" s="18" t="s">
        <v>102</v>
      </c>
      <c r="K1906" s="18">
        <v>1</v>
      </c>
      <c r="L1906" s="20">
        <v>3634.67</v>
      </c>
      <c r="M1906" s="21">
        <v>0.1</v>
      </c>
      <c r="N1906" s="21">
        <v>0.69040220624156901</v>
      </c>
      <c r="O1906" s="20">
        <f t="shared" si="116"/>
        <v>3271.203</v>
      </c>
      <c r="P1906" s="20">
        <f t="shared" si="117"/>
        <v>2258.4457682640391</v>
      </c>
      <c r="Q1906" s="20">
        <f t="shared" si="118"/>
        <v>1012.7572317359609</v>
      </c>
      <c r="R1906" s="22">
        <f t="shared" si="119"/>
        <v>0.30959779375843105</v>
      </c>
    </row>
    <row r="1907" spans="1:18">
      <c r="A1907" s="18">
        <v>2906</v>
      </c>
      <c r="B1907" s="19" t="s">
        <v>664</v>
      </c>
      <c r="C1907" s="18">
        <v>2025</v>
      </c>
      <c r="D1907" s="18" t="s">
        <v>55</v>
      </c>
      <c r="E1907" s="18" t="s">
        <v>85</v>
      </c>
      <c r="F1907" s="18" t="s">
        <v>121</v>
      </c>
      <c r="G1907" s="18" t="s">
        <v>44</v>
      </c>
      <c r="H1907" s="18" t="s">
        <v>95</v>
      </c>
      <c r="I1907" s="18" t="s">
        <v>52</v>
      </c>
      <c r="J1907" s="18" t="s">
        <v>102</v>
      </c>
      <c r="K1907" s="18">
        <v>7</v>
      </c>
      <c r="L1907" s="20">
        <v>4286.53</v>
      </c>
      <c r="M1907" s="21">
        <v>0.1</v>
      </c>
      <c r="N1907" s="21">
        <v>0.65234012352286797</v>
      </c>
      <c r="O1907" s="20">
        <f t="shared" si="116"/>
        <v>27005.138999999999</v>
      </c>
      <c r="P1907" s="20">
        <f t="shared" si="117"/>
        <v>17616.535711012217</v>
      </c>
      <c r="Q1907" s="20">
        <f t="shared" si="118"/>
        <v>9388.6032889877824</v>
      </c>
      <c r="R1907" s="22">
        <f t="shared" si="119"/>
        <v>0.34765987647713209</v>
      </c>
    </row>
    <row r="1908" spans="1:18">
      <c r="A1908" s="18">
        <v>2907</v>
      </c>
      <c r="B1908" s="19" t="s">
        <v>664</v>
      </c>
      <c r="C1908" s="18">
        <v>2025</v>
      </c>
      <c r="D1908" s="18" t="s">
        <v>55</v>
      </c>
      <c r="E1908" s="18" t="s">
        <v>88</v>
      </c>
      <c r="F1908" s="18" t="s">
        <v>110</v>
      </c>
      <c r="G1908" s="18" t="s">
        <v>50</v>
      </c>
      <c r="H1908" s="18" t="s">
        <v>83</v>
      </c>
      <c r="I1908" s="18" t="s">
        <v>46</v>
      </c>
      <c r="J1908" s="18" t="s">
        <v>102</v>
      </c>
      <c r="K1908" s="18">
        <v>6</v>
      </c>
      <c r="L1908" s="20">
        <v>3360.77</v>
      </c>
      <c r="M1908" s="21">
        <v>0</v>
      </c>
      <c r="N1908" s="21">
        <v>0.58196144846264497</v>
      </c>
      <c r="O1908" s="20">
        <f t="shared" si="116"/>
        <v>20164.62</v>
      </c>
      <c r="P1908" s="20">
        <f t="shared" si="117"/>
        <v>11735.03146289882</v>
      </c>
      <c r="Q1908" s="20">
        <f t="shared" si="118"/>
        <v>8429.5885371011791</v>
      </c>
      <c r="R1908" s="22">
        <f t="shared" si="119"/>
        <v>0.41803855153735503</v>
      </c>
    </row>
    <row r="1909" spans="1:18">
      <c r="A1909" s="18">
        <v>2908</v>
      </c>
      <c r="B1909" s="19" t="s">
        <v>664</v>
      </c>
      <c r="C1909" s="18">
        <v>2025</v>
      </c>
      <c r="D1909" s="18" t="s">
        <v>55</v>
      </c>
      <c r="E1909" s="18" t="s">
        <v>98</v>
      </c>
      <c r="F1909" s="18" t="s">
        <v>99</v>
      </c>
      <c r="G1909" s="18" t="s">
        <v>44</v>
      </c>
      <c r="H1909" s="18" t="s">
        <v>95</v>
      </c>
      <c r="I1909" s="18" t="s">
        <v>56</v>
      </c>
      <c r="J1909" s="18" t="s">
        <v>91</v>
      </c>
      <c r="K1909" s="18">
        <v>9</v>
      </c>
      <c r="L1909" s="20">
        <v>4521.0200000000004</v>
      </c>
      <c r="M1909" s="21">
        <v>0</v>
      </c>
      <c r="N1909" s="21">
        <v>0.65050656939694496</v>
      </c>
      <c r="O1909" s="20">
        <f t="shared" si="116"/>
        <v>40689.180000000008</v>
      </c>
      <c r="P1909" s="20">
        <f t="shared" si="117"/>
        <v>26468.57889337479</v>
      </c>
      <c r="Q1909" s="20">
        <f t="shared" si="118"/>
        <v>14220.601106625218</v>
      </c>
      <c r="R1909" s="22">
        <f t="shared" si="119"/>
        <v>0.34949343060305504</v>
      </c>
    </row>
    <row r="1910" spans="1:18">
      <c r="A1910" s="18">
        <v>2909</v>
      </c>
      <c r="B1910" s="19" t="s">
        <v>664</v>
      </c>
      <c r="C1910" s="18">
        <v>2025</v>
      </c>
      <c r="D1910" s="18" t="s">
        <v>55</v>
      </c>
      <c r="E1910" s="18" t="s">
        <v>88</v>
      </c>
      <c r="F1910" s="18" t="s">
        <v>89</v>
      </c>
      <c r="G1910" s="18" t="s">
        <v>50</v>
      </c>
      <c r="H1910" s="18" t="s">
        <v>87</v>
      </c>
      <c r="I1910" s="18" t="s">
        <v>60</v>
      </c>
      <c r="J1910" s="18" t="s">
        <v>82</v>
      </c>
      <c r="K1910" s="18">
        <v>10</v>
      </c>
      <c r="L1910" s="20">
        <v>9064.0300000000007</v>
      </c>
      <c r="M1910" s="21">
        <v>0.1</v>
      </c>
      <c r="N1910" s="21">
        <v>0.57749187795074697</v>
      </c>
      <c r="O1910" s="20">
        <f t="shared" si="116"/>
        <v>81576.27</v>
      </c>
      <c r="P1910" s="20">
        <f t="shared" si="117"/>
        <v>47109.633358517181</v>
      </c>
      <c r="Q1910" s="20">
        <f t="shared" si="118"/>
        <v>34466.636641482823</v>
      </c>
      <c r="R1910" s="22">
        <f t="shared" si="119"/>
        <v>0.42250812204925303</v>
      </c>
    </row>
    <row r="1911" spans="1:18">
      <c r="A1911" s="18">
        <v>2910</v>
      </c>
      <c r="B1911" s="19" t="s">
        <v>665</v>
      </c>
      <c r="C1911" s="18">
        <v>2025</v>
      </c>
      <c r="D1911" s="18" t="s">
        <v>55</v>
      </c>
      <c r="E1911" s="18" t="s">
        <v>85</v>
      </c>
      <c r="F1911" s="18" t="s">
        <v>121</v>
      </c>
      <c r="G1911" s="18" t="s">
        <v>44</v>
      </c>
      <c r="H1911" s="18" t="s">
        <v>95</v>
      </c>
      <c r="I1911" s="18" t="s">
        <v>58</v>
      </c>
      <c r="J1911" s="18" t="s">
        <v>102</v>
      </c>
      <c r="K1911" s="18">
        <v>10</v>
      </c>
      <c r="L1911" s="20">
        <v>4305.67</v>
      </c>
      <c r="M1911" s="21">
        <v>0</v>
      </c>
      <c r="N1911" s="21">
        <v>0.67464781229648096</v>
      </c>
      <c r="O1911" s="20">
        <f t="shared" si="116"/>
        <v>43056.7</v>
      </c>
      <c r="P1911" s="20">
        <f t="shared" si="117"/>
        <v>29048.108459705891</v>
      </c>
      <c r="Q1911" s="20">
        <f t="shared" si="118"/>
        <v>14008.591540294106</v>
      </c>
      <c r="R1911" s="22">
        <f t="shared" si="119"/>
        <v>0.32535218770351904</v>
      </c>
    </row>
    <row r="1912" spans="1:18">
      <c r="A1912" s="18">
        <v>2911</v>
      </c>
      <c r="B1912" s="19" t="s">
        <v>665</v>
      </c>
      <c r="C1912" s="18">
        <v>2025</v>
      </c>
      <c r="D1912" s="18" t="s">
        <v>55</v>
      </c>
      <c r="E1912" s="18" t="s">
        <v>79</v>
      </c>
      <c r="F1912" s="18" t="s">
        <v>100</v>
      </c>
      <c r="G1912" s="18" t="s">
        <v>47</v>
      </c>
      <c r="H1912" s="18" t="s">
        <v>81</v>
      </c>
      <c r="I1912" s="18" t="s">
        <v>49</v>
      </c>
      <c r="J1912" s="18" t="s">
        <v>82</v>
      </c>
      <c r="K1912" s="18">
        <v>10</v>
      </c>
      <c r="L1912" s="20">
        <v>831.68</v>
      </c>
      <c r="M1912" s="21">
        <v>0.2</v>
      </c>
      <c r="N1912" s="21">
        <v>0.59965703093669898</v>
      </c>
      <c r="O1912" s="20">
        <f t="shared" si="116"/>
        <v>6653.44</v>
      </c>
      <c r="P1912" s="20">
        <f t="shared" si="117"/>
        <v>3989.7820759154702</v>
      </c>
      <c r="Q1912" s="20">
        <f t="shared" si="118"/>
        <v>2663.6579240845294</v>
      </c>
      <c r="R1912" s="22">
        <f t="shared" si="119"/>
        <v>0.40034296906330102</v>
      </c>
    </row>
    <row r="1913" spans="1:18">
      <c r="A1913" s="18">
        <v>2912</v>
      </c>
      <c r="B1913" s="19" t="s">
        <v>665</v>
      </c>
      <c r="C1913" s="18">
        <v>2025</v>
      </c>
      <c r="D1913" s="18" t="s">
        <v>55</v>
      </c>
      <c r="E1913" s="18" t="s">
        <v>88</v>
      </c>
      <c r="F1913" s="18" t="s">
        <v>110</v>
      </c>
      <c r="G1913" s="18" t="s">
        <v>50</v>
      </c>
      <c r="H1913" s="18" t="s">
        <v>83</v>
      </c>
      <c r="I1913" s="18" t="s">
        <v>49</v>
      </c>
      <c r="J1913" s="18" t="s">
        <v>82</v>
      </c>
      <c r="K1913" s="18">
        <v>8</v>
      </c>
      <c r="L1913" s="20">
        <v>3576.9</v>
      </c>
      <c r="M1913" s="21">
        <v>0</v>
      </c>
      <c r="N1913" s="21">
        <v>0.618345803300411</v>
      </c>
      <c r="O1913" s="20">
        <f t="shared" si="116"/>
        <v>28615.200000000001</v>
      </c>
      <c r="P1913" s="20">
        <f t="shared" si="117"/>
        <v>17694.088830601922</v>
      </c>
      <c r="Q1913" s="20">
        <f t="shared" si="118"/>
        <v>10921.111169398078</v>
      </c>
      <c r="R1913" s="22">
        <f t="shared" si="119"/>
        <v>0.38165419669958894</v>
      </c>
    </row>
    <row r="1914" spans="1:18">
      <c r="A1914" s="18">
        <v>2913</v>
      </c>
      <c r="B1914" s="19" t="s">
        <v>665</v>
      </c>
      <c r="C1914" s="18">
        <v>2025</v>
      </c>
      <c r="D1914" s="18" t="s">
        <v>55</v>
      </c>
      <c r="E1914" s="18" t="s">
        <v>88</v>
      </c>
      <c r="F1914" s="18" t="s">
        <v>110</v>
      </c>
      <c r="G1914" s="18" t="s">
        <v>47</v>
      </c>
      <c r="H1914" s="18" t="s">
        <v>107</v>
      </c>
      <c r="I1914" s="18" t="s">
        <v>60</v>
      </c>
      <c r="J1914" s="18" t="s">
        <v>102</v>
      </c>
      <c r="K1914" s="18">
        <v>2</v>
      </c>
      <c r="L1914" s="20">
        <v>2178.13</v>
      </c>
      <c r="M1914" s="21">
        <v>0.2</v>
      </c>
      <c r="N1914" s="21">
        <v>0.55438617454470696</v>
      </c>
      <c r="O1914" s="20">
        <f t="shared" si="116"/>
        <v>3485.0080000000003</v>
      </c>
      <c r="P1914" s="20">
        <f t="shared" si="117"/>
        <v>1932.0402533777003</v>
      </c>
      <c r="Q1914" s="20">
        <f t="shared" si="118"/>
        <v>1552.9677466223</v>
      </c>
      <c r="R1914" s="22">
        <f t="shared" si="119"/>
        <v>0.44561382545529304</v>
      </c>
    </row>
    <row r="1915" spans="1:18">
      <c r="A1915" s="18">
        <v>2914</v>
      </c>
      <c r="B1915" s="19" t="s">
        <v>666</v>
      </c>
      <c r="C1915" s="18">
        <v>2025</v>
      </c>
      <c r="D1915" s="18" t="s">
        <v>55</v>
      </c>
      <c r="E1915" s="18" t="s">
        <v>98</v>
      </c>
      <c r="F1915" s="18" t="s">
        <v>109</v>
      </c>
      <c r="G1915" s="18" t="s">
        <v>47</v>
      </c>
      <c r="H1915" s="18" t="s">
        <v>107</v>
      </c>
      <c r="I1915" s="18" t="s">
        <v>46</v>
      </c>
      <c r="J1915" s="18" t="s">
        <v>91</v>
      </c>
      <c r="K1915" s="18">
        <v>2</v>
      </c>
      <c r="L1915" s="20">
        <v>2225.58</v>
      </c>
      <c r="M1915" s="21">
        <v>0.1</v>
      </c>
      <c r="N1915" s="21">
        <v>0.61357673503501098</v>
      </c>
      <c r="O1915" s="20">
        <f t="shared" si="116"/>
        <v>4006.0439999999999</v>
      </c>
      <c r="P1915" s="20">
        <f t="shared" si="117"/>
        <v>2458.0153979265956</v>
      </c>
      <c r="Q1915" s="20">
        <f t="shared" si="118"/>
        <v>1548.0286020734043</v>
      </c>
      <c r="R1915" s="22">
        <f t="shared" si="119"/>
        <v>0.38642326496498897</v>
      </c>
    </row>
    <row r="1916" spans="1:18">
      <c r="A1916" s="18">
        <v>2915</v>
      </c>
      <c r="B1916" s="19" t="s">
        <v>666</v>
      </c>
      <c r="C1916" s="18">
        <v>2025</v>
      </c>
      <c r="D1916" s="18" t="s">
        <v>55</v>
      </c>
      <c r="E1916" s="18" t="s">
        <v>79</v>
      </c>
      <c r="F1916" s="18" t="s">
        <v>100</v>
      </c>
      <c r="G1916" s="18" t="s">
        <v>47</v>
      </c>
      <c r="H1916" s="18" t="s">
        <v>107</v>
      </c>
      <c r="I1916" s="18" t="s">
        <v>40</v>
      </c>
      <c r="J1916" s="18" t="s">
        <v>102</v>
      </c>
      <c r="K1916" s="18">
        <v>7</v>
      </c>
      <c r="L1916" s="20">
        <v>2178.4499999999998</v>
      </c>
      <c r="M1916" s="21">
        <v>0</v>
      </c>
      <c r="N1916" s="21">
        <v>0.64400924258769399</v>
      </c>
      <c r="O1916" s="20">
        <f t="shared" si="116"/>
        <v>15249.149999999998</v>
      </c>
      <c r="P1916" s="20">
        <f t="shared" si="117"/>
        <v>9820.5935416061329</v>
      </c>
      <c r="Q1916" s="20">
        <f t="shared" si="118"/>
        <v>5428.5564583938649</v>
      </c>
      <c r="R1916" s="22">
        <f t="shared" si="119"/>
        <v>0.35599075741230596</v>
      </c>
    </row>
    <row r="1917" spans="1:18">
      <c r="A1917" s="18">
        <v>2916</v>
      </c>
      <c r="B1917" s="19" t="s">
        <v>666</v>
      </c>
      <c r="C1917" s="18">
        <v>2025</v>
      </c>
      <c r="D1917" s="18" t="s">
        <v>55</v>
      </c>
      <c r="E1917" s="18" t="s">
        <v>85</v>
      </c>
      <c r="F1917" s="18" t="s">
        <v>94</v>
      </c>
      <c r="G1917" s="18" t="s">
        <v>41</v>
      </c>
      <c r="H1917" s="18" t="s">
        <v>101</v>
      </c>
      <c r="I1917" s="18" t="s">
        <v>52</v>
      </c>
      <c r="J1917" s="18" t="s">
        <v>102</v>
      </c>
      <c r="K1917" s="18">
        <v>9</v>
      </c>
      <c r="L1917" s="20">
        <v>55402.79</v>
      </c>
      <c r="M1917" s="21">
        <v>0.15</v>
      </c>
      <c r="N1917" s="21">
        <v>0.67609738415752496</v>
      </c>
      <c r="O1917" s="20">
        <f t="shared" si="116"/>
        <v>423831.34349999996</v>
      </c>
      <c r="P1917" s="20">
        <f t="shared" si="117"/>
        <v>286551.26266431937</v>
      </c>
      <c r="Q1917" s="20">
        <f t="shared" si="118"/>
        <v>137280.08083568059</v>
      </c>
      <c r="R1917" s="22">
        <f t="shared" si="119"/>
        <v>0.32390261584247509</v>
      </c>
    </row>
    <row r="1918" spans="1:18">
      <c r="A1918" s="18">
        <v>2917</v>
      </c>
      <c r="B1918" s="19" t="s">
        <v>667</v>
      </c>
      <c r="C1918" s="18">
        <v>2025</v>
      </c>
      <c r="D1918" s="18" t="s">
        <v>55</v>
      </c>
      <c r="E1918" s="18" t="s">
        <v>85</v>
      </c>
      <c r="F1918" s="18" t="s">
        <v>121</v>
      </c>
      <c r="G1918" s="18" t="s">
        <v>44</v>
      </c>
      <c r="H1918" s="18" t="s">
        <v>119</v>
      </c>
      <c r="I1918" s="18" t="s">
        <v>52</v>
      </c>
      <c r="J1918" s="18" t="s">
        <v>82</v>
      </c>
      <c r="K1918" s="18">
        <v>8</v>
      </c>
      <c r="L1918" s="20">
        <v>6839.61</v>
      </c>
      <c r="M1918" s="21">
        <v>0.15</v>
      </c>
      <c r="N1918" s="21">
        <v>0.71955818086158696</v>
      </c>
      <c r="O1918" s="20">
        <f t="shared" si="116"/>
        <v>46509.347999999998</v>
      </c>
      <c r="P1918" s="20">
        <f t="shared" si="117"/>
        <v>33466.181839938487</v>
      </c>
      <c r="Q1918" s="20">
        <f t="shared" si="118"/>
        <v>13043.166160061512</v>
      </c>
      <c r="R1918" s="22">
        <f t="shared" si="119"/>
        <v>0.28044181913841304</v>
      </c>
    </row>
    <row r="1919" spans="1:18">
      <c r="A1919" s="18">
        <v>2918</v>
      </c>
      <c r="B1919" s="19" t="s">
        <v>667</v>
      </c>
      <c r="C1919" s="18">
        <v>2025</v>
      </c>
      <c r="D1919" s="18" t="s">
        <v>55</v>
      </c>
      <c r="E1919" s="18" t="s">
        <v>79</v>
      </c>
      <c r="F1919" s="18" t="s">
        <v>100</v>
      </c>
      <c r="G1919" s="18" t="s">
        <v>47</v>
      </c>
      <c r="H1919" s="18" t="s">
        <v>103</v>
      </c>
      <c r="I1919" s="18" t="s">
        <v>46</v>
      </c>
      <c r="J1919" s="18" t="s">
        <v>91</v>
      </c>
      <c r="K1919" s="18">
        <v>11</v>
      </c>
      <c r="L1919" s="20">
        <v>3160.49</v>
      </c>
      <c r="M1919" s="21">
        <v>0.05</v>
      </c>
      <c r="N1919" s="21">
        <v>0.65918300363747095</v>
      </c>
      <c r="O1919" s="20">
        <f t="shared" si="116"/>
        <v>33027.120499999997</v>
      </c>
      <c r="P1919" s="20">
        <f t="shared" si="117"/>
        <v>21770.916492686691</v>
      </c>
      <c r="Q1919" s="20">
        <f t="shared" si="118"/>
        <v>11256.204007313307</v>
      </c>
      <c r="R1919" s="22">
        <f t="shared" si="119"/>
        <v>0.34081699636252905</v>
      </c>
    </row>
    <row r="1920" spans="1:18">
      <c r="A1920" s="18">
        <v>2919</v>
      </c>
      <c r="B1920" s="19" t="s">
        <v>668</v>
      </c>
      <c r="C1920" s="18">
        <v>2025</v>
      </c>
      <c r="D1920" s="18" t="s">
        <v>55</v>
      </c>
      <c r="E1920" s="18" t="s">
        <v>85</v>
      </c>
      <c r="F1920" s="18" t="s">
        <v>94</v>
      </c>
      <c r="G1920" s="18" t="s">
        <v>50</v>
      </c>
      <c r="H1920" s="18" t="s">
        <v>97</v>
      </c>
      <c r="I1920" s="18" t="s">
        <v>60</v>
      </c>
      <c r="J1920" s="18" t="s">
        <v>91</v>
      </c>
      <c r="K1920" s="18">
        <v>10</v>
      </c>
      <c r="L1920" s="20">
        <v>11774.82</v>
      </c>
      <c r="M1920" s="21">
        <v>0</v>
      </c>
      <c r="N1920" s="21">
        <v>0.61546532413405897</v>
      </c>
      <c r="O1920" s="20">
        <f t="shared" si="116"/>
        <v>117748.2</v>
      </c>
      <c r="P1920" s="20">
        <f t="shared" si="117"/>
        <v>72469.934079201994</v>
      </c>
      <c r="Q1920" s="20">
        <f t="shared" si="118"/>
        <v>45278.265920798003</v>
      </c>
      <c r="R1920" s="22">
        <f t="shared" si="119"/>
        <v>0.38453467586594109</v>
      </c>
    </row>
    <row r="1921" spans="1:18">
      <c r="A1921" s="18">
        <v>2920</v>
      </c>
      <c r="B1921" s="19" t="s">
        <v>668</v>
      </c>
      <c r="C1921" s="18">
        <v>2025</v>
      </c>
      <c r="D1921" s="18" t="s">
        <v>55</v>
      </c>
      <c r="E1921" s="18" t="s">
        <v>98</v>
      </c>
      <c r="F1921" s="18" t="s">
        <v>109</v>
      </c>
      <c r="G1921" s="18" t="s">
        <v>41</v>
      </c>
      <c r="H1921" s="18" t="s">
        <v>90</v>
      </c>
      <c r="I1921" s="18" t="s">
        <v>43</v>
      </c>
      <c r="J1921" s="18" t="s">
        <v>102</v>
      </c>
      <c r="K1921" s="18">
        <v>3</v>
      </c>
      <c r="L1921" s="20">
        <v>18400.29</v>
      </c>
      <c r="M1921" s="21">
        <v>0.2</v>
      </c>
      <c r="N1921" s="21">
        <v>0.58611628421930695</v>
      </c>
      <c r="O1921" s="20">
        <f t="shared" si="116"/>
        <v>44160.696000000004</v>
      </c>
      <c r="P1921" s="20">
        <f t="shared" si="117"/>
        <v>25883.303048058413</v>
      </c>
      <c r="Q1921" s="20">
        <f t="shared" si="118"/>
        <v>18277.392951941591</v>
      </c>
      <c r="R1921" s="22">
        <f t="shared" si="119"/>
        <v>0.41388371578069305</v>
      </c>
    </row>
    <row r="1922" spans="1:18">
      <c r="A1922" s="18">
        <v>2921</v>
      </c>
      <c r="B1922" s="19" t="s">
        <v>668</v>
      </c>
      <c r="C1922" s="18">
        <v>2025</v>
      </c>
      <c r="D1922" s="18" t="s">
        <v>55</v>
      </c>
      <c r="E1922" s="18" t="s">
        <v>85</v>
      </c>
      <c r="F1922" s="18" t="s">
        <v>121</v>
      </c>
      <c r="G1922" s="18" t="s">
        <v>44</v>
      </c>
      <c r="H1922" s="18" t="s">
        <v>95</v>
      </c>
      <c r="I1922" s="18" t="s">
        <v>56</v>
      </c>
      <c r="J1922" s="18" t="s">
        <v>102</v>
      </c>
      <c r="K1922" s="18">
        <v>1</v>
      </c>
      <c r="L1922" s="20">
        <v>4433.07</v>
      </c>
      <c r="M1922" s="21">
        <v>0</v>
      </c>
      <c r="N1922" s="21">
        <v>0.64489616614372502</v>
      </c>
      <c r="O1922" s="20">
        <f t="shared" ref="O1922:O1985" si="120">K1922*L1922*(1-M1922)</f>
        <v>4433.07</v>
      </c>
      <c r="P1922" s="20">
        <f t="shared" ref="P1922:P1985" si="121">O1922*N1922</f>
        <v>2858.8698472467631</v>
      </c>
      <c r="Q1922" s="20">
        <f t="shared" ref="Q1922:Q1985" si="122">O1922-P1922</f>
        <v>1574.2001527532366</v>
      </c>
      <c r="R1922" s="22">
        <f t="shared" ref="R1922:R1985" si="123">IF(O1922=0,0,Q1922/O1922)</f>
        <v>0.35510383385627492</v>
      </c>
    </row>
    <row r="1923" spans="1:18">
      <c r="A1923" s="18">
        <v>2922</v>
      </c>
      <c r="B1923" s="19" t="s">
        <v>669</v>
      </c>
      <c r="C1923" s="18">
        <v>2025</v>
      </c>
      <c r="D1923" s="18" t="s">
        <v>55</v>
      </c>
      <c r="E1923" s="18" t="s">
        <v>79</v>
      </c>
      <c r="F1923" s="18" t="s">
        <v>100</v>
      </c>
      <c r="G1923" s="18" t="s">
        <v>50</v>
      </c>
      <c r="H1923" s="18" t="s">
        <v>83</v>
      </c>
      <c r="I1923" s="18" t="s">
        <v>56</v>
      </c>
      <c r="J1923" s="18" t="s">
        <v>91</v>
      </c>
      <c r="K1923" s="18">
        <v>4</v>
      </c>
      <c r="L1923" s="20">
        <v>3468.78</v>
      </c>
      <c r="M1923" s="21">
        <v>0.2</v>
      </c>
      <c r="N1923" s="21">
        <v>0.67952369917297795</v>
      </c>
      <c r="O1923" s="20">
        <f t="shared" si="120"/>
        <v>11100.096000000001</v>
      </c>
      <c r="P1923" s="20">
        <f t="shared" si="121"/>
        <v>7542.7782950951769</v>
      </c>
      <c r="Q1923" s="20">
        <f t="shared" si="122"/>
        <v>3557.3177049048245</v>
      </c>
      <c r="R1923" s="22">
        <f t="shared" si="123"/>
        <v>0.32047630082702205</v>
      </c>
    </row>
    <row r="1924" spans="1:18">
      <c r="A1924" s="18">
        <v>2923</v>
      </c>
      <c r="B1924" s="19" t="s">
        <v>669</v>
      </c>
      <c r="C1924" s="18">
        <v>2025</v>
      </c>
      <c r="D1924" s="18" t="s">
        <v>55</v>
      </c>
      <c r="E1924" s="18" t="s">
        <v>79</v>
      </c>
      <c r="F1924" s="18" t="s">
        <v>80</v>
      </c>
      <c r="G1924" s="18" t="s">
        <v>47</v>
      </c>
      <c r="H1924" s="18" t="s">
        <v>107</v>
      </c>
      <c r="I1924" s="18" t="s">
        <v>54</v>
      </c>
      <c r="J1924" s="18" t="s">
        <v>102</v>
      </c>
      <c r="K1924" s="18">
        <v>1</v>
      </c>
      <c r="L1924" s="20">
        <v>2173.38</v>
      </c>
      <c r="M1924" s="21">
        <v>0</v>
      </c>
      <c r="N1924" s="21">
        <v>0.55983034525032804</v>
      </c>
      <c r="O1924" s="20">
        <f t="shared" si="120"/>
        <v>2173.38</v>
      </c>
      <c r="P1924" s="20">
        <f t="shared" si="121"/>
        <v>1216.724075760158</v>
      </c>
      <c r="Q1924" s="20">
        <f t="shared" si="122"/>
        <v>956.65592423984208</v>
      </c>
      <c r="R1924" s="22">
        <f t="shared" si="123"/>
        <v>0.44016965474967196</v>
      </c>
    </row>
    <row r="1925" spans="1:18">
      <c r="A1925" s="18">
        <v>2924</v>
      </c>
      <c r="B1925" s="19" t="s">
        <v>669</v>
      </c>
      <c r="C1925" s="18">
        <v>2025</v>
      </c>
      <c r="D1925" s="18" t="s">
        <v>55</v>
      </c>
      <c r="E1925" s="18" t="s">
        <v>98</v>
      </c>
      <c r="F1925" s="18" t="s">
        <v>117</v>
      </c>
      <c r="G1925" s="18" t="s">
        <v>47</v>
      </c>
      <c r="H1925" s="18" t="s">
        <v>103</v>
      </c>
      <c r="I1925" s="18" t="s">
        <v>62</v>
      </c>
      <c r="J1925" s="18" t="s">
        <v>91</v>
      </c>
      <c r="K1925" s="18">
        <v>3</v>
      </c>
      <c r="L1925" s="20">
        <v>3055.03</v>
      </c>
      <c r="M1925" s="21">
        <v>0.1</v>
      </c>
      <c r="N1925" s="21">
        <v>0.74972800221300795</v>
      </c>
      <c r="O1925" s="20">
        <f t="shared" si="120"/>
        <v>8248.5810000000001</v>
      </c>
      <c r="P1925" s="20">
        <f t="shared" si="121"/>
        <v>6184.1921542221753</v>
      </c>
      <c r="Q1925" s="20">
        <f t="shared" si="122"/>
        <v>2064.3888457778248</v>
      </c>
      <c r="R1925" s="22">
        <f t="shared" si="123"/>
        <v>0.25027199778699205</v>
      </c>
    </row>
    <row r="1926" spans="1:18">
      <c r="A1926" s="18">
        <v>2925</v>
      </c>
      <c r="B1926" s="19" t="s">
        <v>669</v>
      </c>
      <c r="C1926" s="18">
        <v>2025</v>
      </c>
      <c r="D1926" s="18" t="s">
        <v>55</v>
      </c>
      <c r="E1926" s="18" t="s">
        <v>98</v>
      </c>
      <c r="F1926" s="18" t="s">
        <v>99</v>
      </c>
      <c r="G1926" s="18" t="s">
        <v>50</v>
      </c>
      <c r="H1926" s="18" t="s">
        <v>97</v>
      </c>
      <c r="I1926" s="18" t="s">
        <v>58</v>
      </c>
      <c r="J1926" s="18" t="s">
        <v>91</v>
      </c>
      <c r="K1926" s="18">
        <v>1</v>
      </c>
      <c r="L1926" s="20">
        <v>11792.25</v>
      </c>
      <c r="M1926" s="21">
        <v>0.1</v>
      </c>
      <c r="N1926" s="21">
        <v>0.60242615962301105</v>
      </c>
      <c r="O1926" s="20">
        <f t="shared" si="120"/>
        <v>10613.025</v>
      </c>
      <c r="P1926" s="20">
        <f t="shared" si="121"/>
        <v>6393.5638927330065</v>
      </c>
      <c r="Q1926" s="20">
        <f t="shared" si="122"/>
        <v>4219.4611072669932</v>
      </c>
      <c r="R1926" s="22">
        <f t="shared" si="123"/>
        <v>0.39757384037698895</v>
      </c>
    </row>
    <row r="1927" spans="1:18">
      <c r="A1927" s="18">
        <v>2926</v>
      </c>
      <c r="B1927" s="19" t="s">
        <v>669</v>
      </c>
      <c r="C1927" s="18">
        <v>2025</v>
      </c>
      <c r="D1927" s="18" t="s">
        <v>55</v>
      </c>
      <c r="E1927" s="18" t="s">
        <v>79</v>
      </c>
      <c r="F1927" s="18" t="s">
        <v>105</v>
      </c>
      <c r="G1927" s="18" t="s">
        <v>47</v>
      </c>
      <c r="H1927" s="18" t="s">
        <v>107</v>
      </c>
      <c r="I1927" s="18" t="s">
        <v>54</v>
      </c>
      <c r="J1927" s="18" t="s">
        <v>91</v>
      </c>
      <c r="K1927" s="18">
        <v>8</v>
      </c>
      <c r="L1927" s="20">
        <v>2164.7800000000002</v>
      </c>
      <c r="M1927" s="21">
        <v>0</v>
      </c>
      <c r="N1927" s="21">
        <v>0.66424202986154202</v>
      </c>
      <c r="O1927" s="20">
        <f t="shared" si="120"/>
        <v>17318.240000000002</v>
      </c>
      <c r="P1927" s="20">
        <f t="shared" si="121"/>
        <v>11503.502891229353</v>
      </c>
      <c r="Q1927" s="20">
        <f t="shared" si="122"/>
        <v>5814.7371087706488</v>
      </c>
      <c r="R1927" s="22">
        <f t="shared" si="123"/>
        <v>0.33575797013845798</v>
      </c>
    </row>
    <row r="1928" spans="1:18">
      <c r="A1928" s="18">
        <v>2927</v>
      </c>
      <c r="B1928" s="19" t="s">
        <v>670</v>
      </c>
      <c r="C1928" s="18">
        <v>2025</v>
      </c>
      <c r="D1928" s="18" t="s">
        <v>55</v>
      </c>
      <c r="E1928" s="18" t="s">
        <v>98</v>
      </c>
      <c r="F1928" s="18" t="s">
        <v>117</v>
      </c>
      <c r="G1928" s="18" t="s">
        <v>44</v>
      </c>
      <c r="H1928" s="18" t="s">
        <v>95</v>
      </c>
      <c r="I1928" s="18" t="s">
        <v>62</v>
      </c>
      <c r="J1928" s="18" t="s">
        <v>82</v>
      </c>
      <c r="K1928" s="18">
        <v>7</v>
      </c>
      <c r="L1928" s="20">
        <v>4333.8900000000003</v>
      </c>
      <c r="M1928" s="21">
        <v>0.05</v>
      </c>
      <c r="N1928" s="21">
        <v>0.60161770850260599</v>
      </c>
      <c r="O1928" s="20">
        <f t="shared" si="120"/>
        <v>28820.3685</v>
      </c>
      <c r="P1928" s="20">
        <f t="shared" si="121"/>
        <v>17338.844055170688</v>
      </c>
      <c r="Q1928" s="20">
        <f t="shared" si="122"/>
        <v>11481.524444829312</v>
      </c>
      <c r="R1928" s="22">
        <f t="shared" si="123"/>
        <v>0.39838229149739401</v>
      </c>
    </row>
    <row r="1929" spans="1:18">
      <c r="A1929" s="18">
        <v>2928</v>
      </c>
      <c r="B1929" s="19" t="s">
        <v>670</v>
      </c>
      <c r="C1929" s="18">
        <v>2025</v>
      </c>
      <c r="D1929" s="18" t="s">
        <v>55</v>
      </c>
      <c r="E1929" s="18" t="s">
        <v>85</v>
      </c>
      <c r="F1929" s="18" t="s">
        <v>121</v>
      </c>
      <c r="G1929" s="18" t="s">
        <v>44</v>
      </c>
      <c r="H1929" s="18" t="s">
        <v>95</v>
      </c>
      <c r="I1929" s="18" t="s">
        <v>46</v>
      </c>
      <c r="J1929" s="18" t="s">
        <v>91</v>
      </c>
      <c r="K1929" s="18">
        <v>6</v>
      </c>
      <c r="L1929" s="20">
        <v>4590.2700000000004</v>
      </c>
      <c r="M1929" s="21">
        <v>0</v>
      </c>
      <c r="N1929" s="21">
        <v>0.57167973875476497</v>
      </c>
      <c r="O1929" s="20">
        <f t="shared" si="120"/>
        <v>27541.620000000003</v>
      </c>
      <c r="P1929" s="20">
        <f t="shared" si="121"/>
        <v>15744.986126483011</v>
      </c>
      <c r="Q1929" s="20">
        <f t="shared" si="122"/>
        <v>11796.633873516992</v>
      </c>
      <c r="R1929" s="22">
        <f t="shared" si="123"/>
        <v>0.42832026124523509</v>
      </c>
    </row>
    <row r="1930" spans="1:18">
      <c r="A1930" s="18">
        <v>2929</v>
      </c>
      <c r="B1930" s="19" t="s">
        <v>670</v>
      </c>
      <c r="C1930" s="18">
        <v>2025</v>
      </c>
      <c r="D1930" s="18" t="s">
        <v>55</v>
      </c>
      <c r="E1930" s="18" t="s">
        <v>98</v>
      </c>
      <c r="F1930" s="18" t="s">
        <v>99</v>
      </c>
      <c r="G1930" s="18" t="s">
        <v>47</v>
      </c>
      <c r="H1930" s="18" t="s">
        <v>81</v>
      </c>
      <c r="I1930" s="18" t="s">
        <v>40</v>
      </c>
      <c r="J1930" s="18" t="s">
        <v>82</v>
      </c>
      <c r="K1930" s="18">
        <v>12</v>
      </c>
      <c r="L1930" s="20">
        <v>834.55</v>
      </c>
      <c r="M1930" s="21">
        <v>0.1</v>
      </c>
      <c r="N1930" s="21">
        <v>0.58205282815631598</v>
      </c>
      <c r="O1930" s="20">
        <f t="shared" si="120"/>
        <v>9013.14</v>
      </c>
      <c r="P1930" s="20">
        <f t="shared" si="121"/>
        <v>5246.1236275688179</v>
      </c>
      <c r="Q1930" s="20">
        <f t="shared" si="122"/>
        <v>3767.0163724311815</v>
      </c>
      <c r="R1930" s="22">
        <f t="shared" si="123"/>
        <v>0.41794717184368396</v>
      </c>
    </row>
    <row r="1931" spans="1:18">
      <c r="A1931" s="18">
        <v>2930</v>
      </c>
      <c r="B1931" s="19" t="s">
        <v>670</v>
      </c>
      <c r="C1931" s="18">
        <v>2025</v>
      </c>
      <c r="D1931" s="18" t="s">
        <v>55</v>
      </c>
      <c r="E1931" s="18" t="s">
        <v>88</v>
      </c>
      <c r="F1931" s="18" t="s">
        <v>110</v>
      </c>
      <c r="G1931" s="18" t="s">
        <v>44</v>
      </c>
      <c r="H1931" s="18" t="s">
        <v>119</v>
      </c>
      <c r="I1931" s="18" t="s">
        <v>52</v>
      </c>
      <c r="J1931" s="18" t="s">
        <v>82</v>
      </c>
      <c r="K1931" s="18">
        <v>8</v>
      </c>
      <c r="L1931" s="20">
        <v>6949.73</v>
      </c>
      <c r="M1931" s="21">
        <v>0.1</v>
      </c>
      <c r="N1931" s="21">
        <v>0.68878992595768596</v>
      </c>
      <c r="O1931" s="20">
        <f t="shared" si="120"/>
        <v>50038.055999999997</v>
      </c>
      <c r="P1931" s="20">
        <f t="shared" si="121"/>
        <v>34465.708887306544</v>
      </c>
      <c r="Q1931" s="20">
        <f t="shared" si="122"/>
        <v>15572.347112693453</v>
      </c>
      <c r="R1931" s="22">
        <f t="shared" si="123"/>
        <v>0.31121007404231399</v>
      </c>
    </row>
    <row r="1932" spans="1:18">
      <c r="A1932" s="18">
        <v>2931</v>
      </c>
      <c r="B1932" s="19" t="s">
        <v>671</v>
      </c>
      <c r="C1932" s="18">
        <v>2025</v>
      </c>
      <c r="D1932" s="18" t="s">
        <v>55</v>
      </c>
      <c r="E1932" s="18" t="s">
        <v>98</v>
      </c>
      <c r="F1932" s="18" t="s">
        <v>109</v>
      </c>
      <c r="G1932" s="18" t="s">
        <v>44</v>
      </c>
      <c r="H1932" s="18" t="s">
        <v>114</v>
      </c>
      <c r="I1932" s="18" t="s">
        <v>62</v>
      </c>
      <c r="J1932" s="18" t="s">
        <v>82</v>
      </c>
      <c r="K1932" s="18">
        <v>7</v>
      </c>
      <c r="L1932" s="20">
        <v>8574.9699999999993</v>
      </c>
      <c r="M1932" s="21">
        <v>0</v>
      </c>
      <c r="N1932" s="21">
        <v>0.58537550312419295</v>
      </c>
      <c r="O1932" s="20">
        <f t="shared" si="120"/>
        <v>60024.789999999994</v>
      </c>
      <c r="P1932" s="20">
        <f t="shared" si="121"/>
        <v>35137.041646174024</v>
      </c>
      <c r="Q1932" s="20">
        <f t="shared" si="122"/>
        <v>24887.748353825969</v>
      </c>
      <c r="R1932" s="22">
        <f t="shared" si="123"/>
        <v>0.41462449687580699</v>
      </c>
    </row>
    <row r="1933" spans="1:18">
      <c r="A1933" s="18">
        <v>2932</v>
      </c>
      <c r="B1933" s="19" t="s">
        <v>671</v>
      </c>
      <c r="C1933" s="18">
        <v>2025</v>
      </c>
      <c r="D1933" s="18" t="s">
        <v>55</v>
      </c>
      <c r="E1933" s="18" t="s">
        <v>79</v>
      </c>
      <c r="F1933" s="18" t="s">
        <v>100</v>
      </c>
      <c r="G1933" s="18" t="s">
        <v>47</v>
      </c>
      <c r="H1933" s="18" t="s">
        <v>103</v>
      </c>
      <c r="I1933" s="18" t="s">
        <v>52</v>
      </c>
      <c r="J1933" s="18" t="s">
        <v>102</v>
      </c>
      <c r="K1933" s="18">
        <v>9</v>
      </c>
      <c r="L1933" s="20">
        <v>3244.61</v>
      </c>
      <c r="M1933" s="21">
        <v>0</v>
      </c>
      <c r="N1933" s="21">
        <v>0.55122385734393098</v>
      </c>
      <c r="O1933" s="20">
        <f t="shared" si="120"/>
        <v>29201.49</v>
      </c>
      <c r="P1933" s="20">
        <f t="shared" si="121"/>
        <v>16096.557957990228</v>
      </c>
      <c r="Q1933" s="20">
        <f t="shared" si="122"/>
        <v>13104.932042009774</v>
      </c>
      <c r="R1933" s="22">
        <f t="shared" si="123"/>
        <v>0.44877614265606902</v>
      </c>
    </row>
    <row r="1934" spans="1:18">
      <c r="A1934" s="18">
        <v>2933</v>
      </c>
      <c r="B1934" s="19" t="s">
        <v>671</v>
      </c>
      <c r="C1934" s="18">
        <v>2025</v>
      </c>
      <c r="D1934" s="18" t="s">
        <v>55</v>
      </c>
      <c r="E1934" s="18" t="s">
        <v>79</v>
      </c>
      <c r="F1934" s="18" t="s">
        <v>100</v>
      </c>
      <c r="G1934" s="18" t="s">
        <v>50</v>
      </c>
      <c r="H1934" s="18" t="s">
        <v>87</v>
      </c>
      <c r="I1934" s="18" t="s">
        <v>60</v>
      </c>
      <c r="J1934" s="18" t="s">
        <v>91</v>
      </c>
      <c r="K1934" s="18">
        <v>8</v>
      </c>
      <c r="L1934" s="20">
        <v>9700.42</v>
      </c>
      <c r="M1934" s="21">
        <v>0.15</v>
      </c>
      <c r="N1934" s="21">
        <v>0.57557043015343501</v>
      </c>
      <c r="O1934" s="20">
        <f t="shared" si="120"/>
        <v>65962.856</v>
      </c>
      <c r="P1934" s="20">
        <f t="shared" si="121"/>
        <v>37966.269402069091</v>
      </c>
      <c r="Q1934" s="20">
        <f t="shared" si="122"/>
        <v>27996.586597930909</v>
      </c>
      <c r="R1934" s="22">
        <f t="shared" si="123"/>
        <v>0.42442956984656499</v>
      </c>
    </row>
    <row r="1935" spans="1:18">
      <c r="A1935" s="18">
        <v>2934</v>
      </c>
      <c r="B1935" s="19" t="s">
        <v>671</v>
      </c>
      <c r="C1935" s="18">
        <v>2025</v>
      </c>
      <c r="D1935" s="18" t="s">
        <v>55</v>
      </c>
      <c r="E1935" s="18" t="s">
        <v>79</v>
      </c>
      <c r="F1935" s="18" t="s">
        <v>100</v>
      </c>
      <c r="G1935" s="18" t="s">
        <v>47</v>
      </c>
      <c r="H1935" s="18" t="s">
        <v>107</v>
      </c>
      <c r="I1935" s="18" t="s">
        <v>40</v>
      </c>
      <c r="J1935" s="18" t="s">
        <v>91</v>
      </c>
      <c r="K1935" s="18">
        <v>8</v>
      </c>
      <c r="L1935" s="20">
        <v>2119.6799999999998</v>
      </c>
      <c r="M1935" s="21">
        <v>0.2</v>
      </c>
      <c r="N1935" s="21">
        <v>0.63170973627645999</v>
      </c>
      <c r="O1935" s="20">
        <f t="shared" si="120"/>
        <v>13565.951999999999</v>
      </c>
      <c r="P1935" s="20">
        <f t="shared" si="121"/>
        <v>8569.7439602591148</v>
      </c>
      <c r="Q1935" s="20">
        <f t="shared" si="122"/>
        <v>4996.2080397408845</v>
      </c>
      <c r="R1935" s="22">
        <f t="shared" si="123"/>
        <v>0.36829026372354001</v>
      </c>
    </row>
    <row r="1936" spans="1:18">
      <c r="A1936" s="18">
        <v>2935</v>
      </c>
      <c r="B1936" s="19" t="s">
        <v>671</v>
      </c>
      <c r="C1936" s="18">
        <v>2025</v>
      </c>
      <c r="D1936" s="18" t="s">
        <v>55</v>
      </c>
      <c r="E1936" s="18" t="s">
        <v>98</v>
      </c>
      <c r="F1936" s="18" t="s">
        <v>117</v>
      </c>
      <c r="G1936" s="18" t="s">
        <v>50</v>
      </c>
      <c r="H1936" s="18" t="s">
        <v>83</v>
      </c>
      <c r="I1936" s="18" t="s">
        <v>46</v>
      </c>
      <c r="J1936" s="18" t="s">
        <v>102</v>
      </c>
      <c r="K1936" s="18">
        <v>2</v>
      </c>
      <c r="L1936" s="20">
        <v>3646.83</v>
      </c>
      <c r="M1936" s="21">
        <v>0</v>
      </c>
      <c r="N1936" s="21">
        <v>0.59077818919533798</v>
      </c>
      <c r="O1936" s="20">
        <f t="shared" si="120"/>
        <v>7293.66</v>
      </c>
      <c r="P1936" s="20">
        <f t="shared" si="121"/>
        <v>4308.935247406469</v>
      </c>
      <c r="Q1936" s="20">
        <f t="shared" si="122"/>
        <v>2984.7247525935309</v>
      </c>
      <c r="R1936" s="22">
        <f t="shared" si="123"/>
        <v>0.40922181080466197</v>
      </c>
    </row>
    <row r="1937" spans="1:18">
      <c r="A1937" s="18">
        <v>2936</v>
      </c>
      <c r="B1937" s="19" t="s">
        <v>672</v>
      </c>
      <c r="C1937" s="18">
        <v>2025</v>
      </c>
      <c r="D1937" s="18" t="s">
        <v>55</v>
      </c>
      <c r="E1937" s="18" t="s">
        <v>88</v>
      </c>
      <c r="F1937" s="18" t="s">
        <v>93</v>
      </c>
      <c r="G1937" s="18" t="s">
        <v>50</v>
      </c>
      <c r="H1937" s="18" t="s">
        <v>97</v>
      </c>
      <c r="I1937" s="18" t="s">
        <v>49</v>
      </c>
      <c r="J1937" s="18" t="s">
        <v>91</v>
      </c>
      <c r="K1937" s="18">
        <v>6</v>
      </c>
      <c r="L1937" s="20">
        <v>12235.72</v>
      </c>
      <c r="M1937" s="21">
        <v>0.2</v>
      </c>
      <c r="N1937" s="21">
        <v>0.62717388997435297</v>
      </c>
      <c r="O1937" s="20">
        <f t="shared" si="120"/>
        <v>58731.455999999998</v>
      </c>
      <c r="P1937" s="20">
        <f t="shared" si="121"/>
        <v>36834.835723377553</v>
      </c>
      <c r="Q1937" s="20">
        <f t="shared" si="122"/>
        <v>21896.620276622445</v>
      </c>
      <c r="R1937" s="22">
        <f t="shared" si="123"/>
        <v>0.37282611002564703</v>
      </c>
    </row>
    <row r="1938" spans="1:18">
      <c r="A1938" s="18">
        <v>2937</v>
      </c>
      <c r="B1938" s="19" t="s">
        <v>672</v>
      </c>
      <c r="C1938" s="18">
        <v>2025</v>
      </c>
      <c r="D1938" s="18" t="s">
        <v>55</v>
      </c>
      <c r="E1938" s="18" t="s">
        <v>79</v>
      </c>
      <c r="F1938" s="18" t="s">
        <v>105</v>
      </c>
      <c r="G1938" s="18" t="s">
        <v>47</v>
      </c>
      <c r="H1938" s="18" t="s">
        <v>103</v>
      </c>
      <c r="I1938" s="18" t="s">
        <v>46</v>
      </c>
      <c r="J1938" s="18" t="s">
        <v>91</v>
      </c>
      <c r="K1938" s="18">
        <v>5</v>
      </c>
      <c r="L1938" s="20">
        <v>3343.36</v>
      </c>
      <c r="M1938" s="21">
        <v>0</v>
      </c>
      <c r="N1938" s="21">
        <v>0.61195258964287802</v>
      </c>
      <c r="O1938" s="20">
        <f t="shared" si="120"/>
        <v>16716.8</v>
      </c>
      <c r="P1938" s="20">
        <f t="shared" si="121"/>
        <v>10229.889050542062</v>
      </c>
      <c r="Q1938" s="20">
        <f t="shared" si="122"/>
        <v>6486.910949457937</v>
      </c>
      <c r="R1938" s="22">
        <f t="shared" si="123"/>
        <v>0.38804741035712204</v>
      </c>
    </row>
    <row r="1939" spans="1:18">
      <c r="A1939" s="18">
        <v>2938</v>
      </c>
      <c r="B1939" s="19" t="s">
        <v>672</v>
      </c>
      <c r="C1939" s="18">
        <v>2025</v>
      </c>
      <c r="D1939" s="18" t="s">
        <v>55</v>
      </c>
      <c r="E1939" s="18" t="s">
        <v>79</v>
      </c>
      <c r="F1939" s="18" t="s">
        <v>80</v>
      </c>
      <c r="G1939" s="18" t="s">
        <v>44</v>
      </c>
      <c r="H1939" s="18" t="s">
        <v>95</v>
      </c>
      <c r="I1939" s="18" t="s">
        <v>54</v>
      </c>
      <c r="J1939" s="18" t="s">
        <v>91</v>
      </c>
      <c r="K1939" s="18">
        <v>6</v>
      </c>
      <c r="L1939" s="20">
        <v>4633.6099999999997</v>
      </c>
      <c r="M1939" s="21">
        <v>0.05</v>
      </c>
      <c r="N1939" s="21">
        <v>0.55942981545840997</v>
      </c>
      <c r="O1939" s="20">
        <f t="shared" si="120"/>
        <v>26411.576999999994</v>
      </c>
      <c r="P1939" s="20">
        <f t="shared" si="121"/>
        <v>14775.423647075582</v>
      </c>
      <c r="Q1939" s="20">
        <f t="shared" si="122"/>
        <v>11636.153352924412</v>
      </c>
      <c r="R1939" s="22">
        <f t="shared" si="123"/>
        <v>0.44057018454159003</v>
      </c>
    </row>
    <row r="1940" spans="1:18">
      <c r="A1940" s="18">
        <v>2939</v>
      </c>
      <c r="B1940" s="19" t="s">
        <v>672</v>
      </c>
      <c r="C1940" s="18">
        <v>2025</v>
      </c>
      <c r="D1940" s="18" t="s">
        <v>55</v>
      </c>
      <c r="E1940" s="18" t="s">
        <v>85</v>
      </c>
      <c r="F1940" s="18" t="s">
        <v>121</v>
      </c>
      <c r="G1940" s="18" t="s">
        <v>47</v>
      </c>
      <c r="H1940" s="18" t="s">
        <v>103</v>
      </c>
      <c r="I1940" s="18" t="s">
        <v>54</v>
      </c>
      <c r="J1940" s="18" t="s">
        <v>91</v>
      </c>
      <c r="K1940" s="18">
        <v>11</v>
      </c>
      <c r="L1940" s="20">
        <v>3189.51</v>
      </c>
      <c r="M1940" s="21">
        <v>0.2</v>
      </c>
      <c r="N1940" s="21">
        <v>0.57912839929740201</v>
      </c>
      <c r="O1940" s="20">
        <f t="shared" si="120"/>
        <v>28067.688000000002</v>
      </c>
      <c r="P1940" s="20">
        <f t="shared" si="121"/>
        <v>16254.7952234189</v>
      </c>
      <c r="Q1940" s="20">
        <f t="shared" si="122"/>
        <v>11812.892776581102</v>
      </c>
      <c r="R1940" s="22">
        <f t="shared" si="123"/>
        <v>0.42087160070259799</v>
      </c>
    </row>
    <row r="1941" spans="1:18">
      <c r="A1941" s="18">
        <v>2940</v>
      </c>
      <c r="B1941" s="19" t="s">
        <v>673</v>
      </c>
      <c r="C1941" s="18">
        <v>2025</v>
      </c>
      <c r="D1941" s="18" t="s">
        <v>55</v>
      </c>
      <c r="E1941" s="18" t="s">
        <v>79</v>
      </c>
      <c r="F1941" s="18" t="s">
        <v>100</v>
      </c>
      <c r="G1941" s="18" t="s">
        <v>44</v>
      </c>
      <c r="H1941" s="18" t="s">
        <v>119</v>
      </c>
      <c r="I1941" s="18" t="s">
        <v>46</v>
      </c>
      <c r="J1941" s="18" t="s">
        <v>102</v>
      </c>
      <c r="K1941" s="18">
        <v>8</v>
      </c>
      <c r="L1941" s="20">
        <v>6849.83</v>
      </c>
      <c r="M1941" s="21">
        <v>0.15</v>
      </c>
      <c r="N1941" s="21">
        <v>0.67295532340608499</v>
      </c>
      <c r="O1941" s="20">
        <f t="shared" si="120"/>
        <v>46578.843999999997</v>
      </c>
      <c r="P1941" s="20">
        <f t="shared" si="121"/>
        <v>31345.48102790158</v>
      </c>
      <c r="Q1941" s="20">
        <f t="shared" si="122"/>
        <v>15233.362972098417</v>
      </c>
      <c r="R1941" s="22">
        <f t="shared" si="123"/>
        <v>0.32704467659391501</v>
      </c>
    </row>
    <row r="1942" spans="1:18">
      <c r="A1942" s="18">
        <v>2941</v>
      </c>
      <c r="B1942" s="19" t="s">
        <v>673</v>
      </c>
      <c r="C1942" s="18">
        <v>2025</v>
      </c>
      <c r="D1942" s="18" t="s">
        <v>55</v>
      </c>
      <c r="E1942" s="18" t="s">
        <v>85</v>
      </c>
      <c r="F1942" s="18" t="s">
        <v>94</v>
      </c>
      <c r="G1942" s="18" t="s">
        <v>41</v>
      </c>
      <c r="H1942" s="18" t="s">
        <v>112</v>
      </c>
      <c r="I1942" s="18" t="s">
        <v>58</v>
      </c>
      <c r="J1942" s="18" t="s">
        <v>91</v>
      </c>
      <c r="K1942" s="18">
        <v>4</v>
      </c>
      <c r="L1942" s="20">
        <v>5845.74</v>
      </c>
      <c r="M1942" s="21">
        <v>0.05</v>
      </c>
      <c r="N1942" s="21">
        <v>0.67901298052298398</v>
      </c>
      <c r="O1942" s="20">
        <f t="shared" si="120"/>
        <v>22213.811999999998</v>
      </c>
      <c r="P1942" s="20">
        <f t="shared" si="121"/>
        <v>15083.466694897226</v>
      </c>
      <c r="Q1942" s="20">
        <f t="shared" si="122"/>
        <v>7130.3453051027718</v>
      </c>
      <c r="R1942" s="22">
        <f t="shared" si="123"/>
        <v>0.32098701947701602</v>
      </c>
    </row>
    <row r="1943" spans="1:18">
      <c r="A1943" s="18">
        <v>2942</v>
      </c>
      <c r="B1943" s="19" t="s">
        <v>673</v>
      </c>
      <c r="C1943" s="18">
        <v>2025</v>
      </c>
      <c r="D1943" s="18" t="s">
        <v>55</v>
      </c>
      <c r="E1943" s="18" t="s">
        <v>88</v>
      </c>
      <c r="F1943" s="18" t="s">
        <v>89</v>
      </c>
      <c r="G1943" s="18" t="s">
        <v>44</v>
      </c>
      <c r="H1943" s="18" t="s">
        <v>119</v>
      </c>
      <c r="I1943" s="18" t="s">
        <v>49</v>
      </c>
      <c r="J1943" s="18" t="s">
        <v>102</v>
      </c>
      <c r="K1943" s="18">
        <v>9</v>
      </c>
      <c r="L1943" s="20">
        <v>6915.65</v>
      </c>
      <c r="M1943" s="21">
        <v>0</v>
      </c>
      <c r="N1943" s="21">
        <v>0.71392954896804095</v>
      </c>
      <c r="O1943" s="20">
        <f t="shared" si="120"/>
        <v>62240.85</v>
      </c>
      <c r="P1943" s="20">
        <f t="shared" si="121"/>
        <v>44435.58196788749</v>
      </c>
      <c r="Q1943" s="20">
        <f t="shared" si="122"/>
        <v>17805.268032112508</v>
      </c>
      <c r="R1943" s="22">
        <f t="shared" si="123"/>
        <v>0.28607045103195905</v>
      </c>
    </row>
    <row r="1944" spans="1:18">
      <c r="A1944" s="18">
        <v>2943</v>
      </c>
      <c r="B1944" s="19" t="s">
        <v>674</v>
      </c>
      <c r="C1944" s="18">
        <v>2025</v>
      </c>
      <c r="D1944" s="18" t="s">
        <v>55</v>
      </c>
      <c r="E1944" s="18" t="s">
        <v>98</v>
      </c>
      <c r="F1944" s="18" t="s">
        <v>99</v>
      </c>
      <c r="G1944" s="18" t="s">
        <v>41</v>
      </c>
      <c r="H1944" s="18" t="s">
        <v>90</v>
      </c>
      <c r="I1944" s="18" t="s">
        <v>43</v>
      </c>
      <c r="J1944" s="18" t="s">
        <v>102</v>
      </c>
      <c r="K1944" s="18">
        <v>7</v>
      </c>
      <c r="L1944" s="20">
        <v>18832.169999999998</v>
      </c>
      <c r="M1944" s="21">
        <v>0</v>
      </c>
      <c r="N1944" s="21">
        <v>0.60098598350428301</v>
      </c>
      <c r="O1944" s="20">
        <f t="shared" si="120"/>
        <v>131825.19</v>
      </c>
      <c r="P1944" s="20">
        <f t="shared" si="121"/>
        <v>79225.091462788972</v>
      </c>
      <c r="Q1944" s="20">
        <f t="shared" si="122"/>
        <v>52600.09853721103</v>
      </c>
      <c r="R1944" s="22">
        <f t="shared" si="123"/>
        <v>0.39901401649571699</v>
      </c>
    </row>
    <row r="1945" spans="1:18">
      <c r="A1945" s="18">
        <v>2944</v>
      </c>
      <c r="B1945" s="19" t="s">
        <v>674</v>
      </c>
      <c r="C1945" s="18">
        <v>2025</v>
      </c>
      <c r="D1945" s="18" t="s">
        <v>55</v>
      </c>
      <c r="E1945" s="18" t="s">
        <v>88</v>
      </c>
      <c r="F1945" s="18" t="s">
        <v>110</v>
      </c>
      <c r="G1945" s="18" t="s">
        <v>50</v>
      </c>
      <c r="H1945" s="18" t="s">
        <v>87</v>
      </c>
      <c r="I1945" s="18" t="s">
        <v>49</v>
      </c>
      <c r="J1945" s="18" t="s">
        <v>91</v>
      </c>
      <c r="K1945" s="18">
        <v>12</v>
      </c>
      <c r="L1945" s="20">
        <v>9543.0499999999993</v>
      </c>
      <c r="M1945" s="21">
        <v>0</v>
      </c>
      <c r="N1945" s="21">
        <v>0.60335306618232898</v>
      </c>
      <c r="O1945" s="20">
        <f t="shared" si="120"/>
        <v>114516.59999999999</v>
      </c>
      <c r="P1945" s="20">
        <f t="shared" si="121"/>
        <v>69093.941738775291</v>
      </c>
      <c r="Q1945" s="20">
        <f t="shared" si="122"/>
        <v>45422.6582612247</v>
      </c>
      <c r="R1945" s="22">
        <f t="shared" si="123"/>
        <v>0.39664693381767102</v>
      </c>
    </row>
    <row r="1946" spans="1:18">
      <c r="A1946" s="18">
        <v>2945</v>
      </c>
      <c r="B1946" s="19" t="s">
        <v>674</v>
      </c>
      <c r="C1946" s="18">
        <v>2025</v>
      </c>
      <c r="D1946" s="18" t="s">
        <v>55</v>
      </c>
      <c r="E1946" s="18" t="s">
        <v>88</v>
      </c>
      <c r="F1946" s="18" t="s">
        <v>89</v>
      </c>
      <c r="G1946" s="18" t="s">
        <v>44</v>
      </c>
      <c r="H1946" s="18" t="s">
        <v>114</v>
      </c>
      <c r="I1946" s="18" t="s">
        <v>40</v>
      </c>
      <c r="J1946" s="18" t="s">
        <v>82</v>
      </c>
      <c r="K1946" s="18">
        <v>12</v>
      </c>
      <c r="L1946" s="20">
        <v>9259.06</v>
      </c>
      <c r="M1946" s="21">
        <v>0.2</v>
      </c>
      <c r="N1946" s="21">
        <v>0.57076739298507895</v>
      </c>
      <c r="O1946" s="20">
        <f t="shared" si="120"/>
        <v>88886.97600000001</v>
      </c>
      <c r="P1946" s="20">
        <f t="shared" si="121"/>
        <v>50733.787561847283</v>
      </c>
      <c r="Q1946" s="20">
        <f t="shared" si="122"/>
        <v>38153.188438152727</v>
      </c>
      <c r="R1946" s="22">
        <f t="shared" si="123"/>
        <v>0.42923260701492111</v>
      </c>
    </row>
    <row r="1947" spans="1:18">
      <c r="A1947" s="18">
        <v>2946</v>
      </c>
      <c r="B1947" s="19" t="s">
        <v>674</v>
      </c>
      <c r="C1947" s="18">
        <v>2025</v>
      </c>
      <c r="D1947" s="18" t="s">
        <v>55</v>
      </c>
      <c r="E1947" s="18" t="s">
        <v>79</v>
      </c>
      <c r="F1947" s="18" t="s">
        <v>80</v>
      </c>
      <c r="G1947" s="18" t="s">
        <v>50</v>
      </c>
      <c r="H1947" s="18" t="s">
        <v>97</v>
      </c>
      <c r="I1947" s="18" t="s">
        <v>58</v>
      </c>
      <c r="J1947" s="18" t="s">
        <v>102</v>
      </c>
      <c r="K1947" s="18">
        <v>5</v>
      </c>
      <c r="L1947" s="20">
        <v>12017.03</v>
      </c>
      <c r="M1947" s="21">
        <v>0</v>
      </c>
      <c r="N1947" s="21">
        <v>0.718512033559359</v>
      </c>
      <c r="O1947" s="20">
        <f t="shared" si="120"/>
        <v>60085.15</v>
      </c>
      <c r="P1947" s="20">
        <f t="shared" si="121"/>
        <v>43171.903313219118</v>
      </c>
      <c r="Q1947" s="20">
        <f t="shared" si="122"/>
        <v>16913.246686780883</v>
      </c>
      <c r="R1947" s="22">
        <f t="shared" si="123"/>
        <v>0.28148796644064106</v>
      </c>
    </row>
    <row r="1948" spans="1:18">
      <c r="A1948" s="18">
        <v>2947</v>
      </c>
      <c r="B1948" s="19" t="s">
        <v>674</v>
      </c>
      <c r="C1948" s="18">
        <v>2025</v>
      </c>
      <c r="D1948" s="18" t="s">
        <v>55</v>
      </c>
      <c r="E1948" s="18" t="s">
        <v>98</v>
      </c>
      <c r="F1948" s="18" t="s">
        <v>117</v>
      </c>
      <c r="G1948" s="18" t="s">
        <v>47</v>
      </c>
      <c r="H1948" s="18" t="s">
        <v>107</v>
      </c>
      <c r="I1948" s="18" t="s">
        <v>52</v>
      </c>
      <c r="J1948" s="18" t="s">
        <v>102</v>
      </c>
      <c r="K1948" s="18">
        <v>6</v>
      </c>
      <c r="L1948" s="20">
        <v>2147.56</v>
      </c>
      <c r="M1948" s="21">
        <v>0.1</v>
      </c>
      <c r="N1948" s="21">
        <v>0.56069744054354997</v>
      </c>
      <c r="O1948" s="20">
        <f t="shared" si="120"/>
        <v>11596.824000000001</v>
      </c>
      <c r="P1948" s="20">
        <f t="shared" si="121"/>
        <v>6502.3095352340133</v>
      </c>
      <c r="Q1948" s="20">
        <f t="shared" si="122"/>
        <v>5094.5144647659872</v>
      </c>
      <c r="R1948" s="22">
        <f t="shared" si="123"/>
        <v>0.43930255945645008</v>
      </c>
    </row>
    <row r="1949" spans="1:18">
      <c r="A1949" s="18">
        <v>2948</v>
      </c>
      <c r="B1949" s="19" t="s">
        <v>675</v>
      </c>
      <c r="C1949" s="18">
        <v>2025</v>
      </c>
      <c r="D1949" s="18" t="s">
        <v>55</v>
      </c>
      <c r="E1949" s="18" t="s">
        <v>98</v>
      </c>
      <c r="F1949" s="18" t="s">
        <v>99</v>
      </c>
      <c r="G1949" s="18" t="s">
        <v>41</v>
      </c>
      <c r="H1949" s="18" t="s">
        <v>112</v>
      </c>
      <c r="I1949" s="18" t="s">
        <v>62</v>
      </c>
      <c r="J1949" s="18" t="s">
        <v>102</v>
      </c>
      <c r="K1949" s="18">
        <v>4</v>
      </c>
      <c r="L1949" s="20">
        <v>5970.2</v>
      </c>
      <c r="M1949" s="21">
        <v>0.15</v>
      </c>
      <c r="N1949" s="21">
        <v>0.57143062653477406</v>
      </c>
      <c r="O1949" s="20">
        <f t="shared" si="120"/>
        <v>20298.68</v>
      </c>
      <c r="P1949" s="20">
        <f t="shared" si="121"/>
        <v>11599.287430228887</v>
      </c>
      <c r="Q1949" s="20">
        <f t="shared" si="122"/>
        <v>8699.3925697711129</v>
      </c>
      <c r="R1949" s="22">
        <f t="shared" si="123"/>
        <v>0.42856937346522594</v>
      </c>
    </row>
    <row r="1950" spans="1:18">
      <c r="A1950" s="18">
        <v>2949</v>
      </c>
      <c r="B1950" s="19" t="s">
        <v>675</v>
      </c>
      <c r="C1950" s="18">
        <v>2025</v>
      </c>
      <c r="D1950" s="18" t="s">
        <v>55</v>
      </c>
      <c r="E1950" s="18" t="s">
        <v>98</v>
      </c>
      <c r="F1950" s="18" t="s">
        <v>117</v>
      </c>
      <c r="G1950" s="18" t="s">
        <v>41</v>
      </c>
      <c r="H1950" s="18" t="s">
        <v>101</v>
      </c>
      <c r="I1950" s="18" t="s">
        <v>60</v>
      </c>
      <c r="J1950" s="18" t="s">
        <v>91</v>
      </c>
      <c r="K1950" s="18">
        <v>9</v>
      </c>
      <c r="L1950" s="20">
        <v>55068.71</v>
      </c>
      <c r="M1950" s="21">
        <v>0.05</v>
      </c>
      <c r="N1950" s="21">
        <v>0.72482669284770895</v>
      </c>
      <c r="O1950" s="20">
        <f t="shared" si="120"/>
        <v>470837.4705</v>
      </c>
      <c r="P1950" s="20">
        <f t="shared" si="121"/>
        <v>341275.56661129574</v>
      </c>
      <c r="Q1950" s="20">
        <f t="shared" si="122"/>
        <v>129561.90388870426</v>
      </c>
      <c r="R1950" s="22">
        <f t="shared" si="123"/>
        <v>0.27517330715229099</v>
      </c>
    </row>
    <row r="1951" spans="1:18">
      <c r="A1951" s="18">
        <v>2950</v>
      </c>
      <c r="B1951" s="19" t="s">
        <v>675</v>
      </c>
      <c r="C1951" s="18">
        <v>2025</v>
      </c>
      <c r="D1951" s="18" t="s">
        <v>55</v>
      </c>
      <c r="E1951" s="18" t="s">
        <v>85</v>
      </c>
      <c r="F1951" s="18" t="s">
        <v>94</v>
      </c>
      <c r="G1951" s="18" t="s">
        <v>50</v>
      </c>
      <c r="H1951" s="18" t="s">
        <v>87</v>
      </c>
      <c r="I1951" s="18" t="s">
        <v>60</v>
      </c>
      <c r="J1951" s="18" t="s">
        <v>102</v>
      </c>
      <c r="K1951" s="18">
        <v>3</v>
      </c>
      <c r="L1951" s="20">
        <v>9865.56</v>
      </c>
      <c r="M1951" s="21">
        <v>0.2</v>
      </c>
      <c r="N1951" s="21">
        <v>0.66977008590239395</v>
      </c>
      <c r="O1951" s="20">
        <f t="shared" si="120"/>
        <v>23677.344000000001</v>
      </c>
      <c r="P1951" s="20">
        <f t="shared" si="121"/>
        <v>15858.376724820533</v>
      </c>
      <c r="Q1951" s="20">
        <f t="shared" si="122"/>
        <v>7818.9672751794678</v>
      </c>
      <c r="R1951" s="22">
        <f t="shared" si="123"/>
        <v>0.33022991409760605</v>
      </c>
    </row>
    <row r="1952" spans="1:18">
      <c r="A1952" s="18">
        <v>2951</v>
      </c>
      <c r="B1952" s="19" t="s">
        <v>676</v>
      </c>
      <c r="C1952" s="18">
        <v>2025</v>
      </c>
      <c r="D1952" s="18" t="s">
        <v>55</v>
      </c>
      <c r="E1952" s="18" t="s">
        <v>98</v>
      </c>
      <c r="F1952" s="18" t="s">
        <v>109</v>
      </c>
      <c r="G1952" s="18" t="s">
        <v>44</v>
      </c>
      <c r="H1952" s="18" t="s">
        <v>114</v>
      </c>
      <c r="I1952" s="18" t="s">
        <v>43</v>
      </c>
      <c r="J1952" s="18" t="s">
        <v>91</v>
      </c>
      <c r="K1952" s="18">
        <v>8</v>
      </c>
      <c r="L1952" s="20">
        <v>9162.92</v>
      </c>
      <c r="M1952" s="21">
        <v>0.05</v>
      </c>
      <c r="N1952" s="21">
        <v>0.62536843304716205</v>
      </c>
      <c r="O1952" s="20">
        <f t="shared" si="120"/>
        <v>69638.191999999995</v>
      </c>
      <c r="P1952" s="20">
        <f t="shared" si="121"/>
        <v>43549.527011277416</v>
      </c>
      <c r="Q1952" s="20">
        <f t="shared" si="122"/>
        <v>26088.664988722579</v>
      </c>
      <c r="R1952" s="22">
        <f t="shared" si="123"/>
        <v>0.37463156695283789</v>
      </c>
    </row>
    <row r="1953" spans="1:18">
      <c r="A1953" s="18">
        <v>2952</v>
      </c>
      <c r="B1953" s="19" t="s">
        <v>676</v>
      </c>
      <c r="C1953" s="18">
        <v>2025</v>
      </c>
      <c r="D1953" s="18" t="s">
        <v>55</v>
      </c>
      <c r="E1953" s="18" t="s">
        <v>79</v>
      </c>
      <c r="F1953" s="18" t="s">
        <v>100</v>
      </c>
      <c r="G1953" s="18" t="s">
        <v>50</v>
      </c>
      <c r="H1953" s="18" t="s">
        <v>87</v>
      </c>
      <c r="I1953" s="18" t="s">
        <v>52</v>
      </c>
      <c r="J1953" s="18" t="s">
        <v>82</v>
      </c>
      <c r="K1953" s="18">
        <v>5</v>
      </c>
      <c r="L1953" s="20">
        <v>9150.59</v>
      </c>
      <c r="M1953" s="21">
        <v>0</v>
      </c>
      <c r="N1953" s="21">
        <v>0.71632831030599298</v>
      </c>
      <c r="O1953" s="20">
        <f t="shared" si="120"/>
        <v>45752.95</v>
      </c>
      <c r="P1953" s="20">
        <f t="shared" si="121"/>
        <v>32774.133365014583</v>
      </c>
      <c r="Q1953" s="20">
        <f t="shared" si="122"/>
        <v>12978.816634985415</v>
      </c>
      <c r="R1953" s="22">
        <f t="shared" si="123"/>
        <v>0.28367168969400697</v>
      </c>
    </row>
    <row r="1954" spans="1:18">
      <c r="A1954" s="18">
        <v>2953</v>
      </c>
      <c r="B1954" s="19" t="s">
        <v>676</v>
      </c>
      <c r="C1954" s="18">
        <v>2025</v>
      </c>
      <c r="D1954" s="18" t="s">
        <v>55</v>
      </c>
      <c r="E1954" s="18" t="s">
        <v>88</v>
      </c>
      <c r="F1954" s="18" t="s">
        <v>93</v>
      </c>
      <c r="G1954" s="18" t="s">
        <v>50</v>
      </c>
      <c r="H1954" s="18" t="s">
        <v>83</v>
      </c>
      <c r="I1954" s="18" t="s">
        <v>60</v>
      </c>
      <c r="J1954" s="18" t="s">
        <v>82</v>
      </c>
      <c r="K1954" s="18">
        <v>4</v>
      </c>
      <c r="L1954" s="20">
        <v>3523.8</v>
      </c>
      <c r="M1954" s="21">
        <v>0</v>
      </c>
      <c r="N1954" s="21">
        <v>0.58018957521883496</v>
      </c>
      <c r="O1954" s="20">
        <f t="shared" si="120"/>
        <v>14095.2</v>
      </c>
      <c r="P1954" s="20">
        <f t="shared" si="121"/>
        <v>8177.8881006245228</v>
      </c>
      <c r="Q1954" s="20">
        <f t="shared" si="122"/>
        <v>5917.3118993754779</v>
      </c>
      <c r="R1954" s="22">
        <f t="shared" si="123"/>
        <v>0.41981042478116504</v>
      </c>
    </row>
    <row r="1955" spans="1:18">
      <c r="A1955" s="18">
        <v>2954</v>
      </c>
      <c r="B1955" s="19" t="s">
        <v>676</v>
      </c>
      <c r="C1955" s="18">
        <v>2025</v>
      </c>
      <c r="D1955" s="18" t="s">
        <v>55</v>
      </c>
      <c r="E1955" s="18" t="s">
        <v>79</v>
      </c>
      <c r="F1955" s="18" t="s">
        <v>80</v>
      </c>
      <c r="G1955" s="18" t="s">
        <v>50</v>
      </c>
      <c r="H1955" s="18" t="s">
        <v>83</v>
      </c>
      <c r="I1955" s="18" t="s">
        <v>56</v>
      </c>
      <c r="J1955" s="18" t="s">
        <v>82</v>
      </c>
      <c r="K1955" s="18">
        <v>10</v>
      </c>
      <c r="L1955" s="20">
        <v>3398.53</v>
      </c>
      <c r="M1955" s="21">
        <v>0</v>
      </c>
      <c r="N1955" s="21">
        <v>0.65341622064550797</v>
      </c>
      <c r="O1955" s="20">
        <f t="shared" si="120"/>
        <v>33985.300000000003</v>
      </c>
      <c r="P1955" s="20">
        <f t="shared" si="121"/>
        <v>22206.546283503783</v>
      </c>
      <c r="Q1955" s="20">
        <f t="shared" si="122"/>
        <v>11778.75371649622</v>
      </c>
      <c r="R1955" s="22">
        <f t="shared" si="123"/>
        <v>0.34658377935449203</v>
      </c>
    </row>
    <row r="1956" spans="1:18">
      <c r="A1956" s="18">
        <v>2955</v>
      </c>
      <c r="B1956" s="19" t="s">
        <v>677</v>
      </c>
      <c r="C1956" s="18">
        <v>2025</v>
      </c>
      <c r="D1956" s="18" t="s">
        <v>55</v>
      </c>
      <c r="E1956" s="18" t="s">
        <v>88</v>
      </c>
      <c r="F1956" s="18" t="s">
        <v>110</v>
      </c>
      <c r="G1956" s="18" t="s">
        <v>44</v>
      </c>
      <c r="H1956" s="18" t="s">
        <v>119</v>
      </c>
      <c r="I1956" s="18" t="s">
        <v>40</v>
      </c>
      <c r="J1956" s="18" t="s">
        <v>82</v>
      </c>
      <c r="K1956" s="18">
        <v>1</v>
      </c>
      <c r="L1956" s="20">
        <v>6779.58</v>
      </c>
      <c r="M1956" s="21">
        <v>0</v>
      </c>
      <c r="N1956" s="21">
        <v>0.72779273242073195</v>
      </c>
      <c r="O1956" s="20">
        <f t="shared" si="120"/>
        <v>6779.58</v>
      </c>
      <c r="P1956" s="20">
        <f t="shared" si="121"/>
        <v>4934.1290528649461</v>
      </c>
      <c r="Q1956" s="20">
        <f t="shared" si="122"/>
        <v>1845.4509471350539</v>
      </c>
      <c r="R1956" s="22">
        <f t="shared" si="123"/>
        <v>0.272207267579268</v>
      </c>
    </row>
    <row r="1957" spans="1:18">
      <c r="A1957" s="18">
        <v>2956</v>
      </c>
      <c r="B1957" s="19" t="s">
        <v>677</v>
      </c>
      <c r="C1957" s="18">
        <v>2025</v>
      </c>
      <c r="D1957" s="18" t="s">
        <v>55</v>
      </c>
      <c r="E1957" s="18" t="s">
        <v>79</v>
      </c>
      <c r="F1957" s="18" t="s">
        <v>100</v>
      </c>
      <c r="G1957" s="18" t="s">
        <v>50</v>
      </c>
      <c r="H1957" s="18" t="s">
        <v>97</v>
      </c>
      <c r="I1957" s="18" t="s">
        <v>56</v>
      </c>
      <c r="J1957" s="18" t="s">
        <v>91</v>
      </c>
      <c r="K1957" s="18">
        <v>2</v>
      </c>
      <c r="L1957" s="20">
        <v>11454.37</v>
      </c>
      <c r="M1957" s="21">
        <v>0</v>
      </c>
      <c r="N1957" s="21">
        <v>0.65158463692855095</v>
      </c>
      <c r="O1957" s="20">
        <f t="shared" si="120"/>
        <v>22908.74</v>
      </c>
      <c r="P1957" s="20">
        <f t="shared" si="121"/>
        <v>14926.983035390573</v>
      </c>
      <c r="Q1957" s="20">
        <f t="shared" si="122"/>
        <v>7981.7569646094289</v>
      </c>
      <c r="R1957" s="22">
        <f t="shared" si="123"/>
        <v>0.3484153630714491</v>
      </c>
    </row>
    <row r="1958" spans="1:18">
      <c r="A1958" s="18">
        <v>2957</v>
      </c>
      <c r="B1958" s="19" t="s">
        <v>678</v>
      </c>
      <c r="C1958" s="18">
        <v>2025</v>
      </c>
      <c r="D1958" s="18" t="s">
        <v>55</v>
      </c>
      <c r="E1958" s="18" t="s">
        <v>85</v>
      </c>
      <c r="F1958" s="18" t="s">
        <v>86</v>
      </c>
      <c r="G1958" s="18" t="s">
        <v>41</v>
      </c>
      <c r="H1958" s="18" t="s">
        <v>90</v>
      </c>
      <c r="I1958" s="18" t="s">
        <v>52</v>
      </c>
      <c r="J1958" s="18" t="s">
        <v>82</v>
      </c>
      <c r="K1958" s="18">
        <v>6</v>
      </c>
      <c r="L1958" s="20">
        <v>17790.689999999999</v>
      </c>
      <c r="M1958" s="21">
        <v>0</v>
      </c>
      <c r="N1958" s="21">
        <v>0.60775277772800895</v>
      </c>
      <c r="O1958" s="20">
        <f t="shared" si="120"/>
        <v>106744.13999999998</v>
      </c>
      <c r="P1958" s="20">
        <f t="shared" si="121"/>
        <v>64874.04759118746</v>
      </c>
      <c r="Q1958" s="20">
        <f t="shared" si="122"/>
        <v>41870.092408812525</v>
      </c>
      <c r="R1958" s="22">
        <f t="shared" si="123"/>
        <v>0.39224722227199105</v>
      </c>
    </row>
    <row r="1959" spans="1:18">
      <c r="A1959" s="18">
        <v>2958</v>
      </c>
      <c r="B1959" s="19" t="s">
        <v>678</v>
      </c>
      <c r="C1959" s="18">
        <v>2025</v>
      </c>
      <c r="D1959" s="18" t="s">
        <v>55</v>
      </c>
      <c r="E1959" s="18" t="s">
        <v>88</v>
      </c>
      <c r="F1959" s="18" t="s">
        <v>93</v>
      </c>
      <c r="G1959" s="18" t="s">
        <v>47</v>
      </c>
      <c r="H1959" s="18" t="s">
        <v>107</v>
      </c>
      <c r="I1959" s="18" t="s">
        <v>49</v>
      </c>
      <c r="J1959" s="18" t="s">
        <v>102</v>
      </c>
      <c r="K1959" s="18">
        <v>2</v>
      </c>
      <c r="L1959" s="20">
        <v>2219.7199999999998</v>
      </c>
      <c r="M1959" s="21">
        <v>0</v>
      </c>
      <c r="N1959" s="21">
        <v>0.70723375749973605</v>
      </c>
      <c r="O1959" s="20">
        <f t="shared" si="120"/>
        <v>4439.4399999999996</v>
      </c>
      <c r="P1959" s="20">
        <f t="shared" si="121"/>
        <v>3139.7218323946281</v>
      </c>
      <c r="Q1959" s="20">
        <f t="shared" si="122"/>
        <v>1299.7181676053715</v>
      </c>
      <c r="R1959" s="22">
        <f t="shared" si="123"/>
        <v>0.2927662425002639</v>
      </c>
    </row>
    <row r="1960" spans="1:18">
      <c r="A1960" s="18">
        <v>2959</v>
      </c>
      <c r="B1960" s="19" t="s">
        <v>678</v>
      </c>
      <c r="C1960" s="18">
        <v>2025</v>
      </c>
      <c r="D1960" s="18" t="s">
        <v>55</v>
      </c>
      <c r="E1960" s="18" t="s">
        <v>98</v>
      </c>
      <c r="F1960" s="18" t="s">
        <v>109</v>
      </c>
      <c r="G1960" s="18" t="s">
        <v>44</v>
      </c>
      <c r="H1960" s="18" t="s">
        <v>119</v>
      </c>
      <c r="I1960" s="18" t="s">
        <v>54</v>
      </c>
      <c r="J1960" s="18" t="s">
        <v>91</v>
      </c>
      <c r="K1960" s="18">
        <v>7</v>
      </c>
      <c r="L1960" s="20">
        <v>7256.45</v>
      </c>
      <c r="M1960" s="21">
        <v>0.15</v>
      </c>
      <c r="N1960" s="21">
        <v>0.61327844535121001</v>
      </c>
      <c r="O1960" s="20">
        <f t="shared" si="120"/>
        <v>43175.877500000002</v>
      </c>
      <c r="P1960" s="20">
        <f t="shared" si="121"/>
        <v>26478.835029874288</v>
      </c>
      <c r="Q1960" s="20">
        <f t="shared" si="122"/>
        <v>16697.042470125714</v>
      </c>
      <c r="R1960" s="22">
        <f t="shared" si="123"/>
        <v>0.38672155464879004</v>
      </c>
    </row>
    <row r="1961" spans="1:18">
      <c r="A1961" s="18">
        <v>2960</v>
      </c>
      <c r="B1961" s="19" t="s">
        <v>678</v>
      </c>
      <c r="C1961" s="18">
        <v>2025</v>
      </c>
      <c r="D1961" s="18" t="s">
        <v>55</v>
      </c>
      <c r="E1961" s="18" t="s">
        <v>79</v>
      </c>
      <c r="F1961" s="18" t="s">
        <v>100</v>
      </c>
      <c r="G1961" s="18" t="s">
        <v>41</v>
      </c>
      <c r="H1961" s="18" t="s">
        <v>101</v>
      </c>
      <c r="I1961" s="18" t="s">
        <v>40</v>
      </c>
      <c r="J1961" s="18" t="s">
        <v>91</v>
      </c>
      <c r="K1961" s="18">
        <v>7</v>
      </c>
      <c r="L1961" s="20">
        <v>57288</v>
      </c>
      <c r="M1961" s="21">
        <v>0</v>
      </c>
      <c r="N1961" s="21">
        <v>0.62401165636982003</v>
      </c>
      <c r="O1961" s="20">
        <f t="shared" si="120"/>
        <v>401016</v>
      </c>
      <c r="P1961" s="20">
        <f t="shared" si="121"/>
        <v>250238.65839079974</v>
      </c>
      <c r="Q1961" s="20">
        <f t="shared" si="122"/>
        <v>150777.34160920026</v>
      </c>
      <c r="R1961" s="22">
        <f t="shared" si="123"/>
        <v>0.37598834363017997</v>
      </c>
    </row>
    <row r="1962" spans="1:18">
      <c r="A1962" s="18">
        <v>2961</v>
      </c>
      <c r="B1962" s="19" t="s">
        <v>678</v>
      </c>
      <c r="C1962" s="18">
        <v>2025</v>
      </c>
      <c r="D1962" s="18" t="s">
        <v>55</v>
      </c>
      <c r="E1962" s="18" t="s">
        <v>98</v>
      </c>
      <c r="F1962" s="18" t="s">
        <v>109</v>
      </c>
      <c r="G1962" s="18" t="s">
        <v>50</v>
      </c>
      <c r="H1962" s="18" t="s">
        <v>97</v>
      </c>
      <c r="I1962" s="18" t="s">
        <v>43</v>
      </c>
      <c r="J1962" s="18" t="s">
        <v>91</v>
      </c>
      <c r="K1962" s="18">
        <v>1</v>
      </c>
      <c r="L1962" s="20">
        <v>12483.53</v>
      </c>
      <c r="M1962" s="21">
        <v>0</v>
      </c>
      <c r="N1962" s="21">
        <v>0.637182331730203</v>
      </c>
      <c r="O1962" s="20">
        <f t="shared" si="120"/>
        <v>12483.53</v>
      </c>
      <c r="P1962" s="20">
        <f t="shared" si="121"/>
        <v>7954.2847536239415</v>
      </c>
      <c r="Q1962" s="20">
        <f t="shared" si="122"/>
        <v>4529.2452463760592</v>
      </c>
      <c r="R1962" s="22">
        <f t="shared" si="123"/>
        <v>0.362817668269797</v>
      </c>
    </row>
    <row r="1963" spans="1:18">
      <c r="A1963" s="18">
        <v>2962</v>
      </c>
      <c r="B1963" s="19" t="s">
        <v>679</v>
      </c>
      <c r="C1963" s="18">
        <v>2025</v>
      </c>
      <c r="D1963" s="18" t="s">
        <v>55</v>
      </c>
      <c r="E1963" s="18" t="s">
        <v>85</v>
      </c>
      <c r="F1963" s="18" t="s">
        <v>121</v>
      </c>
      <c r="G1963" s="18" t="s">
        <v>41</v>
      </c>
      <c r="H1963" s="18" t="s">
        <v>90</v>
      </c>
      <c r="I1963" s="18" t="s">
        <v>40</v>
      </c>
      <c r="J1963" s="18" t="s">
        <v>102</v>
      </c>
      <c r="K1963" s="18">
        <v>7</v>
      </c>
      <c r="L1963" s="20">
        <v>18749.05</v>
      </c>
      <c r="M1963" s="21">
        <v>0.05</v>
      </c>
      <c r="N1963" s="21">
        <v>0.72350074661752795</v>
      </c>
      <c r="O1963" s="20">
        <f t="shared" si="120"/>
        <v>124681.1825</v>
      </c>
      <c r="P1963" s="20">
        <f t="shared" si="121"/>
        <v>90206.928627906251</v>
      </c>
      <c r="Q1963" s="20">
        <f t="shared" si="122"/>
        <v>34474.253872093745</v>
      </c>
      <c r="R1963" s="22">
        <f t="shared" si="123"/>
        <v>0.27649925338247211</v>
      </c>
    </row>
    <row r="1964" spans="1:18">
      <c r="A1964" s="18">
        <v>2963</v>
      </c>
      <c r="B1964" s="19" t="s">
        <v>679</v>
      </c>
      <c r="C1964" s="18">
        <v>2025</v>
      </c>
      <c r="D1964" s="18" t="s">
        <v>55</v>
      </c>
      <c r="E1964" s="18" t="s">
        <v>79</v>
      </c>
      <c r="F1964" s="18" t="s">
        <v>80</v>
      </c>
      <c r="G1964" s="18" t="s">
        <v>44</v>
      </c>
      <c r="H1964" s="18" t="s">
        <v>114</v>
      </c>
      <c r="I1964" s="18" t="s">
        <v>40</v>
      </c>
      <c r="J1964" s="18" t="s">
        <v>91</v>
      </c>
      <c r="K1964" s="18">
        <v>9</v>
      </c>
      <c r="L1964" s="20">
        <v>8841.5400000000009</v>
      </c>
      <c r="M1964" s="21">
        <v>0.1</v>
      </c>
      <c r="N1964" s="21">
        <v>0.67282370003751701</v>
      </c>
      <c r="O1964" s="20">
        <f t="shared" si="120"/>
        <v>71616.474000000017</v>
      </c>
      <c r="P1964" s="20">
        <f t="shared" si="121"/>
        <v>48185.26102032065</v>
      </c>
      <c r="Q1964" s="20">
        <f t="shared" si="122"/>
        <v>23431.212979679367</v>
      </c>
      <c r="R1964" s="22">
        <f t="shared" si="123"/>
        <v>0.32717629996248293</v>
      </c>
    </row>
    <row r="1965" spans="1:18">
      <c r="A1965" s="18">
        <v>2964</v>
      </c>
      <c r="B1965" s="19" t="s">
        <v>679</v>
      </c>
      <c r="C1965" s="18">
        <v>2025</v>
      </c>
      <c r="D1965" s="18" t="s">
        <v>55</v>
      </c>
      <c r="E1965" s="18" t="s">
        <v>98</v>
      </c>
      <c r="F1965" s="18" t="s">
        <v>99</v>
      </c>
      <c r="G1965" s="18" t="s">
        <v>50</v>
      </c>
      <c r="H1965" s="18" t="s">
        <v>83</v>
      </c>
      <c r="I1965" s="18" t="s">
        <v>60</v>
      </c>
      <c r="J1965" s="18" t="s">
        <v>102</v>
      </c>
      <c r="K1965" s="18">
        <v>1</v>
      </c>
      <c r="L1965" s="20">
        <v>3453.55</v>
      </c>
      <c r="M1965" s="21">
        <v>0.15</v>
      </c>
      <c r="N1965" s="21">
        <v>0.70204175739682795</v>
      </c>
      <c r="O1965" s="20">
        <f t="shared" si="120"/>
        <v>2935.5174999999999</v>
      </c>
      <c r="P1965" s="20">
        <f t="shared" si="121"/>
        <v>2060.8558645691428</v>
      </c>
      <c r="Q1965" s="20">
        <f t="shared" si="122"/>
        <v>874.66163543085713</v>
      </c>
      <c r="R1965" s="22">
        <f t="shared" si="123"/>
        <v>0.29795824260317205</v>
      </c>
    </row>
    <row r="1966" spans="1:18">
      <c r="A1966" s="18">
        <v>2965</v>
      </c>
      <c r="B1966" s="19" t="s">
        <v>679</v>
      </c>
      <c r="C1966" s="18">
        <v>2025</v>
      </c>
      <c r="D1966" s="18" t="s">
        <v>55</v>
      </c>
      <c r="E1966" s="18" t="s">
        <v>85</v>
      </c>
      <c r="F1966" s="18" t="s">
        <v>121</v>
      </c>
      <c r="G1966" s="18" t="s">
        <v>44</v>
      </c>
      <c r="H1966" s="18" t="s">
        <v>114</v>
      </c>
      <c r="I1966" s="18" t="s">
        <v>60</v>
      </c>
      <c r="J1966" s="18" t="s">
        <v>82</v>
      </c>
      <c r="K1966" s="18">
        <v>7</v>
      </c>
      <c r="L1966" s="20">
        <v>9030.8700000000008</v>
      </c>
      <c r="M1966" s="21">
        <v>0.15</v>
      </c>
      <c r="N1966" s="21">
        <v>0.66292034331236804</v>
      </c>
      <c r="O1966" s="20">
        <f t="shared" si="120"/>
        <v>53733.676500000001</v>
      </c>
      <c r="P1966" s="20">
        <f t="shared" si="121"/>
        <v>35621.147272815724</v>
      </c>
      <c r="Q1966" s="20">
        <f t="shared" si="122"/>
        <v>18112.529227184277</v>
      </c>
      <c r="R1966" s="22">
        <f t="shared" si="123"/>
        <v>0.33707965668763196</v>
      </c>
    </row>
    <row r="1967" spans="1:18">
      <c r="A1967" s="18">
        <v>2966</v>
      </c>
      <c r="B1967" s="19" t="s">
        <v>679</v>
      </c>
      <c r="C1967" s="18">
        <v>2025</v>
      </c>
      <c r="D1967" s="18" t="s">
        <v>55</v>
      </c>
      <c r="E1967" s="18" t="s">
        <v>85</v>
      </c>
      <c r="F1967" s="18" t="s">
        <v>86</v>
      </c>
      <c r="G1967" s="18" t="s">
        <v>50</v>
      </c>
      <c r="H1967" s="18" t="s">
        <v>87</v>
      </c>
      <c r="I1967" s="18" t="s">
        <v>58</v>
      </c>
      <c r="J1967" s="18" t="s">
        <v>82</v>
      </c>
      <c r="K1967" s="18">
        <v>9</v>
      </c>
      <c r="L1967" s="20">
        <v>9247.3799999999992</v>
      </c>
      <c r="M1967" s="21">
        <v>0.1</v>
      </c>
      <c r="N1967" s="21">
        <v>0.66160601311239697</v>
      </c>
      <c r="O1967" s="20">
        <f t="shared" si="120"/>
        <v>74903.778000000006</v>
      </c>
      <c r="P1967" s="20">
        <f t="shared" si="121"/>
        <v>49556.789929636077</v>
      </c>
      <c r="Q1967" s="20">
        <f t="shared" si="122"/>
        <v>25346.988070363928</v>
      </c>
      <c r="R1967" s="22">
        <f t="shared" si="123"/>
        <v>0.33839398688760303</v>
      </c>
    </row>
    <row r="1968" spans="1:18">
      <c r="A1968" s="18">
        <v>2967</v>
      </c>
      <c r="B1968" s="19" t="s">
        <v>680</v>
      </c>
      <c r="C1968" s="18">
        <v>2025</v>
      </c>
      <c r="D1968" s="18" t="s">
        <v>55</v>
      </c>
      <c r="E1968" s="18" t="s">
        <v>85</v>
      </c>
      <c r="F1968" s="18" t="s">
        <v>94</v>
      </c>
      <c r="G1968" s="18" t="s">
        <v>50</v>
      </c>
      <c r="H1968" s="18" t="s">
        <v>87</v>
      </c>
      <c r="I1968" s="18" t="s">
        <v>43</v>
      </c>
      <c r="J1968" s="18" t="s">
        <v>91</v>
      </c>
      <c r="K1968" s="18">
        <v>1</v>
      </c>
      <c r="L1968" s="20">
        <v>9377.4500000000007</v>
      </c>
      <c r="M1968" s="21">
        <v>0.15</v>
      </c>
      <c r="N1968" s="21">
        <v>0.63575086322517704</v>
      </c>
      <c r="O1968" s="20">
        <f t="shared" si="120"/>
        <v>7970.8325000000004</v>
      </c>
      <c r="P1968" s="20">
        <f t="shared" si="121"/>
        <v>5067.4636424982964</v>
      </c>
      <c r="Q1968" s="20">
        <f t="shared" si="122"/>
        <v>2903.368857501704</v>
      </c>
      <c r="R1968" s="22">
        <f t="shared" si="123"/>
        <v>0.36424913677482296</v>
      </c>
    </row>
    <row r="1969" spans="1:18">
      <c r="A1969" s="18">
        <v>2968</v>
      </c>
      <c r="B1969" s="19" t="s">
        <v>680</v>
      </c>
      <c r="C1969" s="18">
        <v>2025</v>
      </c>
      <c r="D1969" s="18" t="s">
        <v>55</v>
      </c>
      <c r="E1969" s="18" t="s">
        <v>98</v>
      </c>
      <c r="F1969" s="18" t="s">
        <v>109</v>
      </c>
      <c r="G1969" s="18" t="s">
        <v>41</v>
      </c>
      <c r="H1969" s="18" t="s">
        <v>112</v>
      </c>
      <c r="I1969" s="18" t="s">
        <v>56</v>
      </c>
      <c r="J1969" s="18" t="s">
        <v>82</v>
      </c>
      <c r="K1969" s="18">
        <v>12</v>
      </c>
      <c r="L1969" s="20">
        <v>6056.82</v>
      </c>
      <c r="M1969" s="21">
        <v>0</v>
      </c>
      <c r="N1969" s="21">
        <v>0.55445538899789504</v>
      </c>
      <c r="O1969" s="20">
        <f t="shared" si="120"/>
        <v>72681.84</v>
      </c>
      <c r="P1969" s="20">
        <f t="shared" si="121"/>
        <v>40298.837870282769</v>
      </c>
      <c r="Q1969" s="20">
        <f t="shared" si="122"/>
        <v>32383.002129717228</v>
      </c>
      <c r="R1969" s="22">
        <f t="shared" si="123"/>
        <v>0.44554461100210491</v>
      </c>
    </row>
    <row r="1970" spans="1:18">
      <c r="A1970" s="18">
        <v>2969</v>
      </c>
      <c r="B1970" s="19" t="s">
        <v>681</v>
      </c>
      <c r="C1970" s="18">
        <v>2025</v>
      </c>
      <c r="D1970" s="18" t="s">
        <v>55</v>
      </c>
      <c r="E1970" s="18" t="s">
        <v>88</v>
      </c>
      <c r="F1970" s="18" t="s">
        <v>89</v>
      </c>
      <c r="G1970" s="18" t="s">
        <v>47</v>
      </c>
      <c r="H1970" s="18" t="s">
        <v>107</v>
      </c>
      <c r="I1970" s="18" t="s">
        <v>60</v>
      </c>
      <c r="J1970" s="18" t="s">
        <v>102</v>
      </c>
      <c r="K1970" s="18">
        <v>9</v>
      </c>
      <c r="L1970" s="20">
        <v>2272.83</v>
      </c>
      <c r="M1970" s="21">
        <v>0</v>
      </c>
      <c r="N1970" s="21">
        <v>0.62602808477683802</v>
      </c>
      <c r="O1970" s="20">
        <f t="shared" si="120"/>
        <v>20455.47</v>
      </c>
      <c r="P1970" s="20">
        <f t="shared" si="121"/>
        <v>12805.698707310068</v>
      </c>
      <c r="Q1970" s="20">
        <f t="shared" si="122"/>
        <v>7649.771292689933</v>
      </c>
      <c r="R1970" s="22">
        <f t="shared" si="123"/>
        <v>0.37397191522316198</v>
      </c>
    </row>
    <row r="1971" spans="1:18">
      <c r="A1971" s="18">
        <v>2970</v>
      </c>
      <c r="B1971" s="19" t="s">
        <v>681</v>
      </c>
      <c r="C1971" s="18">
        <v>2025</v>
      </c>
      <c r="D1971" s="18" t="s">
        <v>55</v>
      </c>
      <c r="E1971" s="18" t="s">
        <v>98</v>
      </c>
      <c r="F1971" s="18" t="s">
        <v>117</v>
      </c>
      <c r="G1971" s="18" t="s">
        <v>41</v>
      </c>
      <c r="H1971" s="18" t="s">
        <v>106</v>
      </c>
      <c r="I1971" s="18" t="s">
        <v>46</v>
      </c>
      <c r="J1971" s="18" t="s">
        <v>82</v>
      </c>
      <c r="K1971" s="18">
        <v>8</v>
      </c>
      <c r="L1971" s="20">
        <v>2465.3000000000002</v>
      </c>
      <c r="M1971" s="21">
        <v>0.15</v>
      </c>
      <c r="N1971" s="21">
        <v>0.61287091668175997</v>
      </c>
      <c r="O1971" s="20">
        <f t="shared" si="120"/>
        <v>16764.04</v>
      </c>
      <c r="P1971" s="20">
        <f t="shared" si="121"/>
        <v>10274.192562089693</v>
      </c>
      <c r="Q1971" s="20">
        <f t="shared" si="122"/>
        <v>6489.8474379103081</v>
      </c>
      <c r="R1971" s="22">
        <f t="shared" si="123"/>
        <v>0.38712908331823997</v>
      </c>
    </row>
    <row r="1972" spans="1:18">
      <c r="A1972" s="18">
        <v>2971</v>
      </c>
      <c r="B1972" s="19" t="s">
        <v>682</v>
      </c>
      <c r="C1972" s="18">
        <v>2025</v>
      </c>
      <c r="D1972" s="18" t="s">
        <v>55</v>
      </c>
      <c r="E1972" s="18" t="s">
        <v>85</v>
      </c>
      <c r="F1972" s="18" t="s">
        <v>121</v>
      </c>
      <c r="G1972" s="18" t="s">
        <v>50</v>
      </c>
      <c r="H1972" s="18" t="s">
        <v>97</v>
      </c>
      <c r="I1972" s="18" t="s">
        <v>43</v>
      </c>
      <c r="J1972" s="18" t="s">
        <v>102</v>
      </c>
      <c r="K1972" s="18">
        <v>12</v>
      </c>
      <c r="L1972" s="20">
        <v>11565.56</v>
      </c>
      <c r="M1972" s="21">
        <v>0.05</v>
      </c>
      <c r="N1972" s="21">
        <v>0.62701931387502396</v>
      </c>
      <c r="O1972" s="20">
        <f t="shared" si="120"/>
        <v>131847.38399999999</v>
      </c>
      <c r="P1972" s="20">
        <f t="shared" si="121"/>
        <v>82670.85625189681</v>
      </c>
      <c r="Q1972" s="20">
        <f t="shared" si="122"/>
        <v>49176.527748103181</v>
      </c>
      <c r="R1972" s="22">
        <f t="shared" si="123"/>
        <v>0.37298068612497604</v>
      </c>
    </row>
    <row r="1973" spans="1:18">
      <c r="A1973" s="18">
        <v>2972</v>
      </c>
      <c r="B1973" s="19" t="s">
        <v>682</v>
      </c>
      <c r="C1973" s="18">
        <v>2025</v>
      </c>
      <c r="D1973" s="18" t="s">
        <v>55</v>
      </c>
      <c r="E1973" s="18" t="s">
        <v>88</v>
      </c>
      <c r="F1973" s="18" t="s">
        <v>110</v>
      </c>
      <c r="G1973" s="18" t="s">
        <v>41</v>
      </c>
      <c r="H1973" s="18" t="s">
        <v>101</v>
      </c>
      <c r="I1973" s="18" t="s">
        <v>52</v>
      </c>
      <c r="J1973" s="18" t="s">
        <v>82</v>
      </c>
      <c r="K1973" s="18">
        <v>10</v>
      </c>
      <c r="L1973" s="20">
        <v>56170.239999999998</v>
      </c>
      <c r="M1973" s="21">
        <v>0.1</v>
      </c>
      <c r="N1973" s="21">
        <v>0.73799307664896696</v>
      </c>
      <c r="O1973" s="20">
        <f t="shared" si="120"/>
        <v>505532.16000000003</v>
      </c>
      <c r="P1973" s="20">
        <f t="shared" si="121"/>
        <v>373079.23410339787</v>
      </c>
      <c r="Q1973" s="20">
        <f t="shared" si="122"/>
        <v>132452.92589660216</v>
      </c>
      <c r="R1973" s="22">
        <f t="shared" si="123"/>
        <v>0.26200692335103298</v>
      </c>
    </row>
    <row r="1974" spans="1:18">
      <c r="A1974" s="18">
        <v>2973</v>
      </c>
      <c r="B1974" s="19" t="s">
        <v>683</v>
      </c>
      <c r="C1974" s="18">
        <v>2025</v>
      </c>
      <c r="D1974" s="18" t="s">
        <v>55</v>
      </c>
      <c r="E1974" s="18" t="s">
        <v>98</v>
      </c>
      <c r="F1974" s="18" t="s">
        <v>117</v>
      </c>
      <c r="G1974" s="18" t="s">
        <v>44</v>
      </c>
      <c r="H1974" s="18" t="s">
        <v>119</v>
      </c>
      <c r="I1974" s="18" t="s">
        <v>62</v>
      </c>
      <c r="J1974" s="18" t="s">
        <v>91</v>
      </c>
      <c r="K1974" s="18">
        <v>6</v>
      </c>
      <c r="L1974" s="20">
        <v>7008.56</v>
      </c>
      <c r="M1974" s="21">
        <v>0</v>
      </c>
      <c r="N1974" s="21">
        <v>0.63985582002013097</v>
      </c>
      <c r="O1974" s="20">
        <f t="shared" si="120"/>
        <v>42051.360000000001</v>
      </c>
      <c r="P1974" s="20">
        <f t="shared" si="121"/>
        <v>26906.807435761733</v>
      </c>
      <c r="Q1974" s="20">
        <f t="shared" si="122"/>
        <v>15144.552564238267</v>
      </c>
      <c r="R1974" s="22">
        <f t="shared" si="123"/>
        <v>0.36014417997986908</v>
      </c>
    </row>
    <row r="1975" spans="1:18">
      <c r="A1975" s="18">
        <v>2974</v>
      </c>
      <c r="B1975" s="19" t="s">
        <v>683</v>
      </c>
      <c r="C1975" s="18">
        <v>2025</v>
      </c>
      <c r="D1975" s="18" t="s">
        <v>55</v>
      </c>
      <c r="E1975" s="18" t="s">
        <v>98</v>
      </c>
      <c r="F1975" s="18" t="s">
        <v>99</v>
      </c>
      <c r="G1975" s="18" t="s">
        <v>47</v>
      </c>
      <c r="H1975" s="18" t="s">
        <v>107</v>
      </c>
      <c r="I1975" s="18" t="s">
        <v>46</v>
      </c>
      <c r="J1975" s="18" t="s">
        <v>82</v>
      </c>
      <c r="K1975" s="18">
        <v>9</v>
      </c>
      <c r="L1975" s="20">
        <v>2166.25</v>
      </c>
      <c r="M1975" s="21">
        <v>0.05</v>
      </c>
      <c r="N1975" s="21">
        <v>0.62456968201116703</v>
      </c>
      <c r="O1975" s="20">
        <f t="shared" si="120"/>
        <v>18521.4375</v>
      </c>
      <c r="P1975" s="20">
        <f t="shared" si="121"/>
        <v>11567.928329764705</v>
      </c>
      <c r="Q1975" s="20">
        <f t="shared" si="122"/>
        <v>6953.5091702352947</v>
      </c>
      <c r="R1975" s="22">
        <f t="shared" si="123"/>
        <v>0.37543031798883292</v>
      </c>
    </row>
    <row r="1976" spans="1:18">
      <c r="A1976" s="18">
        <v>2975</v>
      </c>
      <c r="B1976" s="19" t="s">
        <v>683</v>
      </c>
      <c r="C1976" s="18">
        <v>2025</v>
      </c>
      <c r="D1976" s="18" t="s">
        <v>55</v>
      </c>
      <c r="E1976" s="18" t="s">
        <v>79</v>
      </c>
      <c r="F1976" s="18" t="s">
        <v>105</v>
      </c>
      <c r="G1976" s="18" t="s">
        <v>50</v>
      </c>
      <c r="H1976" s="18" t="s">
        <v>87</v>
      </c>
      <c r="I1976" s="18" t="s">
        <v>46</v>
      </c>
      <c r="J1976" s="18" t="s">
        <v>82</v>
      </c>
      <c r="K1976" s="18">
        <v>10</v>
      </c>
      <c r="L1976" s="20">
        <v>9159.4599999999991</v>
      </c>
      <c r="M1976" s="21">
        <v>0.05</v>
      </c>
      <c r="N1976" s="21">
        <v>0.64938899253383997</v>
      </c>
      <c r="O1976" s="20">
        <f t="shared" si="120"/>
        <v>87014.869999999981</v>
      </c>
      <c r="P1976" s="20">
        <f t="shared" si="121"/>
        <v>56506.498764763041</v>
      </c>
      <c r="Q1976" s="20">
        <f t="shared" si="122"/>
        <v>30508.37123523694</v>
      </c>
      <c r="R1976" s="22">
        <f t="shared" si="123"/>
        <v>0.35061100746616009</v>
      </c>
    </row>
    <row r="1977" spans="1:18">
      <c r="A1977" s="18">
        <v>2976</v>
      </c>
      <c r="B1977" s="19" t="s">
        <v>683</v>
      </c>
      <c r="C1977" s="18">
        <v>2025</v>
      </c>
      <c r="D1977" s="18" t="s">
        <v>55</v>
      </c>
      <c r="E1977" s="18" t="s">
        <v>79</v>
      </c>
      <c r="F1977" s="18" t="s">
        <v>80</v>
      </c>
      <c r="G1977" s="18" t="s">
        <v>41</v>
      </c>
      <c r="H1977" s="18" t="s">
        <v>90</v>
      </c>
      <c r="I1977" s="18" t="s">
        <v>43</v>
      </c>
      <c r="J1977" s="18" t="s">
        <v>102</v>
      </c>
      <c r="K1977" s="18">
        <v>7</v>
      </c>
      <c r="L1977" s="20">
        <v>17495.2</v>
      </c>
      <c r="M1977" s="21">
        <v>0.2</v>
      </c>
      <c r="N1977" s="21">
        <v>0.72969528487648205</v>
      </c>
      <c r="O1977" s="20">
        <f t="shared" si="120"/>
        <v>97973.12000000001</v>
      </c>
      <c r="P1977" s="20">
        <f t="shared" si="121"/>
        <v>71490.523708637775</v>
      </c>
      <c r="Q1977" s="20">
        <f t="shared" si="122"/>
        <v>26482.596291362235</v>
      </c>
      <c r="R1977" s="22">
        <f t="shared" si="123"/>
        <v>0.27030471512351789</v>
      </c>
    </row>
    <row r="1978" spans="1:18">
      <c r="A1978" s="18">
        <v>2977</v>
      </c>
      <c r="B1978" s="19" t="s">
        <v>683</v>
      </c>
      <c r="C1978" s="18">
        <v>2025</v>
      </c>
      <c r="D1978" s="18" t="s">
        <v>55</v>
      </c>
      <c r="E1978" s="18" t="s">
        <v>85</v>
      </c>
      <c r="F1978" s="18" t="s">
        <v>121</v>
      </c>
      <c r="G1978" s="18" t="s">
        <v>41</v>
      </c>
      <c r="H1978" s="18" t="s">
        <v>112</v>
      </c>
      <c r="I1978" s="18" t="s">
        <v>46</v>
      </c>
      <c r="J1978" s="18" t="s">
        <v>82</v>
      </c>
      <c r="K1978" s="18">
        <v>3</v>
      </c>
      <c r="L1978" s="20">
        <v>5867.07</v>
      </c>
      <c r="M1978" s="21">
        <v>0.1</v>
      </c>
      <c r="N1978" s="21">
        <v>0.74837589439395902</v>
      </c>
      <c r="O1978" s="20">
        <f t="shared" si="120"/>
        <v>15841.089</v>
      </c>
      <c r="P1978" s="20">
        <f t="shared" si="121"/>
        <v>11855.089148549307</v>
      </c>
      <c r="Q1978" s="20">
        <f t="shared" si="122"/>
        <v>3985.9998514506933</v>
      </c>
      <c r="R1978" s="22">
        <f t="shared" si="123"/>
        <v>0.25162410560604093</v>
      </c>
    </row>
    <row r="1979" spans="1:18">
      <c r="A1979" s="18">
        <v>2978</v>
      </c>
      <c r="B1979" s="19" t="s">
        <v>684</v>
      </c>
      <c r="C1979" s="18">
        <v>2025</v>
      </c>
      <c r="D1979" s="18" t="s">
        <v>55</v>
      </c>
      <c r="E1979" s="18" t="s">
        <v>98</v>
      </c>
      <c r="F1979" s="18" t="s">
        <v>99</v>
      </c>
      <c r="G1979" s="18" t="s">
        <v>47</v>
      </c>
      <c r="H1979" s="18" t="s">
        <v>81</v>
      </c>
      <c r="I1979" s="18" t="s">
        <v>40</v>
      </c>
      <c r="J1979" s="18" t="s">
        <v>82</v>
      </c>
      <c r="K1979" s="18">
        <v>8</v>
      </c>
      <c r="L1979" s="20">
        <v>801.61</v>
      </c>
      <c r="M1979" s="21">
        <v>0.15</v>
      </c>
      <c r="N1979" s="21">
        <v>0.58655364388364195</v>
      </c>
      <c r="O1979" s="20">
        <f t="shared" si="120"/>
        <v>5450.9480000000003</v>
      </c>
      <c r="P1979" s="20">
        <f t="shared" si="121"/>
        <v>3197.2734120202504</v>
      </c>
      <c r="Q1979" s="20">
        <f t="shared" si="122"/>
        <v>2253.67458797975</v>
      </c>
      <c r="R1979" s="22">
        <f t="shared" si="123"/>
        <v>0.41344635611635805</v>
      </c>
    </row>
    <row r="1980" spans="1:18">
      <c r="A1980" s="18">
        <v>2979</v>
      </c>
      <c r="B1980" s="19" t="s">
        <v>684</v>
      </c>
      <c r="C1980" s="18">
        <v>2025</v>
      </c>
      <c r="D1980" s="18" t="s">
        <v>55</v>
      </c>
      <c r="E1980" s="18" t="s">
        <v>98</v>
      </c>
      <c r="F1980" s="18" t="s">
        <v>99</v>
      </c>
      <c r="G1980" s="18" t="s">
        <v>50</v>
      </c>
      <c r="H1980" s="18" t="s">
        <v>83</v>
      </c>
      <c r="I1980" s="18" t="s">
        <v>43</v>
      </c>
      <c r="J1980" s="18" t="s">
        <v>82</v>
      </c>
      <c r="K1980" s="18">
        <v>7</v>
      </c>
      <c r="L1980" s="20">
        <v>3350.37</v>
      </c>
      <c r="M1980" s="21">
        <v>0.15</v>
      </c>
      <c r="N1980" s="21">
        <v>0.73483919640068995</v>
      </c>
      <c r="O1980" s="20">
        <f t="shared" si="120"/>
        <v>19934.701499999999</v>
      </c>
      <c r="P1980" s="20">
        <f t="shared" si="121"/>
        <v>14648.800030747629</v>
      </c>
      <c r="Q1980" s="20">
        <f t="shared" si="122"/>
        <v>5285.9014692523706</v>
      </c>
      <c r="R1980" s="22">
        <f t="shared" si="123"/>
        <v>0.26516080359930999</v>
      </c>
    </row>
    <row r="1981" spans="1:18">
      <c r="A1981" s="18">
        <v>2980</v>
      </c>
      <c r="B1981" s="19" t="s">
        <v>684</v>
      </c>
      <c r="C1981" s="18">
        <v>2025</v>
      </c>
      <c r="D1981" s="18" t="s">
        <v>55</v>
      </c>
      <c r="E1981" s="18" t="s">
        <v>98</v>
      </c>
      <c r="F1981" s="18" t="s">
        <v>117</v>
      </c>
      <c r="G1981" s="18" t="s">
        <v>50</v>
      </c>
      <c r="H1981" s="18" t="s">
        <v>83</v>
      </c>
      <c r="I1981" s="18" t="s">
        <v>40</v>
      </c>
      <c r="J1981" s="18" t="s">
        <v>91</v>
      </c>
      <c r="K1981" s="18">
        <v>9</v>
      </c>
      <c r="L1981" s="20">
        <v>3549.52</v>
      </c>
      <c r="M1981" s="21">
        <v>0</v>
      </c>
      <c r="N1981" s="21">
        <v>0.56829336451913204</v>
      </c>
      <c r="O1981" s="20">
        <f t="shared" si="120"/>
        <v>31945.68</v>
      </c>
      <c r="P1981" s="20">
        <f t="shared" si="121"/>
        <v>18154.517969051547</v>
      </c>
      <c r="Q1981" s="20">
        <f t="shared" si="122"/>
        <v>13791.162030948453</v>
      </c>
      <c r="R1981" s="22">
        <f t="shared" si="123"/>
        <v>0.43170663548086796</v>
      </c>
    </row>
    <row r="1982" spans="1:18">
      <c r="A1982" s="18">
        <v>2981</v>
      </c>
      <c r="B1982" s="19" t="s">
        <v>685</v>
      </c>
      <c r="C1982" s="18">
        <v>2025</v>
      </c>
      <c r="D1982" s="18" t="s">
        <v>55</v>
      </c>
      <c r="E1982" s="18" t="s">
        <v>79</v>
      </c>
      <c r="F1982" s="18" t="s">
        <v>80</v>
      </c>
      <c r="G1982" s="18" t="s">
        <v>44</v>
      </c>
      <c r="H1982" s="18" t="s">
        <v>114</v>
      </c>
      <c r="I1982" s="18" t="s">
        <v>43</v>
      </c>
      <c r="J1982" s="18" t="s">
        <v>102</v>
      </c>
      <c r="K1982" s="18">
        <v>2</v>
      </c>
      <c r="L1982" s="20">
        <v>8833.49</v>
      </c>
      <c r="M1982" s="21">
        <v>0.1</v>
      </c>
      <c r="N1982" s="21">
        <v>0.56617416552831501</v>
      </c>
      <c r="O1982" s="20">
        <f t="shared" si="120"/>
        <v>15900.281999999999</v>
      </c>
      <c r="P1982" s="20">
        <f t="shared" si="121"/>
        <v>9002.3288930148865</v>
      </c>
      <c r="Q1982" s="20">
        <f t="shared" si="122"/>
        <v>6897.9531069851128</v>
      </c>
      <c r="R1982" s="22">
        <f t="shared" si="123"/>
        <v>0.43382583447168505</v>
      </c>
    </row>
    <row r="1983" spans="1:18">
      <c r="A1983" s="18">
        <v>2982</v>
      </c>
      <c r="B1983" s="19" t="s">
        <v>685</v>
      </c>
      <c r="C1983" s="18">
        <v>2025</v>
      </c>
      <c r="D1983" s="18" t="s">
        <v>55</v>
      </c>
      <c r="E1983" s="18" t="s">
        <v>79</v>
      </c>
      <c r="F1983" s="18" t="s">
        <v>80</v>
      </c>
      <c r="G1983" s="18" t="s">
        <v>47</v>
      </c>
      <c r="H1983" s="18" t="s">
        <v>81</v>
      </c>
      <c r="I1983" s="18" t="s">
        <v>58</v>
      </c>
      <c r="J1983" s="18" t="s">
        <v>82</v>
      </c>
      <c r="K1983" s="18">
        <v>10</v>
      </c>
      <c r="L1983" s="20">
        <v>770.89</v>
      </c>
      <c r="M1983" s="21">
        <v>0</v>
      </c>
      <c r="N1983" s="21">
        <v>0.55656560877319505</v>
      </c>
      <c r="O1983" s="20">
        <f t="shared" si="120"/>
        <v>7708.9</v>
      </c>
      <c r="P1983" s="20">
        <f t="shared" si="121"/>
        <v>4290.508621471683</v>
      </c>
      <c r="Q1983" s="20">
        <f t="shared" si="122"/>
        <v>3418.3913785283166</v>
      </c>
      <c r="R1983" s="22">
        <f t="shared" si="123"/>
        <v>0.44343439122680495</v>
      </c>
    </row>
    <row r="1984" spans="1:18">
      <c r="A1984" s="18">
        <v>2983</v>
      </c>
      <c r="B1984" s="19" t="s">
        <v>685</v>
      </c>
      <c r="C1984" s="18">
        <v>2025</v>
      </c>
      <c r="D1984" s="18" t="s">
        <v>55</v>
      </c>
      <c r="E1984" s="18" t="s">
        <v>79</v>
      </c>
      <c r="F1984" s="18" t="s">
        <v>105</v>
      </c>
      <c r="G1984" s="18" t="s">
        <v>47</v>
      </c>
      <c r="H1984" s="18" t="s">
        <v>103</v>
      </c>
      <c r="I1984" s="18" t="s">
        <v>40</v>
      </c>
      <c r="J1984" s="18" t="s">
        <v>82</v>
      </c>
      <c r="K1984" s="18">
        <v>8</v>
      </c>
      <c r="L1984" s="20">
        <v>3122.06</v>
      </c>
      <c r="M1984" s="21">
        <v>0.2</v>
      </c>
      <c r="N1984" s="21">
        <v>0.715995420497618</v>
      </c>
      <c r="O1984" s="20">
        <f t="shared" si="120"/>
        <v>19981.184000000001</v>
      </c>
      <c r="P1984" s="20">
        <f t="shared" si="121"/>
        <v>14306.436240120278</v>
      </c>
      <c r="Q1984" s="20">
        <f t="shared" si="122"/>
        <v>5674.7477598797232</v>
      </c>
      <c r="R1984" s="22">
        <f t="shared" si="123"/>
        <v>0.284004579502382</v>
      </c>
    </row>
    <row r="1985" spans="1:18">
      <c r="A1985" s="18">
        <v>2984</v>
      </c>
      <c r="B1985" s="19" t="s">
        <v>685</v>
      </c>
      <c r="C1985" s="18">
        <v>2025</v>
      </c>
      <c r="D1985" s="18" t="s">
        <v>55</v>
      </c>
      <c r="E1985" s="18" t="s">
        <v>79</v>
      </c>
      <c r="F1985" s="18" t="s">
        <v>80</v>
      </c>
      <c r="G1985" s="18" t="s">
        <v>47</v>
      </c>
      <c r="H1985" s="18" t="s">
        <v>103</v>
      </c>
      <c r="I1985" s="18" t="s">
        <v>54</v>
      </c>
      <c r="J1985" s="18" t="s">
        <v>102</v>
      </c>
      <c r="K1985" s="18">
        <v>5</v>
      </c>
      <c r="L1985" s="20">
        <v>3112.64</v>
      </c>
      <c r="M1985" s="21">
        <v>0.2</v>
      </c>
      <c r="N1985" s="21">
        <v>0.57816984921313597</v>
      </c>
      <c r="O1985" s="20">
        <f t="shared" si="120"/>
        <v>12450.56</v>
      </c>
      <c r="P1985" s="20">
        <f t="shared" si="121"/>
        <v>7198.5383978191021</v>
      </c>
      <c r="Q1985" s="20">
        <f t="shared" si="122"/>
        <v>5252.0216021808974</v>
      </c>
      <c r="R1985" s="22">
        <f t="shared" si="123"/>
        <v>0.42183015078686403</v>
      </c>
    </row>
    <row r="1986" spans="1:18">
      <c r="A1986" s="18">
        <v>2985</v>
      </c>
      <c r="B1986" s="19" t="s">
        <v>686</v>
      </c>
      <c r="C1986" s="18">
        <v>2025</v>
      </c>
      <c r="D1986" s="18" t="s">
        <v>55</v>
      </c>
      <c r="E1986" s="18" t="s">
        <v>85</v>
      </c>
      <c r="F1986" s="18" t="s">
        <v>94</v>
      </c>
      <c r="G1986" s="18" t="s">
        <v>44</v>
      </c>
      <c r="H1986" s="18" t="s">
        <v>114</v>
      </c>
      <c r="I1986" s="18" t="s">
        <v>54</v>
      </c>
      <c r="J1986" s="18" t="s">
        <v>82</v>
      </c>
      <c r="K1986" s="18">
        <v>10</v>
      </c>
      <c r="L1986" s="20">
        <v>8781.3799999999992</v>
      </c>
      <c r="M1986" s="21">
        <v>0.1</v>
      </c>
      <c r="N1986" s="21">
        <v>0.70319822149808298</v>
      </c>
      <c r="O1986" s="20">
        <f t="shared" ref="O1986:O2049" si="124">K1986*L1986*(1-M1986)</f>
        <v>79032.42</v>
      </c>
      <c r="P1986" s="20">
        <f t="shared" ref="P1986:P2049" si="125">O1986*N1986</f>
        <v>55575.45718468952</v>
      </c>
      <c r="Q1986" s="20">
        <f t="shared" ref="Q1986:Q2049" si="126">O1986-P1986</f>
        <v>23456.962815310479</v>
      </c>
      <c r="R1986" s="22">
        <f t="shared" ref="R1986:R2049" si="127">IF(O1986=0,0,Q1986/O1986)</f>
        <v>0.29680177850191702</v>
      </c>
    </row>
    <row r="1987" spans="1:18">
      <c r="A1987" s="18">
        <v>2986</v>
      </c>
      <c r="B1987" s="19" t="s">
        <v>686</v>
      </c>
      <c r="C1987" s="18">
        <v>2025</v>
      </c>
      <c r="D1987" s="18" t="s">
        <v>55</v>
      </c>
      <c r="E1987" s="18" t="s">
        <v>85</v>
      </c>
      <c r="F1987" s="18" t="s">
        <v>94</v>
      </c>
      <c r="G1987" s="18" t="s">
        <v>41</v>
      </c>
      <c r="H1987" s="18" t="s">
        <v>101</v>
      </c>
      <c r="I1987" s="18" t="s">
        <v>58</v>
      </c>
      <c r="J1987" s="18" t="s">
        <v>82</v>
      </c>
      <c r="K1987" s="18">
        <v>5</v>
      </c>
      <c r="L1987" s="20">
        <v>56710.15</v>
      </c>
      <c r="M1987" s="21">
        <v>0</v>
      </c>
      <c r="N1987" s="21">
        <v>0.59264347836627995</v>
      </c>
      <c r="O1987" s="20">
        <f t="shared" si="124"/>
        <v>283550.75</v>
      </c>
      <c r="P1987" s="20">
        <f t="shared" si="125"/>
        <v>168044.50277336745</v>
      </c>
      <c r="Q1987" s="20">
        <f t="shared" si="126"/>
        <v>115506.24722663255</v>
      </c>
      <c r="R1987" s="22">
        <f t="shared" si="127"/>
        <v>0.40735652163372005</v>
      </c>
    </row>
    <row r="1988" spans="1:18">
      <c r="A1988" s="18">
        <v>2987</v>
      </c>
      <c r="B1988" s="19" t="s">
        <v>686</v>
      </c>
      <c r="C1988" s="18">
        <v>2025</v>
      </c>
      <c r="D1988" s="18" t="s">
        <v>55</v>
      </c>
      <c r="E1988" s="18" t="s">
        <v>79</v>
      </c>
      <c r="F1988" s="18" t="s">
        <v>100</v>
      </c>
      <c r="G1988" s="18" t="s">
        <v>47</v>
      </c>
      <c r="H1988" s="18" t="s">
        <v>107</v>
      </c>
      <c r="I1988" s="18" t="s">
        <v>40</v>
      </c>
      <c r="J1988" s="18" t="s">
        <v>82</v>
      </c>
      <c r="K1988" s="18">
        <v>6</v>
      </c>
      <c r="L1988" s="20">
        <v>2260.4299999999998</v>
      </c>
      <c r="M1988" s="21">
        <v>0.2</v>
      </c>
      <c r="N1988" s="21">
        <v>0.67215477437269899</v>
      </c>
      <c r="O1988" s="20">
        <f t="shared" si="124"/>
        <v>10850.063999999998</v>
      </c>
      <c r="P1988" s="20">
        <f t="shared" si="125"/>
        <v>7292.9223198493428</v>
      </c>
      <c r="Q1988" s="20">
        <f t="shared" si="126"/>
        <v>3557.1416801506557</v>
      </c>
      <c r="R1988" s="22">
        <f t="shared" si="127"/>
        <v>0.32784522562730101</v>
      </c>
    </row>
    <row r="1989" spans="1:18">
      <c r="A1989" s="18">
        <v>2988</v>
      </c>
      <c r="B1989" s="19" t="s">
        <v>686</v>
      </c>
      <c r="C1989" s="18">
        <v>2025</v>
      </c>
      <c r="D1989" s="18" t="s">
        <v>55</v>
      </c>
      <c r="E1989" s="18" t="s">
        <v>88</v>
      </c>
      <c r="F1989" s="18" t="s">
        <v>93</v>
      </c>
      <c r="G1989" s="18" t="s">
        <v>44</v>
      </c>
      <c r="H1989" s="18" t="s">
        <v>119</v>
      </c>
      <c r="I1989" s="18" t="s">
        <v>58</v>
      </c>
      <c r="J1989" s="18" t="s">
        <v>91</v>
      </c>
      <c r="K1989" s="18">
        <v>4</v>
      </c>
      <c r="L1989" s="20">
        <v>7329.57</v>
      </c>
      <c r="M1989" s="21">
        <v>0.2</v>
      </c>
      <c r="N1989" s="21">
        <v>0.62198861008562201</v>
      </c>
      <c r="O1989" s="20">
        <f t="shared" si="124"/>
        <v>23454.624</v>
      </c>
      <c r="P1989" s="20">
        <f t="shared" si="125"/>
        <v>14588.508981840872</v>
      </c>
      <c r="Q1989" s="20">
        <f t="shared" si="126"/>
        <v>8866.1150181591274</v>
      </c>
      <c r="R1989" s="22">
        <f t="shared" si="127"/>
        <v>0.37801138991437799</v>
      </c>
    </row>
    <row r="1990" spans="1:18">
      <c r="A1990" s="18">
        <v>2989</v>
      </c>
      <c r="B1990" s="19" t="s">
        <v>686</v>
      </c>
      <c r="C1990" s="18">
        <v>2025</v>
      </c>
      <c r="D1990" s="18" t="s">
        <v>55</v>
      </c>
      <c r="E1990" s="18" t="s">
        <v>98</v>
      </c>
      <c r="F1990" s="18" t="s">
        <v>99</v>
      </c>
      <c r="G1990" s="18" t="s">
        <v>44</v>
      </c>
      <c r="H1990" s="18" t="s">
        <v>114</v>
      </c>
      <c r="I1990" s="18" t="s">
        <v>46</v>
      </c>
      <c r="J1990" s="18" t="s">
        <v>91</v>
      </c>
      <c r="K1990" s="18">
        <v>9</v>
      </c>
      <c r="L1990" s="20">
        <v>8604.43</v>
      </c>
      <c r="M1990" s="21">
        <v>0.05</v>
      </c>
      <c r="N1990" s="21">
        <v>0.74580271921406704</v>
      </c>
      <c r="O1990" s="20">
        <f t="shared" si="124"/>
        <v>73567.876499999998</v>
      </c>
      <c r="P1990" s="20">
        <f t="shared" si="125"/>
        <v>54867.122340504662</v>
      </c>
      <c r="Q1990" s="20">
        <f t="shared" si="126"/>
        <v>18700.754159495336</v>
      </c>
      <c r="R1990" s="22">
        <f t="shared" si="127"/>
        <v>0.25419728078593296</v>
      </c>
    </row>
    <row r="1991" spans="1:18">
      <c r="A1991" s="18">
        <v>2990</v>
      </c>
      <c r="B1991" s="19" t="s">
        <v>687</v>
      </c>
      <c r="C1991" s="18">
        <v>2025</v>
      </c>
      <c r="D1991" s="18" t="s">
        <v>55</v>
      </c>
      <c r="E1991" s="18" t="s">
        <v>79</v>
      </c>
      <c r="F1991" s="18" t="s">
        <v>80</v>
      </c>
      <c r="G1991" s="18" t="s">
        <v>50</v>
      </c>
      <c r="H1991" s="18" t="s">
        <v>97</v>
      </c>
      <c r="I1991" s="18" t="s">
        <v>49</v>
      </c>
      <c r="J1991" s="18" t="s">
        <v>102</v>
      </c>
      <c r="K1991" s="18">
        <v>9</v>
      </c>
      <c r="L1991" s="20">
        <v>11662.84</v>
      </c>
      <c r="M1991" s="21">
        <v>0.2</v>
      </c>
      <c r="N1991" s="21">
        <v>0.74929117448832205</v>
      </c>
      <c r="O1991" s="20">
        <f t="shared" si="124"/>
        <v>83972.448000000004</v>
      </c>
      <c r="P1991" s="20">
        <f t="shared" si="125"/>
        <v>62919.814186579555</v>
      </c>
      <c r="Q1991" s="20">
        <f t="shared" si="126"/>
        <v>21052.633813420449</v>
      </c>
      <c r="R1991" s="22">
        <f t="shared" si="127"/>
        <v>0.25070882551167795</v>
      </c>
    </row>
    <row r="1992" spans="1:18">
      <c r="A1992" s="18">
        <v>2991</v>
      </c>
      <c r="B1992" s="19" t="s">
        <v>687</v>
      </c>
      <c r="C1992" s="18">
        <v>2025</v>
      </c>
      <c r="D1992" s="18" t="s">
        <v>55</v>
      </c>
      <c r="E1992" s="18" t="s">
        <v>98</v>
      </c>
      <c r="F1992" s="18" t="s">
        <v>99</v>
      </c>
      <c r="G1992" s="18" t="s">
        <v>44</v>
      </c>
      <c r="H1992" s="18" t="s">
        <v>95</v>
      </c>
      <c r="I1992" s="18" t="s">
        <v>52</v>
      </c>
      <c r="J1992" s="18" t="s">
        <v>82</v>
      </c>
      <c r="K1992" s="18">
        <v>6</v>
      </c>
      <c r="L1992" s="20">
        <v>4635.09</v>
      </c>
      <c r="M1992" s="21">
        <v>0.1</v>
      </c>
      <c r="N1992" s="21">
        <v>0.73422746804564798</v>
      </c>
      <c r="O1992" s="20">
        <f t="shared" si="124"/>
        <v>25029.486000000001</v>
      </c>
      <c r="P1992" s="20">
        <f t="shared" si="125"/>
        <v>18377.336132263994</v>
      </c>
      <c r="Q1992" s="20">
        <f t="shared" si="126"/>
        <v>6652.1498677360069</v>
      </c>
      <c r="R1992" s="22">
        <f t="shared" si="127"/>
        <v>0.26577253195435202</v>
      </c>
    </row>
    <row r="1993" spans="1:18">
      <c r="A1993" s="18">
        <v>2992</v>
      </c>
      <c r="B1993" s="19" t="s">
        <v>687</v>
      </c>
      <c r="C1993" s="18">
        <v>2025</v>
      </c>
      <c r="D1993" s="18" t="s">
        <v>55</v>
      </c>
      <c r="E1993" s="18" t="s">
        <v>98</v>
      </c>
      <c r="F1993" s="18" t="s">
        <v>109</v>
      </c>
      <c r="G1993" s="18" t="s">
        <v>44</v>
      </c>
      <c r="H1993" s="18" t="s">
        <v>95</v>
      </c>
      <c r="I1993" s="18" t="s">
        <v>40</v>
      </c>
      <c r="J1993" s="18" t="s">
        <v>91</v>
      </c>
      <c r="K1993" s="18">
        <v>6</v>
      </c>
      <c r="L1993" s="20">
        <v>4298.88</v>
      </c>
      <c r="M1993" s="21">
        <v>0.1</v>
      </c>
      <c r="N1993" s="21">
        <v>0.73540239673361196</v>
      </c>
      <c r="O1993" s="20">
        <f t="shared" si="124"/>
        <v>23213.952000000001</v>
      </c>
      <c r="P1993" s="20">
        <f t="shared" si="125"/>
        <v>17071.595938459024</v>
      </c>
      <c r="Q1993" s="20">
        <f t="shared" si="126"/>
        <v>6142.356061540977</v>
      </c>
      <c r="R1993" s="22">
        <f t="shared" si="127"/>
        <v>0.26459760326638809</v>
      </c>
    </row>
    <row r="1994" spans="1:18">
      <c r="A1994" s="18">
        <v>2993</v>
      </c>
      <c r="B1994" s="19" t="s">
        <v>687</v>
      </c>
      <c r="C1994" s="18">
        <v>2025</v>
      </c>
      <c r="D1994" s="18" t="s">
        <v>55</v>
      </c>
      <c r="E1994" s="18" t="s">
        <v>79</v>
      </c>
      <c r="F1994" s="18" t="s">
        <v>105</v>
      </c>
      <c r="G1994" s="18" t="s">
        <v>47</v>
      </c>
      <c r="H1994" s="18" t="s">
        <v>107</v>
      </c>
      <c r="I1994" s="18" t="s">
        <v>62</v>
      </c>
      <c r="J1994" s="18" t="s">
        <v>91</v>
      </c>
      <c r="K1994" s="18">
        <v>6</v>
      </c>
      <c r="L1994" s="20">
        <v>2107.61</v>
      </c>
      <c r="M1994" s="21">
        <v>0.1</v>
      </c>
      <c r="N1994" s="21">
        <v>0.58189115256963697</v>
      </c>
      <c r="O1994" s="20">
        <f t="shared" si="124"/>
        <v>11381.094000000001</v>
      </c>
      <c r="P1994" s="20">
        <f t="shared" si="125"/>
        <v>6622.5579051633804</v>
      </c>
      <c r="Q1994" s="20">
        <f t="shared" si="126"/>
        <v>4758.5360948366206</v>
      </c>
      <c r="R1994" s="22">
        <f t="shared" si="127"/>
        <v>0.41810884743036303</v>
      </c>
    </row>
    <row r="1995" spans="1:18">
      <c r="A1995" s="18">
        <v>2994</v>
      </c>
      <c r="B1995" s="19" t="s">
        <v>687</v>
      </c>
      <c r="C1995" s="18">
        <v>2025</v>
      </c>
      <c r="D1995" s="18" t="s">
        <v>55</v>
      </c>
      <c r="E1995" s="18" t="s">
        <v>88</v>
      </c>
      <c r="F1995" s="18" t="s">
        <v>93</v>
      </c>
      <c r="G1995" s="18" t="s">
        <v>41</v>
      </c>
      <c r="H1995" s="18" t="s">
        <v>90</v>
      </c>
      <c r="I1995" s="18" t="s">
        <v>60</v>
      </c>
      <c r="J1995" s="18" t="s">
        <v>91</v>
      </c>
      <c r="K1995" s="18">
        <v>6</v>
      </c>
      <c r="L1995" s="20">
        <v>17292.849999999999</v>
      </c>
      <c r="M1995" s="21">
        <v>0.1</v>
      </c>
      <c r="N1995" s="21">
        <v>0.675788811892028</v>
      </c>
      <c r="O1995" s="20">
        <f t="shared" si="124"/>
        <v>93381.39</v>
      </c>
      <c r="P1995" s="20">
        <f t="shared" si="125"/>
        <v>63106.098600926103</v>
      </c>
      <c r="Q1995" s="20">
        <f t="shared" si="126"/>
        <v>30275.291399073896</v>
      </c>
      <c r="R1995" s="22">
        <f t="shared" si="127"/>
        <v>0.324211188107972</v>
      </c>
    </row>
    <row r="1996" spans="1:18">
      <c r="A1996" s="18">
        <v>2995</v>
      </c>
      <c r="B1996" s="19" t="s">
        <v>688</v>
      </c>
      <c r="C1996" s="18">
        <v>2025</v>
      </c>
      <c r="D1996" s="18" t="s">
        <v>57</v>
      </c>
      <c r="E1996" s="18" t="s">
        <v>79</v>
      </c>
      <c r="F1996" s="18" t="s">
        <v>80</v>
      </c>
      <c r="G1996" s="18" t="s">
        <v>41</v>
      </c>
      <c r="H1996" s="18" t="s">
        <v>101</v>
      </c>
      <c r="I1996" s="18" t="s">
        <v>43</v>
      </c>
      <c r="J1996" s="18" t="s">
        <v>82</v>
      </c>
      <c r="K1996" s="18">
        <v>2</v>
      </c>
      <c r="L1996" s="20">
        <v>54794.85</v>
      </c>
      <c r="M1996" s="21">
        <v>0.15</v>
      </c>
      <c r="N1996" s="21">
        <v>0.73828075734958098</v>
      </c>
      <c r="O1996" s="20">
        <f t="shared" si="124"/>
        <v>93151.244999999995</v>
      </c>
      <c r="P1996" s="20">
        <f t="shared" si="125"/>
        <v>68771.771706656364</v>
      </c>
      <c r="Q1996" s="20">
        <f t="shared" si="126"/>
        <v>24379.473293343632</v>
      </c>
      <c r="R1996" s="22">
        <f t="shared" si="127"/>
        <v>0.26171924265041902</v>
      </c>
    </row>
    <row r="1997" spans="1:18">
      <c r="A1997" s="18">
        <v>2996</v>
      </c>
      <c r="B1997" s="19" t="s">
        <v>688</v>
      </c>
      <c r="C1997" s="18">
        <v>2025</v>
      </c>
      <c r="D1997" s="18" t="s">
        <v>57</v>
      </c>
      <c r="E1997" s="18" t="s">
        <v>79</v>
      </c>
      <c r="F1997" s="18" t="s">
        <v>80</v>
      </c>
      <c r="G1997" s="18" t="s">
        <v>41</v>
      </c>
      <c r="H1997" s="18" t="s">
        <v>101</v>
      </c>
      <c r="I1997" s="18" t="s">
        <v>54</v>
      </c>
      <c r="J1997" s="18" t="s">
        <v>91</v>
      </c>
      <c r="K1997" s="18">
        <v>12</v>
      </c>
      <c r="L1997" s="20">
        <v>57433.36</v>
      </c>
      <c r="M1997" s="21">
        <v>0.2</v>
      </c>
      <c r="N1997" s="21">
        <v>0.62781301744875795</v>
      </c>
      <c r="O1997" s="20">
        <f t="shared" si="124"/>
        <v>551360.25600000005</v>
      </c>
      <c r="P1997" s="20">
        <f t="shared" si="125"/>
        <v>346151.14602067968</v>
      </c>
      <c r="Q1997" s="20">
        <f t="shared" si="126"/>
        <v>205209.10997932038</v>
      </c>
      <c r="R1997" s="22">
        <f t="shared" si="127"/>
        <v>0.37218698255124205</v>
      </c>
    </row>
    <row r="1998" spans="1:18">
      <c r="A1998" s="18">
        <v>2997</v>
      </c>
      <c r="B1998" s="19" t="s">
        <v>688</v>
      </c>
      <c r="C1998" s="18">
        <v>2025</v>
      </c>
      <c r="D1998" s="18" t="s">
        <v>57</v>
      </c>
      <c r="E1998" s="18" t="s">
        <v>88</v>
      </c>
      <c r="F1998" s="18" t="s">
        <v>110</v>
      </c>
      <c r="G1998" s="18" t="s">
        <v>41</v>
      </c>
      <c r="H1998" s="18" t="s">
        <v>112</v>
      </c>
      <c r="I1998" s="18" t="s">
        <v>62</v>
      </c>
      <c r="J1998" s="18" t="s">
        <v>91</v>
      </c>
      <c r="K1998" s="18">
        <v>4</v>
      </c>
      <c r="L1998" s="20">
        <v>5889.08</v>
      </c>
      <c r="M1998" s="21">
        <v>0.05</v>
      </c>
      <c r="N1998" s="21">
        <v>0.68972651949598895</v>
      </c>
      <c r="O1998" s="20">
        <f t="shared" si="124"/>
        <v>22378.503999999997</v>
      </c>
      <c r="P1998" s="20">
        <f t="shared" si="125"/>
        <v>15435.047675447066</v>
      </c>
      <c r="Q1998" s="20">
        <f t="shared" si="126"/>
        <v>6943.4563245529316</v>
      </c>
      <c r="R1998" s="22">
        <f t="shared" si="127"/>
        <v>0.31027348050401099</v>
      </c>
    </row>
    <row r="1999" spans="1:18">
      <c r="A1999" s="18">
        <v>2998</v>
      </c>
      <c r="B1999" s="19" t="s">
        <v>688</v>
      </c>
      <c r="C1999" s="18">
        <v>2025</v>
      </c>
      <c r="D1999" s="18" t="s">
        <v>57</v>
      </c>
      <c r="E1999" s="18" t="s">
        <v>79</v>
      </c>
      <c r="F1999" s="18" t="s">
        <v>80</v>
      </c>
      <c r="G1999" s="18" t="s">
        <v>44</v>
      </c>
      <c r="H1999" s="18" t="s">
        <v>119</v>
      </c>
      <c r="I1999" s="18" t="s">
        <v>43</v>
      </c>
      <c r="J1999" s="18" t="s">
        <v>102</v>
      </c>
      <c r="K1999" s="18">
        <v>3</v>
      </c>
      <c r="L1999" s="20">
        <v>6777.57</v>
      </c>
      <c r="M1999" s="21">
        <v>0.05</v>
      </c>
      <c r="N1999" s="21">
        <v>0.70698671459240703</v>
      </c>
      <c r="O1999" s="20">
        <f t="shared" si="124"/>
        <v>19316.074499999999</v>
      </c>
      <c r="P1999" s="20">
        <f t="shared" si="125"/>
        <v>13656.20804957717</v>
      </c>
      <c r="Q1999" s="20">
        <f t="shared" si="126"/>
        <v>5659.8664504228291</v>
      </c>
      <c r="R1999" s="22">
        <f t="shared" si="127"/>
        <v>0.29301328540759303</v>
      </c>
    </row>
    <row r="2000" spans="1:18">
      <c r="A2000" s="18">
        <v>2999</v>
      </c>
      <c r="B2000" s="19" t="s">
        <v>689</v>
      </c>
      <c r="C2000" s="18">
        <v>2025</v>
      </c>
      <c r="D2000" s="18" t="s">
        <v>57</v>
      </c>
      <c r="E2000" s="18" t="s">
        <v>79</v>
      </c>
      <c r="F2000" s="18" t="s">
        <v>100</v>
      </c>
      <c r="G2000" s="18" t="s">
        <v>44</v>
      </c>
      <c r="H2000" s="18" t="s">
        <v>114</v>
      </c>
      <c r="I2000" s="18" t="s">
        <v>40</v>
      </c>
      <c r="J2000" s="18" t="s">
        <v>82</v>
      </c>
      <c r="K2000" s="18">
        <v>6</v>
      </c>
      <c r="L2000" s="20">
        <v>8649.89</v>
      </c>
      <c r="M2000" s="21">
        <v>0</v>
      </c>
      <c r="N2000" s="21">
        <v>0.722564732610396</v>
      </c>
      <c r="O2000" s="20">
        <f t="shared" si="124"/>
        <v>51899.34</v>
      </c>
      <c r="P2000" s="20">
        <f t="shared" si="125"/>
        <v>37500.632729756027</v>
      </c>
      <c r="Q2000" s="20">
        <f t="shared" si="126"/>
        <v>14398.707270243969</v>
      </c>
      <c r="R2000" s="22">
        <f t="shared" si="127"/>
        <v>0.277435267389604</v>
      </c>
    </row>
    <row r="2001" spans="1:18">
      <c r="A2001" s="18">
        <v>3000</v>
      </c>
      <c r="B2001" s="19" t="s">
        <v>689</v>
      </c>
      <c r="C2001" s="18">
        <v>2025</v>
      </c>
      <c r="D2001" s="18" t="s">
        <v>57</v>
      </c>
      <c r="E2001" s="18" t="s">
        <v>88</v>
      </c>
      <c r="F2001" s="18" t="s">
        <v>89</v>
      </c>
      <c r="G2001" s="18" t="s">
        <v>47</v>
      </c>
      <c r="H2001" s="18" t="s">
        <v>107</v>
      </c>
      <c r="I2001" s="18" t="s">
        <v>62</v>
      </c>
      <c r="J2001" s="18" t="s">
        <v>91</v>
      </c>
      <c r="K2001" s="18">
        <v>1</v>
      </c>
      <c r="L2001" s="20">
        <v>2186.37</v>
      </c>
      <c r="M2001" s="21">
        <v>0</v>
      </c>
      <c r="N2001" s="21">
        <v>0.74117232834511004</v>
      </c>
      <c r="O2001" s="20">
        <f t="shared" si="124"/>
        <v>2186.37</v>
      </c>
      <c r="P2001" s="20">
        <f t="shared" si="125"/>
        <v>1620.4769435238982</v>
      </c>
      <c r="Q2001" s="20">
        <f t="shared" si="126"/>
        <v>565.89305647610172</v>
      </c>
      <c r="R2001" s="22">
        <f t="shared" si="127"/>
        <v>0.25882767165488996</v>
      </c>
    </row>
    <row r="2002" spans="1:18">
      <c r="A2002" s="18">
        <v>3001</v>
      </c>
      <c r="B2002" s="19" t="s">
        <v>689</v>
      </c>
      <c r="C2002" s="18">
        <v>2025</v>
      </c>
      <c r="D2002" s="18" t="s">
        <v>57</v>
      </c>
      <c r="E2002" s="18" t="s">
        <v>85</v>
      </c>
      <c r="F2002" s="18" t="s">
        <v>86</v>
      </c>
      <c r="G2002" s="18" t="s">
        <v>50</v>
      </c>
      <c r="H2002" s="18" t="s">
        <v>87</v>
      </c>
      <c r="I2002" s="18" t="s">
        <v>49</v>
      </c>
      <c r="J2002" s="18" t="s">
        <v>82</v>
      </c>
      <c r="K2002" s="18">
        <v>8</v>
      </c>
      <c r="L2002" s="20">
        <v>9590.2099999999991</v>
      </c>
      <c r="M2002" s="21">
        <v>0</v>
      </c>
      <c r="N2002" s="21">
        <v>0.73615006559173102</v>
      </c>
      <c r="O2002" s="20">
        <f t="shared" si="124"/>
        <v>76721.679999999993</v>
      </c>
      <c r="P2002" s="20">
        <f t="shared" si="125"/>
        <v>56478.669764307793</v>
      </c>
      <c r="Q2002" s="20">
        <f t="shared" si="126"/>
        <v>20243.0102356922</v>
      </c>
      <c r="R2002" s="22">
        <f t="shared" si="127"/>
        <v>0.26384993440826898</v>
      </c>
    </row>
    <row r="2003" spans="1:18">
      <c r="A2003" s="18">
        <v>3002</v>
      </c>
      <c r="B2003" s="19" t="s">
        <v>689</v>
      </c>
      <c r="C2003" s="18">
        <v>2025</v>
      </c>
      <c r="D2003" s="18" t="s">
        <v>57</v>
      </c>
      <c r="E2003" s="18" t="s">
        <v>98</v>
      </c>
      <c r="F2003" s="18" t="s">
        <v>99</v>
      </c>
      <c r="G2003" s="18" t="s">
        <v>41</v>
      </c>
      <c r="H2003" s="18" t="s">
        <v>101</v>
      </c>
      <c r="I2003" s="18" t="s">
        <v>43</v>
      </c>
      <c r="J2003" s="18" t="s">
        <v>82</v>
      </c>
      <c r="K2003" s="18">
        <v>1</v>
      </c>
      <c r="L2003" s="20">
        <v>57654.12</v>
      </c>
      <c r="M2003" s="21">
        <v>0.05</v>
      </c>
      <c r="N2003" s="21">
        <v>0.741478524621633</v>
      </c>
      <c r="O2003" s="20">
        <f t="shared" si="124"/>
        <v>54771.413999999997</v>
      </c>
      <c r="P2003" s="20">
        <f t="shared" si="125"/>
        <v>40611.827244160653</v>
      </c>
      <c r="Q2003" s="20">
        <f t="shared" si="126"/>
        <v>14159.586755839344</v>
      </c>
      <c r="R2003" s="22">
        <f t="shared" si="127"/>
        <v>0.258521475378367</v>
      </c>
    </row>
    <row r="2004" spans="1:18">
      <c r="A2004" s="18">
        <v>3003</v>
      </c>
      <c r="B2004" s="19" t="s">
        <v>690</v>
      </c>
      <c r="C2004" s="18">
        <v>2025</v>
      </c>
      <c r="D2004" s="18" t="s">
        <v>57</v>
      </c>
      <c r="E2004" s="18" t="s">
        <v>98</v>
      </c>
      <c r="F2004" s="18" t="s">
        <v>99</v>
      </c>
      <c r="G2004" s="18" t="s">
        <v>41</v>
      </c>
      <c r="H2004" s="18" t="s">
        <v>101</v>
      </c>
      <c r="I2004" s="18" t="s">
        <v>62</v>
      </c>
      <c r="J2004" s="18" t="s">
        <v>82</v>
      </c>
      <c r="K2004" s="18">
        <v>1</v>
      </c>
      <c r="L2004" s="20">
        <v>53775.89</v>
      </c>
      <c r="M2004" s="21">
        <v>0</v>
      </c>
      <c r="N2004" s="21">
        <v>0.73753753607188599</v>
      </c>
      <c r="O2004" s="20">
        <f t="shared" si="124"/>
        <v>53775.89</v>
      </c>
      <c r="P2004" s="20">
        <f t="shared" si="125"/>
        <v>39661.737410672773</v>
      </c>
      <c r="Q2004" s="20">
        <f t="shared" si="126"/>
        <v>14114.152589327226</v>
      </c>
      <c r="R2004" s="22">
        <f t="shared" si="127"/>
        <v>0.26246246392811401</v>
      </c>
    </row>
    <row r="2005" spans="1:18">
      <c r="A2005" s="18">
        <v>3004</v>
      </c>
      <c r="B2005" s="19" t="s">
        <v>690</v>
      </c>
      <c r="C2005" s="18">
        <v>2025</v>
      </c>
      <c r="D2005" s="18" t="s">
        <v>57</v>
      </c>
      <c r="E2005" s="18" t="s">
        <v>88</v>
      </c>
      <c r="F2005" s="18" t="s">
        <v>89</v>
      </c>
      <c r="G2005" s="18" t="s">
        <v>41</v>
      </c>
      <c r="H2005" s="18" t="s">
        <v>106</v>
      </c>
      <c r="I2005" s="18" t="s">
        <v>43</v>
      </c>
      <c r="J2005" s="18" t="s">
        <v>82</v>
      </c>
      <c r="K2005" s="18">
        <v>9</v>
      </c>
      <c r="L2005" s="20">
        <v>2449.9699999999998</v>
      </c>
      <c r="M2005" s="21">
        <v>0.15</v>
      </c>
      <c r="N2005" s="21">
        <v>0.73197145625024296</v>
      </c>
      <c r="O2005" s="20">
        <f t="shared" si="124"/>
        <v>18742.270499999999</v>
      </c>
      <c r="P2005" s="20">
        <f t="shared" si="125"/>
        <v>13718.807031320968</v>
      </c>
      <c r="Q2005" s="20">
        <f t="shared" si="126"/>
        <v>5023.4634686790305</v>
      </c>
      <c r="R2005" s="22">
        <f t="shared" si="127"/>
        <v>0.26802854374975704</v>
      </c>
    </row>
    <row r="2006" spans="1:18">
      <c r="A2006" s="18">
        <v>3005</v>
      </c>
      <c r="B2006" s="19" t="s">
        <v>690</v>
      </c>
      <c r="C2006" s="18">
        <v>2025</v>
      </c>
      <c r="D2006" s="18" t="s">
        <v>57</v>
      </c>
      <c r="E2006" s="18" t="s">
        <v>88</v>
      </c>
      <c r="F2006" s="18" t="s">
        <v>93</v>
      </c>
      <c r="G2006" s="18" t="s">
        <v>47</v>
      </c>
      <c r="H2006" s="18" t="s">
        <v>103</v>
      </c>
      <c r="I2006" s="18" t="s">
        <v>62</v>
      </c>
      <c r="J2006" s="18" t="s">
        <v>82</v>
      </c>
      <c r="K2006" s="18">
        <v>9</v>
      </c>
      <c r="L2006" s="20">
        <v>3154.94</v>
      </c>
      <c r="M2006" s="21">
        <v>0</v>
      </c>
      <c r="N2006" s="21">
        <v>0.73186051305204602</v>
      </c>
      <c r="O2006" s="20">
        <f t="shared" si="124"/>
        <v>28394.46</v>
      </c>
      <c r="P2006" s="20">
        <f t="shared" si="125"/>
        <v>20780.7840634358</v>
      </c>
      <c r="Q2006" s="20">
        <f t="shared" si="126"/>
        <v>7613.6759365641992</v>
      </c>
      <c r="R2006" s="22">
        <f t="shared" si="127"/>
        <v>0.26813948694795392</v>
      </c>
    </row>
    <row r="2007" spans="1:18">
      <c r="A2007" s="18">
        <v>3006</v>
      </c>
      <c r="B2007" s="19" t="s">
        <v>691</v>
      </c>
      <c r="C2007" s="18">
        <v>2025</v>
      </c>
      <c r="D2007" s="18" t="s">
        <v>57</v>
      </c>
      <c r="E2007" s="18" t="s">
        <v>88</v>
      </c>
      <c r="F2007" s="18" t="s">
        <v>110</v>
      </c>
      <c r="G2007" s="18" t="s">
        <v>47</v>
      </c>
      <c r="H2007" s="18" t="s">
        <v>107</v>
      </c>
      <c r="I2007" s="18" t="s">
        <v>43</v>
      </c>
      <c r="J2007" s="18" t="s">
        <v>82</v>
      </c>
      <c r="K2007" s="18">
        <v>1</v>
      </c>
      <c r="L2007" s="20">
        <v>2179.66</v>
      </c>
      <c r="M2007" s="21">
        <v>0.1</v>
      </c>
      <c r="N2007" s="21">
        <v>0.66387889674390899</v>
      </c>
      <c r="O2007" s="20">
        <f t="shared" si="124"/>
        <v>1961.694</v>
      </c>
      <c r="P2007" s="20">
        <f t="shared" si="125"/>
        <v>1302.3272484691458</v>
      </c>
      <c r="Q2007" s="20">
        <f t="shared" si="126"/>
        <v>659.36675153085412</v>
      </c>
      <c r="R2007" s="22">
        <f t="shared" si="127"/>
        <v>0.33612110325609096</v>
      </c>
    </row>
    <row r="2008" spans="1:18">
      <c r="A2008" s="18">
        <v>3007</v>
      </c>
      <c r="B2008" s="19" t="s">
        <v>691</v>
      </c>
      <c r="C2008" s="18">
        <v>2025</v>
      </c>
      <c r="D2008" s="18" t="s">
        <v>57</v>
      </c>
      <c r="E2008" s="18" t="s">
        <v>79</v>
      </c>
      <c r="F2008" s="18" t="s">
        <v>80</v>
      </c>
      <c r="G2008" s="18" t="s">
        <v>41</v>
      </c>
      <c r="H2008" s="18" t="s">
        <v>112</v>
      </c>
      <c r="I2008" s="18" t="s">
        <v>62</v>
      </c>
      <c r="J2008" s="18" t="s">
        <v>91</v>
      </c>
      <c r="K2008" s="18">
        <v>9</v>
      </c>
      <c r="L2008" s="20">
        <v>5735.27</v>
      </c>
      <c r="M2008" s="21">
        <v>0.15</v>
      </c>
      <c r="N2008" s="21">
        <v>0.62737147765923895</v>
      </c>
      <c r="O2008" s="20">
        <f t="shared" si="124"/>
        <v>43874.815500000004</v>
      </c>
      <c r="P2008" s="20">
        <f t="shared" si="125"/>
        <v>27525.807832261482</v>
      </c>
      <c r="Q2008" s="20">
        <f t="shared" si="126"/>
        <v>16349.007667738522</v>
      </c>
      <c r="R2008" s="22">
        <f t="shared" si="127"/>
        <v>0.3726285223407611</v>
      </c>
    </row>
    <row r="2009" spans="1:18">
      <c r="A2009" s="18">
        <v>3008</v>
      </c>
      <c r="B2009" s="19" t="s">
        <v>691</v>
      </c>
      <c r="C2009" s="18">
        <v>2025</v>
      </c>
      <c r="D2009" s="18" t="s">
        <v>57</v>
      </c>
      <c r="E2009" s="18" t="s">
        <v>85</v>
      </c>
      <c r="F2009" s="18" t="s">
        <v>121</v>
      </c>
      <c r="G2009" s="18" t="s">
        <v>47</v>
      </c>
      <c r="H2009" s="18" t="s">
        <v>81</v>
      </c>
      <c r="I2009" s="18" t="s">
        <v>49</v>
      </c>
      <c r="J2009" s="18" t="s">
        <v>91</v>
      </c>
      <c r="K2009" s="18">
        <v>9</v>
      </c>
      <c r="L2009" s="20">
        <v>781.36</v>
      </c>
      <c r="M2009" s="21">
        <v>0.2</v>
      </c>
      <c r="N2009" s="21">
        <v>0.575061277622963</v>
      </c>
      <c r="O2009" s="20">
        <f t="shared" si="124"/>
        <v>5625.7920000000004</v>
      </c>
      <c r="P2009" s="20">
        <f t="shared" si="125"/>
        <v>3235.1751351610446</v>
      </c>
      <c r="Q2009" s="20">
        <f t="shared" si="126"/>
        <v>2390.6168648389557</v>
      </c>
      <c r="R2009" s="22">
        <f t="shared" si="127"/>
        <v>0.42493872237703695</v>
      </c>
    </row>
    <row r="2010" spans="1:18">
      <c r="A2010" s="18">
        <v>3009</v>
      </c>
      <c r="B2010" s="19" t="s">
        <v>691</v>
      </c>
      <c r="C2010" s="18">
        <v>2025</v>
      </c>
      <c r="D2010" s="18" t="s">
        <v>57</v>
      </c>
      <c r="E2010" s="18" t="s">
        <v>88</v>
      </c>
      <c r="F2010" s="18" t="s">
        <v>93</v>
      </c>
      <c r="G2010" s="18" t="s">
        <v>44</v>
      </c>
      <c r="H2010" s="18" t="s">
        <v>95</v>
      </c>
      <c r="I2010" s="18" t="s">
        <v>52</v>
      </c>
      <c r="J2010" s="18" t="s">
        <v>91</v>
      </c>
      <c r="K2010" s="18">
        <v>10</v>
      </c>
      <c r="L2010" s="20">
        <v>4589.5</v>
      </c>
      <c r="M2010" s="21">
        <v>0.05</v>
      </c>
      <c r="N2010" s="21">
        <v>0.72237760458145805</v>
      </c>
      <c r="O2010" s="20">
        <f t="shared" si="124"/>
        <v>43600.25</v>
      </c>
      <c r="P2010" s="20">
        <f t="shared" si="125"/>
        <v>31495.844154152717</v>
      </c>
      <c r="Q2010" s="20">
        <f t="shared" si="126"/>
        <v>12104.405845847283</v>
      </c>
      <c r="R2010" s="22">
        <f t="shared" si="127"/>
        <v>0.27762239541854195</v>
      </c>
    </row>
    <row r="2011" spans="1:18">
      <c r="A2011" s="18">
        <v>3010</v>
      </c>
      <c r="B2011" s="19" t="s">
        <v>692</v>
      </c>
      <c r="C2011" s="18">
        <v>2025</v>
      </c>
      <c r="D2011" s="18" t="s">
        <v>57</v>
      </c>
      <c r="E2011" s="18" t="s">
        <v>79</v>
      </c>
      <c r="F2011" s="18" t="s">
        <v>105</v>
      </c>
      <c r="G2011" s="18" t="s">
        <v>50</v>
      </c>
      <c r="H2011" s="18" t="s">
        <v>97</v>
      </c>
      <c r="I2011" s="18" t="s">
        <v>56</v>
      </c>
      <c r="J2011" s="18" t="s">
        <v>82</v>
      </c>
      <c r="K2011" s="18">
        <v>6</v>
      </c>
      <c r="L2011" s="20">
        <v>11793.71</v>
      </c>
      <c r="M2011" s="21">
        <v>0</v>
      </c>
      <c r="N2011" s="21">
        <v>0.58213602249753904</v>
      </c>
      <c r="O2011" s="20">
        <f t="shared" si="124"/>
        <v>70762.259999999995</v>
      </c>
      <c r="P2011" s="20">
        <f t="shared" si="125"/>
        <v>41193.260579336704</v>
      </c>
      <c r="Q2011" s="20">
        <f t="shared" si="126"/>
        <v>29568.999420663291</v>
      </c>
      <c r="R2011" s="22">
        <f t="shared" si="127"/>
        <v>0.41786397750246096</v>
      </c>
    </row>
    <row r="2012" spans="1:18">
      <c r="A2012" s="18">
        <v>3011</v>
      </c>
      <c r="B2012" s="19" t="s">
        <v>692</v>
      </c>
      <c r="C2012" s="18">
        <v>2025</v>
      </c>
      <c r="D2012" s="18" t="s">
        <v>57</v>
      </c>
      <c r="E2012" s="18" t="s">
        <v>98</v>
      </c>
      <c r="F2012" s="18" t="s">
        <v>117</v>
      </c>
      <c r="G2012" s="18" t="s">
        <v>41</v>
      </c>
      <c r="H2012" s="18" t="s">
        <v>112</v>
      </c>
      <c r="I2012" s="18" t="s">
        <v>49</v>
      </c>
      <c r="J2012" s="18" t="s">
        <v>91</v>
      </c>
      <c r="K2012" s="18">
        <v>6</v>
      </c>
      <c r="L2012" s="20">
        <v>5853.06</v>
      </c>
      <c r="M2012" s="21">
        <v>0.1</v>
      </c>
      <c r="N2012" s="21">
        <v>0.58672897858302198</v>
      </c>
      <c r="O2012" s="20">
        <f t="shared" si="124"/>
        <v>31606.524000000001</v>
      </c>
      <c r="P2012" s="20">
        <f t="shared" si="125"/>
        <v>18544.463543079772</v>
      </c>
      <c r="Q2012" s="20">
        <f t="shared" si="126"/>
        <v>13062.06045692023</v>
      </c>
      <c r="R2012" s="22">
        <f t="shared" si="127"/>
        <v>0.41327102141697802</v>
      </c>
    </row>
    <row r="2013" spans="1:18">
      <c r="A2013" s="18">
        <v>3012</v>
      </c>
      <c r="B2013" s="19" t="s">
        <v>693</v>
      </c>
      <c r="C2013" s="18">
        <v>2025</v>
      </c>
      <c r="D2013" s="18" t="s">
        <v>57</v>
      </c>
      <c r="E2013" s="18" t="s">
        <v>85</v>
      </c>
      <c r="F2013" s="18" t="s">
        <v>94</v>
      </c>
      <c r="G2013" s="18" t="s">
        <v>47</v>
      </c>
      <c r="H2013" s="18" t="s">
        <v>81</v>
      </c>
      <c r="I2013" s="18" t="s">
        <v>62</v>
      </c>
      <c r="J2013" s="18" t="s">
        <v>82</v>
      </c>
      <c r="K2013" s="18">
        <v>11</v>
      </c>
      <c r="L2013" s="20">
        <v>774.94</v>
      </c>
      <c r="M2013" s="21">
        <v>0.15</v>
      </c>
      <c r="N2013" s="21">
        <v>0.69049129006132204</v>
      </c>
      <c r="O2013" s="20">
        <f t="shared" si="124"/>
        <v>7245.6890000000003</v>
      </c>
      <c r="P2013" s="20">
        <f t="shared" si="125"/>
        <v>5003.0851449931306</v>
      </c>
      <c r="Q2013" s="20">
        <f t="shared" si="126"/>
        <v>2242.6038550068697</v>
      </c>
      <c r="R2013" s="22">
        <f t="shared" si="127"/>
        <v>0.30950870993867796</v>
      </c>
    </row>
    <row r="2014" spans="1:18">
      <c r="A2014" s="18">
        <v>3013</v>
      </c>
      <c r="B2014" s="19" t="s">
        <v>693</v>
      </c>
      <c r="C2014" s="18">
        <v>2025</v>
      </c>
      <c r="D2014" s="18" t="s">
        <v>57</v>
      </c>
      <c r="E2014" s="18" t="s">
        <v>88</v>
      </c>
      <c r="F2014" s="18" t="s">
        <v>110</v>
      </c>
      <c r="G2014" s="18" t="s">
        <v>44</v>
      </c>
      <c r="H2014" s="18" t="s">
        <v>114</v>
      </c>
      <c r="I2014" s="18" t="s">
        <v>54</v>
      </c>
      <c r="J2014" s="18" t="s">
        <v>82</v>
      </c>
      <c r="K2014" s="18">
        <v>2</v>
      </c>
      <c r="L2014" s="20">
        <v>8563.7099999999991</v>
      </c>
      <c r="M2014" s="21">
        <v>0</v>
      </c>
      <c r="N2014" s="21">
        <v>0.66426353609537203</v>
      </c>
      <c r="O2014" s="20">
        <f t="shared" si="124"/>
        <v>17127.419999999998</v>
      </c>
      <c r="P2014" s="20">
        <f t="shared" si="125"/>
        <v>11377.120573390595</v>
      </c>
      <c r="Q2014" s="20">
        <f t="shared" si="126"/>
        <v>5750.2994266094029</v>
      </c>
      <c r="R2014" s="22">
        <f t="shared" si="127"/>
        <v>0.33573646390462797</v>
      </c>
    </row>
    <row r="2015" spans="1:18">
      <c r="A2015" s="18">
        <v>3014</v>
      </c>
      <c r="B2015" s="19" t="s">
        <v>694</v>
      </c>
      <c r="C2015" s="18">
        <v>2025</v>
      </c>
      <c r="D2015" s="18" t="s">
        <v>57</v>
      </c>
      <c r="E2015" s="18" t="s">
        <v>79</v>
      </c>
      <c r="F2015" s="18" t="s">
        <v>105</v>
      </c>
      <c r="G2015" s="18" t="s">
        <v>44</v>
      </c>
      <c r="H2015" s="18" t="s">
        <v>119</v>
      </c>
      <c r="I2015" s="18" t="s">
        <v>60</v>
      </c>
      <c r="J2015" s="18" t="s">
        <v>102</v>
      </c>
      <c r="K2015" s="18">
        <v>7</v>
      </c>
      <c r="L2015" s="20">
        <v>7007.31</v>
      </c>
      <c r="M2015" s="21">
        <v>0</v>
      </c>
      <c r="N2015" s="21">
        <v>0.55278889857451097</v>
      </c>
      <c r="O2015" s="20">
        <f t="shared" si="124"/>
        <v>49051.170000000006</v>
      </c>
      <c r="P2015" s="20">
        <f t="shared" si="125"/>
        <v>27114.942238091098</v>
      </c>
      <c r="Q2015" s="20">
        <f t="shared" si="126"/>
        <v>21936.227761908907</v>
      </c>
      <c r="R2015" s="22">
        <f t="shared" si="127"/>
        <v>0.44721110142548903</v>
      </c>
    </row>
    <row r="2016" spans="1:18">
      <c r="A2016" s="18">
        <v>3015</v>
      </c>
      <c r="B2016" s="19" t="s">
        <v>694</v>
      </c>
      <c r="C2016" s="18">
        <v>2025</v>
      </c>
      <c r="D2016" s="18" t="s">
        <v>57</v>
      </c>
      <c r="E2016" s="18" t="s">
        <v>79</v>
      </c>
      <c r="F2016" s="18" t="s">
        <v>100</v>
      </c>
      <c r="G2016" s="18" t="s">
        <v>50</v>
      </c>
      <c r="H2016" s="18" t="s">
        <v>97</v>
      </c>
      <c r="I2016" s="18" t="s">
        <v>58</v>
      </c>
      <c r="J2016" s="18" t="s">
        <v>82</v>
      </c>
      <c r="K2016" s="18">
        <v>3</v>
      </c>
      <c r="L2016" s="20">
        <v>12139.52</v>
      </c>
      <c r="M2016" s="21">
        <v>0</v>
      </c>
      <c r="N2016" s="21">
        <v>0.60631797745285099</v>
      </c>
      <c r="O2016" s="20">
        <f t="shared" si="124"/>
        <v>36418.559999999998</v>
      </c>
      <c r="P2016" s="20">
        <f t="shared" si="125"/>
        <v>22081.227640945301</v>
      </c>
      <c r="Q2016" s="20">
        <f t="shared" si="126"/>
        <v>14337.332359054697</v>
      </c>
      <c r="R2016" s="22">
        <f t="shared" si="127"/>
        <v>0.39368202254714896</v>
      </c>
    </row>
    <row r="2017" spans="1:18">
      <c r="A2017" s="18">
        <v>3016</v>
      </c>
      <c r="B2017" s="19" t="s">
        <v>694</v>
      </c>
      <c r="C2017" s="18">
        <v>2025</v>
      </c>
      <c r="D2017" s="18" t="s">
        <v>57</v>
      </c>
      <c r="E2017" s="18" t="s">
        <v>98</v>
      </c>
      <c r="F2017" s="18" t="s">
        <v>109</v>
      </c>
      <c r="G2017" s="18" t="s">
        <v>47</v>
      </c>
      <c r="H2017" s="18" t="s">
        <v>103</v>
      </c>
      <c r="I2017" s="18" t="s">
        <v>60</v>
      </c>
      <c r="J2017" s="18" t="s">
        <v>102</v>
      </c>
      <c r="K2017" s="18">
        <v>8</v>
      </c>
      <c r="L2017" s="20">
        <v>3143.45</v>
      </c>
      <c r="M2017" s="21">
        <v>0.15</v>
      </c>
      <c r="N2017" s="21">
        <v>0.72214075056622595</v>
      </c>
      <c r="O2017" s="20">
        <f t="shared" si="124"/>
        <v>21375.46</v>
      </c>
      <c r="P2017" s="20">
        <f t="shared" si="125"/>
        <v>15436.090728098339</v>
      </c>
      <c r="Q2017" s="20">
        <f t="shared" si="126"/>
        <v>5939.3692719016599</v>
      </c>
      <c r="R2017" s="22">
        <f t="shared" si="127"/>
        <v>0.27785924943377405</v>
      </c>
    </row>
    <row r="2018" spans="1:18">
      <c r="A2018" s="18">
        <v>3017</v>
      </c>
      <c r="B2018" s="19" t="s">
        <v>694</v>
      </c>
      <c r="C2018" s="18">
        <v>2025</v>
      </c>
      <c r="D2018" s="18" t="s">
        <v>57</v>
      </c>
      <c r="E2018" s="18" t="s">
        <v>79</v>
      </c>
      <c r="F2018" s="18" t="s">
        <v>100</v>
      </c>
      <c r="G2018" s="18" t="s">
        <v>50</v>
      </c>
      <c r="H2018" s="18" t="s">
        <v>97</v>
      </c>
      <c r="I2018" s="18" t="s">
        <v>46</v>
      </c>
      <c r="J2018" s="18" t="s">
        <v>91</v>
      </c>
      <c r="K2018" s="18">
        <v>1</v>
      </c>
      <c r="L2018" s="20">
        <v>11677.13</v>
      </c>
      <c r="M2018" s="21">
        <v>0</v>
      </c>
      <c r="N2018" s="21">
        <v>0.63381605397319296</v>
      </c>
      <c r="O2018" s="20">
        <f t="shared" si="124"/>
        <v>11677.13</v>
      </c>
      <c r="P2018" s="20">
        <f t="shared" si="125"/>
        <v>7401.1524583319906</v>
      </c>
      <c r="Q2018" s="20">
        <f t="shared" si="126"/>
        <v>4275.9775416680086</v>
      </c>
      <c r="R2018" s="22">
        <f t="shared" si="127"/>
        <v>0.36618394602680698</v>
      </c>
    </row>
    <row r="2019" spans="1:18">
      <c r="A2019" s="18">
        <v>3018</v>
      </c>
      <c r="B2019" s="19" t="s">
        <v>694</v>
      </c>
      <c r="C2019" s="18">
        <v>2025</v>
      </c>
      <c r="D2019" s="18" t="s">
        <v>57</v>
      </c>
      <c r="E2019" s="18" t="s">
        <v>88</v>
      </c>
      <c r="F2019" s="18" t="s">
        <v>110</v>
      </c>
      <c r="G2019" s="18" t="s">
        <v>44</v>
      </c>
      <c r="H2019" s="18" t="s">
        <v>114</v>
      </c>
      <c r="I2019" s="18" t="s">
        <v>54</v>
      </c>
      <c r="J2019" s="18" t="s">
        <v>91</v>
      </c>
      <c r="K2019" s="18">
        <v>9</v>
      </c>
      <c r="L2019" s="20">
        <v>8717.8799999999992</v>
      </c>
      <c r="M2019" s="21">
        <v>0.05</v>
      </c>
      <c r="N2019" s="21">
        <v>0.64238874909774002</v>
      </c>
      <c r="O2019" s="20">
        <f t="shared" si="124"/>
        <v>74537.873999999996</v>
      </c>
      <c r="P2019" s="20">
        <f t="shared" si="125"/>
        <v>47882.291639264957</v>
      </c>
      <c r="Q2019" s="20">
        <f t="shared" si="126"/>
        <v>26655.582360735039</v>
      </c>
      <c r="R2019" s="22">
        <f t="shared" si="127"/>
        <v>0.35761125090225998</v>
      </c>
    </row>
    <row r="2020" spans="1:18">
      <c r="A2020" s="18">
        <v>3019</v>
      </c>
      <c r="B2020" s="19" t="s">
        <v>695</v>
      </c>
      <c r="C2020" s="18">
        <v>2025</v>
      </c>
      <c r="D2020" s="18" t="s">
        <v>57</v>
      </c>
      <c r="E2020" s="18" t="s">
        <v>79</v>
      </c>
      <c r="F2020" s="18" t="s">
        <v>80</v>
      </c>
      <c r="G2020" s="18" t="s">
        <v>44</v>
      </c>
      <c r="H2020" s="18" t="s">
        <v>119</v>
      </c>
      <c r="I2020" s="18" t="s">
        <v>58</v>
      </c>
      <c r="J2020" s="18" t="s">
        <v>82</v>
      </c>
      <c r="K2020" s="18">
        <v>2</v>
      </c>
      <c r="L2020" s="20">
        <v>7210.81</v>
      </c>
      <c r="M2020" s="21">
        <v>0</v>
      </c>
      <c r="N2020" s="21">
        <v>0.59512995438828198</v>
      </c>
      <c r="O2020" s="20">
        <f t="shared" si="124"/>
        <v>14421.62</v>
      </c>
      <c r="P2020" s="20">
        <f t="shared" si="125"/>
        <v>8582.7380528051362</v>
      </c>
      <c r="Q2020" s="20">
        <f t="shared" si="126"/>
        <v>5838.8819471948646</v>
      </c>
      <c r="R2020" s="22">
        <f t="shared" si="127"/>
        <v>0.40487004561171797</v>
      </c>
    </row>
    <row r="2021" spans="1:18">
      <c r="A2021" s="18">
        <v>3020</v>
      </c>
      <c r="B2021" s="19" t="s">
        <v>695</v>
      </c>
      <c r="C2021" s="18">
        <v>2025</v>
      </c>
      <c r="D2021" s="18" t="s">
        <v>57</v>
      </c>
      <c r="E2021" s="18" t="s">
        <v>79</v>
      </c>
      <c r="F2021" s="18" t="s">
        <v>100</v>
      </c>
      <c r="G2021" s="18" t="s">
        <v>44</v>
      </c>
      <c r="H2021" s="18" t="s">
        <v>114</v>
      </c>
      <c r="I2021" s="18" t="s">
        <v>46</v>
      </c>
      <c r="J2021" s="18" t="s">
        <v>82</v>
      </c>
      <c r="K2021" s="18">
        <v>11</v>
      </c>
      <c r="L2021" s="20">
        <v>9265.74</v>
      </c>
      <c r="M2021" s="21">
        <v>0.2</v>
      </c>
      <c r="N2021" s="21">
        <v>0.68205064858632802</v>
      </c>
      <c r="O2021" s="20">
        <f t="shared" si="124"/>
        <v>81538.512000000002</v>
      </c>
      <c r="P2021" s="20">
        <f t="shared" si="125"/>
        <v>55613.394994364091</v>
      </c>
      <c r="Q2021" s="20">
        <f t="shared" si="126"/>
        <v>25925.117005635911</v>
      </c>
      <c r="R2021" s="22">
        <f t="shared" si="127"/>
        <v>0.31794935141367198</v>
      </c>
    </row>
    <row r="2022" spans="1:18">
      <c r="A2022" s="18">
        <v>3021</v>
      </c>
      <c r="B2022" s="19" t="s">
        <v>695</v>
      </c>
      <c r="C2022" s="18">
        <v>2025</v>
      </c>
      <c r="D2022" s="18" t="s">
        <v>57</v>
      </c>
      <c r="E2022" s="18" t="s">
        <v>79</v>
      </c>
      <c r="F2022" s="18" t="s">
        <v>105</v>
      </c>
      <c r="G2022" s="18" t="s">
        <v>41</v>
      </c>
      <c r="H2022" s="18" t="s">
        <v>112</v>
      </c>
      <c r="I2022" s="18" t="s">
        <v>40</v>
      </c>
      <c r="J2022" s="18" t="s">
        <v>102</v>
      </c>
      <c r="K2022" s="18">
        <v>6</v>
      </c>
      <c r="L2022" s="20">
        <v>6039.33</v>
      </c>
      <c r="M2022" s="21">
        <v>0.1</v>
      </c>
      <c r="N2022" s="21">
        <v>0.57128320153475198</v>
      </c>
      <c r="O2022" s="20">
        <f t="shared" si="124"/>
        <v>32612.381999999998</v>
      </c>
      <c r="P2022" s="20">
        <f t="shared" si="125"/>
        <v>18630.905998634316</v>
      </c>
      <c r="Q2022" s="20">
        <f t="shared" si="126"/>
        <v>13981.476001365681</v>
      </c>
      <c r="R2022" s="22">
        <f t="shared" si="127"/>
        <v>0.42871679846524802</v>
      </c>
    </row>
    <row r="2023" spans="1:18">
      <c r="A2023" s="18">
        <v>3022</v>
      </c>
      <c r="B2023" s="19" t="s">
        <v>695</v>
      </c>
      <c r="C2023" s="18">
        <v>2025</v>
      </c>
      <c r="D2023" s="18" t="s">
        <v>57</v>
      </c>
      <c r="E2023" s="18" t="s">
        <v>79</v>
      </c>
      <c r="F2023" s="18" t="s">
        <v>80</v>
      </c>
      <c r="G2023" s="18" t="s">
        <v>50</v>
      </c>
      <c r="H2023" s="18" t="s">
        <v>83</v>
      </c>
      <c r="I2023" s="18" t="s">
        <v>60</v>
      </c>
      <c r="J2023" s="18" t="s">
        <v>91</v>
      </c>
      <c r="K2023" s="18">
        <v>6</v>
      </c>
      <c r="L2023" s="20">
        <v>3517.58</v>
      </c>
      <c r="M2023" s="21">
        <v>0</v>
      </c>
      <c r="N2023" s="21">
        <v>0.69606600491485204</v>
      </c>
      <c r="O2023" s="20">
        <f t="shared" si="124"/>
        <v>21105.48</v>
      </c>
      <c r="P2023" s="20">
        <f t="shared" si="125"/>
        <v>14690.807145410312</v>
      </c>
      <c r="Q2023" s="20">
        <f t="shared" si="126"/>
        <v>6414.6728545896876</v>
      </c>
      <c r="R2023" s="22">
        <f t="shared" si="127"/>
        <v>0.3039339950851479</v>
      </c>
    </row>
    <row r="2024" spans="1:18">
      <c r="A2024" s="18">
        <v>3023</v>
      </c>
      <c r="B2024" s="19" t="s">
        <v>695</v>
      </c>
      <c r="C2024" s="18">
        <v>2025</v>
      </c>
      <c r="D2024" s="18" t="s">
        <v>57</v>
      </c>
      <c r="E2024" s="18" t="s">
        <v>98</v>
      </c>
      <c r="F2024" s="18" t="s">
        <v>99</v>
      </c>
      <c r="G2024" s="18" t="s">
        <v>50</v>
      </c>
      <c r="H2024" s="18" t="s">
        <v>87</v>
      </c>
      <c r="I2024" s="18" t="s">
        <v>58</v>
      </c>
      <c r="J2024" s="18" t="s">
        <v>82</v>
      </c>
      <c r="K2024" s="18">
        <v>12</v>
      </c>
      <c r="L2024" s="20">
        <v>9681.2000000000007</v>
      </c>
      <c r="M2024" s="21">
        <v>0.1</v>
      </c>
      <c r="N2024" s="21">
        <v>0.66120259391779301</v>
      </c>
      <c r="O2024" s="20">
        <f t="shared" si="124"/>
        <v>104556.96</v>
      </c>
      <c r="P2024" s="20">
        <f t="shared" si="125"/>
        <v>69133.333164158932</v>
      </c>
      <c r="Q2024" s="20">
        <f t="shared" si="126"/>
        <v>35423.626835841074</v>
      </c>
      <c r="R2024" s="22">
        <f t="shared" si="127"/>
        <v>0.33879740608220699</v>
      </c>
    </row>
    <row r="2025" spans="1:18">
      <c r="A2025" s="18">
        <v>3024</v>
      </c>
      <c r="B2025" s="19" t="s">
        <v>696</v>
      </c>
      <c r="C2025" s="18">
        <v>2025</v>
      </c>
      <c r="D2025" s="18" t="s">
        <v>57</v>
      </c>
      <c r="E2025" s="18" t="s">
        <v>79</v>
      </c>
      <c r="F2025" s="18" t="s">
        <v>105</v>
      </c>
      <c r="G2025" s="18" t="s">
        <v>44</v>
      </c>
      <c r="H2025" s="18" t="s">
        <v>114</v>
      </c>
      <c r="I2025" s="18" t="s">
        <v>60</v>
      </c>
      <c r="J2025" s="18" t="s">
        <v>102</v>
      </c>
      <c r="K2025" s="18">
        <v>10</v>
      </c>
      <c r="L2025" s="20">
        <v>9322.27</v>
      </c>
      <c r="M2025" s="21">
        <v>0</v>
      </c>
      <c r="N2025" s="21">
        <v>0.65949777957661404</v>
      </c>
      <c r="O2025" s="20">
        <f t="shared" si="124"/>
        <v>93222.700000000012</v>
      </c>
      <c r="P2025" s="20">
        <f t="shared" si="125"/>
        <v>61480.163656136829</v>
      </c>
      <c r="Q2025" s="20">
        <f t="shared" si="126"/>
        <v>31742.536343863183</v>
      </c>
      <c r="R2025" s="22">
        <f t="shared" si="127"/>
        <v>0.3405022204233859</v>
      </c>
    </row>
    <row r="2026" spans="1:18">
      <c r="A2026" s="18">
        <v>3025</v>
      </c>
      <c r="B2026" s="19" t="s">
        <v>696</v>
      </c>
      <c r="C2026" s="18">
        <v>2025</v>
      </c>
      <c r="D2026" s="18" t="s">
        <v>57</v>
      </c>
      <c r="E2026" s="18" t="s">
        <v>85</v>
      </c>
      <c r="F2026" s="18" t="s">
        <v>94</v>
      </c>
      <c r="G2026" s="18" t="s">
        <v>44</v>
      </c>
      <c r="H2026" s="18" t="s">
        <v>95</v>
      </c>
      <c r="I2026" s="18" t="s">
        <v>62</v>
      </c>
      <c r="J2026" s="18" t="s">
        <v>91</v>
      </c>
      <c r="K2026" s="18">
        <v>3</v>
      </c>
      <c r="L2026" s="20">
        <v>4636.67</v>
      </c>
      <c r="M2026" s="21">
        <v>0.05</v>
      </c>
      <c r="N2026" s="21">
        <v>0.61633976841188198</v>
      </c>
      <c r="O2026" s="20">
        <f t="shared" si="124"/>
        <v>13214.5095</v>
      </c>
      <c r="P2026" s="20">
        <f t="shared" si="125"/>
        <v>8144.6277249066143</v>
      </c>
      <c r="Q2026" s="20">
        <f t="shared" si="126"/>
        <v>5069.8817750933858</v>
      </c>
      <c r="R2026" s="22">
        <f t="shared" si="127"/>
        <v>0.38366023158811802</v>
      </c>
    </row>
    <row r="2027" spans="1:18">
      <c r="A2027" s="18">
        <v>3026</v>
      </c>
      <c r="B2027" s="19" t="s">
        <v>697</v>
      </c>
      <c r="C2027" s="18">
        <v>2025</v>
      </c>
      <c r="D2027" s="18" t="s">
        <v>57</v>
      </c>
      <c r="E2027" s="18" t="s">
        <v>79</v>
      </c>
      <c r="F2027" s="18" t="s">
        <v>80</v>
      </c>
      <c r="G2027" s="18" t="s">
        <v>41</v>
      </c>
      <c r="H2027" s="18" t="s">
        <v>101</v>
      </c>
      <c r="I2027" s="18" t="s">
        <v>46</v>
      </c>
      <c r="J2027" s="18" t="s">
        <v>102</v>
      </c>
      <c r="K2027" s="18">
        <v>8</v>
      </c>
      <c r="L2027" s="20">
        <v>53143.82</v>
      </c>
      <c r="M2027" s="21">
        <v>0</v>
      </c>
      <c r="N2027" s="21">
        <v>0.58552645228982003</v>
      </c>
      <c r="O2027" s="20">
        <f t="shared" si="124"/>
        <v>425150.56</v>
      </c>
      <c r="P2027" s="20">
        <f t="shared" si="125"/>
        <v>248936.89908583026</v>
      </c>
      <c r="Q2027" s="20">
        <f t="shared" si="126"/>
        <v>176213.66091416974</v>
      </c>
      <c r="R2027" s="22">
        <f t="shared" si="127"/>
        <v>0.41447354771017997</v>
      </c>
    </row>
    <row r="2028" spans="1:18">
      <c r="A2028" s="18">
        <v>3027</v>
      </c>
      <c r="B2028" s="19" t="s">
        <v>697</v>
      </c>
      <c r="C2028" s="18">
        <v>2025</v>
      </c>
      <c r="D2028" s="18" t="s">
        <v>57</v>
      </c>
      <c r="E2028" s="18" t="s">
        <v>88</v>
      </c>
      <c r="F2028" s="18" t="s">
        <v>93</v>
      </c>
      <c r="G2028" s="18" t="s">
        <v>47</v>
      </c>
      <c r="H2028" s="18" t="s">
        <v>103</v>
      </c>
      <c r="I2028" s="18" t="s">
        <v>46</v>
      </c>
      <c r="J2028" s="18" t="s">
        <v>102</v>
      </c>
      <c r="K2028" s="18">
        <v>4</v>
      </c>
      <c r="L2028" s="20">
        <v>3083.29</v>
      </c>
      <c r="M2028" s="21">
        <v>0</v>
      </c>
      <c r="N2028" s="21">
        <v>0.56183191724413895</v>
      </c>
      <c r="O2028" s="20">
        <f t="shared" si="124"/>
        <v>12333.16</v>
      </c>
      <c r="P2028" s="20">
        <f t="shared" si="125"/>
        <v>6929.162928478725</v>
      </c>
      <c r="Q2028" s="20">
        <f t="shared" si="126"/>
        <v>5403.9970715212748</v>
      </c>
      <c r="R2028" s="22">
        <f t="shared" si="127"/>
        <v>0.438168082755861</v>
      </c>
    </row>
    <row r="2029" spans="1:18">
      <c r="A2029" s="18">
        <v>3028</v>
      </c>
      <c r="B2029" s="19" t="s">
        <v>697</v>
      </c>
      <c r="C2029" s="18">
        <v>2025</v>
      </c>
      <c r="D2029" s="18" t="s">
        <v>57</v>
      </c>
      <c r="E2029" s="18" t="s">
        <v>79</v>
      </c>
      <c r="F2029" s="18" t="s">
        <v>105</v>
      </c>
      <c r="G2029" s="18" t="s">
        <v>47</v>
      </c>
      <c r="H2029" s="18" t="s">
        <v>107</v>
      </c>
      <c r="I2029" s="18" t="s">
        <v>52</v>
      </c>
      <c r="J2029" s="18" t="s">
        <v>102</v>
      </c>
      <c r="K2029" s="18">
        <v>4</v>
      </c>
      <c r="L2029" s="20">
        <v>2250.85</v>
      </c>
      <c r="M2029" s="21">
        <v>0.2</v>
      </c>
      <c r="N2029" s="21">
        <v>0.72205085683599202</v>
      </c>
      <c r="O2029" s="20">
        <f t="shared" si="124"/>
        <v>7202.72</v>
      </c>
      <c r="P2029" s="20">
        <f t="shared" si="125"/>
        <v>5200.730147549737</v>
      </c>
      <c r="Q2029" s="20">
        <f t="shared" si="126"/>
        <v>2001.9898524502632</v>
      </c>
      <c r="R2029" s="22">
        <f t="shared" si="127"/>
        <v>0.27794914316400793</v>
      </c>
    </row>
    <row r="2030" spans="1:18">
      <c r="A2030" s="18">
        <v>3029</v>
      </c>
      <c r="B2030" s="19" t="s">
        <v>697</v>
      </c>
      <c r="C2030" s="18">
        <v>2025</v>
      </c>
      <c r="D2030" s="18" t="s">
        <v>57</v>
      </c>
      <c r="E2030" s="18" t="s">
        <v>79</v>
      </c>
      <c r="F2030" s="18" t="s">
        <v>100</v>
      </c>
      <c r="G2030" s="18" t="s">
        <v>50</v>
      </c>
      <c r="H2030" s="18" t="s">
        <v>97</v>
      </c>
      <c r="I2030" s="18" t="s">
        <v>62</v>
      </c>
      <c r="J2030" s="18" t="s">
        <v>102</v>
      </c>
      <c r="K2030" s="18">
        <v>12</v>
      </c>
      <c r="L2030" s="20">
        <v>11635.54</v>
      </c>
      <c r="M2030" s="21">
        <v>0</v>
      </c>
      <c r="N2030" s="21">
        <v>0.68462525177975397</v>
      </c>
      <c r="O2030" s="20">
        <f t="shared" si="124"/>
        <v>139626.48000000001</v>
      </c>
      <c r="P2030" s="20">
        <f t="shared" si="125"/>
        <v>95591.814025120795</v>
      </c>
      <c r="Q2030" s="20">
        <f t="shared" si="126"/>
        <v>44034.665974879215</v>
      </c>
      <c r="R2030" s="22">
        <f t="shared" si="127"/>
        <v>0.31537474822024597</v>
      </c>
    </row>
    <row r="2031" spans="1:18">
      <c r="A2031" s="18">
        <v>3030</v>
      </c>
      <c r="B2031" s="19" t="s">
        <v>698</v>
      </c>
      <c r="C2031" s="18">
        <v>2025</v>
      </c>
      <c r="D2031" s="18" t="s">
        <v>57</v>
      </c>
      <c r="E2031" s="18" t="s">
        <v>88</v>
      </c>
      <c r="F2031" s="18" t="s">
        <v>110</v>
      </c>
      <c r="G2031" s="18" t="s">
        <v>44</v>
      </c>
      <c r="H2031" s="18" t="s">
        <v>119</v>
      </c>
      <c r="I2031" s="18" t="s">
        <v>52</v>
      </c>
      <c r="J2031" s="18" t="s">
        <v>102</v>
      </c>
      <c r="K2031" s="18">
        <v>12</v>
      </c>
      <c r="L2031" s="20">
        <v>6754.49</v>
      </c>
      <c r="M2031" s="21">
        <v>0</v>
      </c>
      <c r="N2031" s="21">
        <v>0.57611690121433101</v>
      </c>
      <c r="O2031" s="20">
        <f t="shared" si="124"/>
        <v>81053.88</v>
      </c>
      <c r="P2031" s="20">
        <f t="shared" si="125"/>
        <v>46696.510176998243</v>
      </c>
      <c r="Q2031" s="20">
        <f t="shared" si="126"/>
        <v>34357.369823001762</v>
      </c>
      <c r="R2031" s="22">
        <f t="shared" si="127"/>
        <v>0.42388309878566899</v>
      </c>
    </row>
    <row r="2032" spans="1:18">
      <c r="A2032" s="18">
        <v>3031</v>
      </c>
      <c r="B2032" s="19" t="s">
        <v>698</v>
      </c>
      <c r="C2032" s="18">
        <v>2025</v>
      </c>
      <c r="D2032" s="18" t="s">
        <v>57</v>
      </c>
      <c r="E2032" s="18" t="s">
        <v>85</v>
      </c>
      <c r="F2032" s="18" t="s">
        <v>121</v>
      </c>
      <c r="G2032" s="18" t="s">
        <v>47</v>
      </c>
      <c r="H2032" s="18" t="s">
        <v>81</v>
      </c>
      <c r="I2032" s="18" t="s">
        <v>43</v>
      </c>
      <c r="J2032" s="18" t="s">
        <v>82</v>
      </c>
      <c r="K2032" s="18">
        <v>6</v>
      </c>
      <c r="L2032" s="20">
        <v>817.43</v>
      </c>
      <c r="M2032" s="21">
        <v>0</v>
      </c>
      <c r="N2032" s="21">
        <v>0.72970222946531504</v>
      </c>
      <c r="O2032" s="20">
        <f t="shared" si="124"/>
        <v>4904.58</v>
      </c>
      <c r="P2032" s="20">
        <f t="shared" si="125"/>
        <v>3578.882960590995</v>
      </c>
      <c r="Q2032" s="20">
        <f t="shared" si="126"/>
        <v>1325.6970394090049</v>
      </c>
      <c r="R2032" s="22">
        <f t="shared" si="127"/>
        <v>0.2702977705346849</v>
      </c>
    </row>
    <row r="2033" spans="1:18">
      <c r="A2033" s="18">
        <v>3032</v>
      </c>
      <c r="B2033" s="19" t="s">
        <v>699</v>
      </c>
      <c r="C2033" s="18">
        <v>2025</v>
      </c>
      <c r="D2033" s="18" t="s">
        <v>57</v>
      </c>
      <c r="E2033" s="18" t="s">
        <v>79</v>
      </c>
      <c r="F2033" s="18" t="s">
        <v>105</v>
      </c>
      <c r="G2033" s="18" t="s">
        <v>47</v>
      </c>
      <c r="H2033" s="18" t="s">
        <v>81</v>
      </c>
      <c r="I2033" s="18" t="s">
        <v>56</v>
      </c>
      <c r="J2033" s="18" t="s">
        <v>91</v>
      </c>
      <c r="K2033" s="18">
        <v>7</v>
      </c>
      <c r="L2033" s="20">
        <v>775.76</v>
      </c>
      <c r="M2033" s="21">
        <v>0.2</v>
      </c>
      <c r="N2033" s="21">
        <v>0.74687223706376304</v>
      </c>
      <c r="O2033" s="20">
        <f t="shared" si="124"/>
        <v>4344.2560000000003</v>
      </c>
      <c r="P2033" s="20">
        <f t="shared" si="125"/>
        <v>3244.6041970976753</v>
      </c>
      <c r="Q2033" s="20">
        <f t="shared" si="126"/>
        <v>1099.651802902325</v>
      </c>
      <c r="R2033" s="22">
        <f t="shared" si="127"/>
        <v>0.25312776293623696</v>
      </c>
    </row>
    <row r="2034" spans="1:18">
      <c r="A2034" s="18">
        <v>3033</v>
      </c>
      <c r="B2034" s="19" t="s">
        <v>699</v>
      </c>
      <c r="C2034" s="18">
        <v>2025</v>
      </c>
      <c r="D2034" s="18" t="s">
        <v>57</v>
      </c>
      <c r="E2034" s="18" t="s">
        <v>79</v>
      </c>
      <c r="F2034" s="18" t="s">
        <v>105</v>
      </c>
      <c r="G2034" s="18" t="s">
        <v>44</v>
      </c>
      <c r="H2034" s="18" t="s">
        <v>114</v>
      </c>
      <c r="I2034" s="18" t="s">
        <v>58</v>
      </c>
      <c r="J2034" s="18" t="s">
        <v>91</v>
      </c>
      <c r="K2034" s="18">
        <v>6</v>
      </c>
      <c r="L2034" s="20">
        <v>8908.1</v>
      </c>
      <c r="M2034" s="21">
        <v>0.15</v>
      </c>
      <c r="N2034" s="21">
        <v>0.56919076086745501</v>
      </c>
      <c r="O2034" s="20">
        <f t="shared" si="124"/>
        <v>45431.310000000005</v>
      </c>
      <c r="P2034" s="20">
        <f t="shared" si="125"/>
        <v>25859.081906105221</v>
      </c>
      <c r="Q2034" s="20">
        <f t="shared" si="126"/>
        <v>19572.228093894784</v>
      </c>
      <c r="R2034" s="22">
        <f t="shared" si="127"/>
        <v>0.43080923913254499</v>
      </c>
    </row>
    <row r="2035" spans="1:18">
      <c r="A2035" s="18">
        <v>3034</v>
      </c>
      <c r="B2035" s="19" t="s">
        <v>699</v>
      </c>
      <c r="C2035" s="18">
        <v>2025</v>
      </c>
      <c r="D2035" s="18" t="s">
        <v>57</v>
      </c>
      <c r="E2035" s="18" t="s">
        <v>88</v>
      </c>
      <c r="F2035" s="18" t="s">
        <v>110</v>
      </c>
      <c r="G2035" s="18" t="s">
        <v>41</v>
      </c>
      <c r="H2035" s="18" t="s">
        <v>90</v>
      </c>
      <c r="I2035" s="18" t="s">
        <v>46</v>
      </c>
      <c r="J2035" s="18" t="s">
        <v>102</v>
      </c>
      <c r="K2035" s="18">
        <v>2</v>
      </c>
      <c r="L2035" s="20">
        <v>17848.28</v>
      </c>
      <c r="M2035" s="21">
        <v>0.2</v>
      </c>
      <c r="N2035" s="21">
        <v>0.74565604141696795</v>
      </c>
      <c r="O2035" s="20">
        <f t="shared" si="124"/>
        <v>28557.248</v>
      </c>
      <c r="P2035" s="20">
        <f t="shared" si="125"/>
        <v>21293.884497442625</v>
      </c>
      <c r="Q2035" s="20">
        <f t="shared" si="126"/>
        <v>7263.3635025573749</v>
      </c>
      <c r="R2035" s="22">
        <f t="shared" si="127"/>
        <v>0.25434395858303205</v>
      </c>
    </row>
    <row r="2036" spans="1:18">
      <c r="A2036" s="18">
        <v>3035</v>
      </c>
      <c r="B2036" s="19" t="s">
        <v>700</v>
      </c>
      <c r="C2036" s="18">
        <v>2025</v>
      </c>
      <c r="D2036" s="18" t="s">
        <v>57</v>
      </c>
      <c r="E2036" s="18" t="s">
        <v>85</v>
      </c>
      <c r="F2036" s="18" t="s">
        <v>121</v>
      </c>
      <c r="G2036" s="18" t="s">
        <v>50</v>
      </c>
      <c r="H2036" s="18" t="s">
        <v>87</v>
      </c>
      <c r="I2036" s="18" t="s">
        <v>40</v>
      </c>
      <c r="J2036" s="18" t="s">
        <v>82</v>
      </c>
      <c r="K2036" s="18">
        <v>10</v>
      </c>
      <c r="L2036" s="20">
        <v>9736.6200000000008</v>
      </c>
      <c r="M2036" s="21">
        <v>0.15</v>
      </c>
      <c r="N2036" s="21">
        <v>0.59363395291467302</v>
      </c>
      <c r="O2036" s="20">
        <f t="shared" si="124"/>
        <v>82761.27</v>
      </c>
      <c r="P2036" s="20">
        <f t="shared" si="125"/>
        <v>49129.89985833854</v>
      </c>
      <c r="Q2036" s="20">
        <f t="shared" si="126"/>
        <v>33631.370141661464</v>
      </c>
      <c r="R2036" s="22">
        <f t="shared" si="127"/>
        <v>0.40636604708532703</v>
      </c>
    </row>
    <row r="2037" spans="1:18">
      <c r="A2037" s="18">
        <v>3036</v>
      </c>
      <c r="B2037" s="19" t="s">
        <v>700</v>
      </c>
      <c r="C2037" s="18">
        <v>2025</v>
      </c>
      <c r="D2037" s="18" t="s">
        <v>57</v>
      </c>
      <c r="E2037" s="18" t="s">
        <v>79</v>
      </c>
      <c r="F2037" s="18" t="s">
        <v>105</v>
      </c>
      <c r="G2037" s="18" t="s">
        <v>44</v>
      </c>
      <c r="H2037" s="18" t="s">
        <v>95</v>
      </c>
      <c r="I2037" s="18" t="s">
        <v>60</v>
      </c>
      <c r="J2037" s="18" t="s">
        <v>91</v>
      </c>
      <c r="K2037" s="18">
        <v>2</v>
      </c>
      <c r="L2037" s="20">
        <v>4554.04</v>
      </c>
      <c r="M2037" s="21">
        <v>0.1</v>
      </c>
      <c r="N2037" s="21">
        <v>0.582440471873933</v>
      </c>
      <c r="O2037" s="20">
        <f t="shared" si="124"/>
        <v>8197.2720000000008</v>
      </c>
      <c r="P2037" s="20">
        <f t="shared" si="125"/>
        <v>4774.4229717589787</v>
      </c>
      <c r="Q2037" s="20">
        <f t="shared" si="126"/>
        <v>3422.8490282410221</v>
      </c>
      <c r="R2037" s="22">
        <f t="shared" si="127"/>
        <v>0.41755952812606706</v>
      </c>
    </row>
    <row r="2038" spans="1:18">
      <c r="A2038" s="18">
        <v>3037</v>
      </c>
      <c r="B2038" s="19" t="s">
        <v>701</v>
      </c>
      <c r="C2038" s="18">
        <v>2025</v>
      </c>
      <c r="D2038" s="18" t="s">
        <v>57</v>
      </c>
      <c r="E2038" s="18" t="s">
        <v>88</v>
      </c>
      <c r="F2038" s="18" t="s">
        <v>110</v>
      </c>
      <c r="G2038" s="18" t="s">
        <v>50</v>
      </c>
      <c r="H2038" s="18" t="s">
        <v>97</v>
      </c>
      <c r="I2038" s="18" t="s">
        <v>40</v>
      </c>
      <c r="J2038" s="18" t="s">
        <v>102</v>
      </c>
      <c r="K2038" s="18">
        <v>1</v>
      </c>
      <c r="L2038" s="20">
        <v>11840.27</v>
      </c>
      <c r="M2038" s="21">
        <v>0.15</v>
      </c>
      <c r="N2038" s="21">
        <v>0.72695961947526699</v>
      </c>
      <c r="O2038" s="20">
        <f t="shared" si="124"/>
        <v>10064.229499999999</v>
      </c>
      <c r="P2038" s="20">
        <f t="shared" si="125"/>
        <v>7316.2884476317558</v>
      </c>
      <c r="Q2038" s="20">
        <f t="shared" si="126"/>
        <v>2747.9410523682436</v>
      </c>
      <c r="R2038" s="22">
        <f t="shared" si="127"/>
        <v>0.27304038052473306</v>
      </c>
    </row>
    <row r="2039" spans="1:18">
      <c r="A2039" s="18">
        <v>3038</v>
      </c>
      <c r="B2039" s="19" t="s">
        <v>701</v>
      </c>
      <c r="C2039" s="18">
        <v>2025</v>
      </c>
      <c r="D2039" s="18" t="s">
        <v>57</v>
      </c>
      <c r="E2039" s="18" t="s">
        <v>85</v>
      </c>
      <c r="F2039" s="18" t="s">
        <v>121</v>
      </c>
      <c r="G2039" s="18" t="s">
        <v>50</v>
      </c>
      <c r="H2039" s="18" t="s">
        <v>83</v>
      </c>
      <c r="I2039" s="18" t="s">
        <v>56</v>
      </c>
      <c r="J2039" s="18" t="s">
        <v>82</v>
      </c>
      <c r="K2039" s="18">
        <v>12</v>
      </c>
      <c r="L2039" s="20">
        <v>3462.9</v>
      </c>
      <c r="M2039" s="21">
        <v>0</v>
      </c>
      <c r="N2039" s="21">
        <v>0.56682253415931505</v>
      </c>
      <c r="O2039" s="20">
        <f t="shared" si="124"/>
        <v>41554.800000000003</v>
      </c>
      <c r="P2039" s="20">
        <f t="shared" si="125"/>
        <v>23554.197042483505</v>
      </c>
      <c r="Q2039" s="20">
        <f t="shared" si="126"/>
        <v>18000.602957516498</v>
      </c>
      <c r="R2039" s="22">
        <f t="shared" si="127"/>
        <v>0.43317746584068501</v>
      </c>
    </row>
    <row r="2040" spans="1:18">
      <c r="A2040" s="18">
        <v>3039</v>
      </c>
      <c r="B2040" s="19" t="s">
        <v>702</v>
      </c>
      <c r="C2040" s="18">
        <v>2025</v>
      </c>
      <c r="D2040" s="18" t="s">
        <v>57</v>
      </c>
      <c r="E2040" s="18" t="s">
        <v>98</v>
      </c>
      <c r="F2040" s="18" t="s">
        <v>109</v>
      </c>
      <c r="G2040" s="18" t="s">
        <v>41</v>
      </c>
      <c r="H2040" s="18" t="s">
        <v>106</v>
      </c>
      <c r="I2040" s="18" t="s">
        <v>62</v>
      </c>
      <c r="J2040" s="18" t="s">
        <v>91</v>
      </c>
      <c r="K2040" s="18">
        <v>5</v>
      </c>
      <c r="L2040" s="20">
        <v>2450.13</v>
      </c>
      <c r="M2040" s="21">
        <v>0</v>
      </c>
      <c r="N2040" s="21">
        <v>0.638195054181386</v>
      </c>
      <c r="O2040" s="20">
        <f t="shared" si="124"/>
        <v>12250.650000000001</v>
      </c>
      <c r="P2040" s="20">
        <f t="shared" si="125"/>
        <v>7818.3042405071974</v>
      </c>
      <c r="Q2040" s="20">
        <f t="shared" si="126"/>
        <v>4432.3457594928041</v>
      </c>
      <c r="R2040" s="22">
        <f t="shared" si="127"/>
        <v>0.361804945818614</v>
      </c>
    </row>
    <row r="2041" spans="1:18">
      <c r="A2041" s="18">
        <v>3040</v>
      </c>
      <c r="B2041" s="19" t="s">
        <v>702</v>
      </c>
      <c r="C2041" s="18">
        <v>2025</v>
      </c>
      <c r="D2041" s="18" t="s">
        <v>57</v>
      </c>
      <c r="E2041" s="18" t="s">
        <v>85</v>
      </c>
      <c r="F2041" s="18" t="s">
        <v>121</v>
      </c>
      <c r="G2041" s="18" t="s">
        <v>44</v>
      </c>
      <c r="H2041" s="18" t="s">
        <v>95</v>
      </c>
      <c r="I2041" s="18" t="s">
        <v>52</v>
      </c>
      <c r="J2041" s="18" t="s">
        <v>102</v>
      </c>
      <c r="K2041" s="18">
        <v>4</v>
      </c>
      <c r="L2041" s="20">
        <v>4597.78</v>
      </c>
      <c r="M2041" s="21">
        <v>0.15</v>
      </c>
      <c r="N2041" s="21">
        <v>0.63336645266978397</v>
      </c>
      <c r="O2041" s="20">
        <f t="shared" si="124"/>
        <v>15632.451999999999</v>
      </c>
      <c r="P2041" s="20">
        <f t="shared" si="125"/>
        <v>9901.0706697706701</v>
      </c>
      <c r="Q2041" s="20">
        <f t="shared" si="126"/>
        <v>5731.3813302293293</v>
      </c>
      <c r="R2041" s="22">
        <f t="shared" si="127"/>
        <v>0.36663354733021597</v>
      </c>
    </row>
    <row r="2042" spans="1:18">
      <c r="A2042" s="18">
        <v>3041</v>
      </c>
      <c r="B2042" s="19" t="s">
        <v>702</v>
      </c>
      <c r="C2042" s="18">
        <v>2025</v>
      </c>
      <c r="D2042" s="18" t="s">
        <v>57</v>
      </c>
      <c r="E2042" s="18" t="s">
        <v>79</v>
      </c>
      <c r="F2042" s="18" t="s">
        <v>105</v>
      </c>
      <c r="G2042" s="18" t="s">
        <v>50</v>
      </c>
      <c r="H2042" s="18" t="s">
        <v>83</v>
      </c>
      <c r="I2042" s="18" t="s">
        <v>58</v>
      </c>
      <c r="J2042" s="18" t="s">
        <v>82</v>
      </c>
      <c r="K2042" s="18">
        <v>3</v>
      </c>
      <c r="L2042" s="20">
        <v>3621.28</v>
      </c>
      <c r="M2042" s="21">
        <v>0.1</v>
      </c>
      <c r="N2042" s="21">
        <v>0.576937926462054</v>
      </c>
      <c r="O2042" s="20">
        <f t="shared" si="124"/>
        <v>9777.4560000000001</v>
      </c>
      <c r="P2042" s="20">
        <f t="shared" si="125"/>
        <v>5640.9851907139691</v>
      </c>
      <c r="Q2042" s="20">
        <f t="shared" si="126"/>
        <v>4136.470809286031</v>
      </c>
      <c r="R2042" s="22">
        <f t="shared" si="127"/>
        <v>0.42306207353794595</v>
      </c>
    </row>
    <row r="2043" spans="1:18">
      <c r="A2043" s="18">
        <v>3042</v>
      </c>
      <c r="B2043" s="19" t="s">
        <v>702</v>
      </c>
      <c r="C2043" s="18">
        <v>2025</v>
      </c>
      <c r="D2043" s="18" t="s">
        <v>57</v>
      </c>
      <c r="E2043" s="18" t="s">
        <v>79</v>
      </c>
      <c r="F2043" s="18" t="s">
        <v>100</v>
      </c>
      <c r="G2043" s="18" t="s">
        <v>47</v>
      </c>
      <c r="H2043" s="18" t="s">
        <v>81</v>
      </c>
      <c r="I2043" s="18" t="s">
        <v>52</v>
      </c>
      <c r="J2043" s="18" t="s">
        <v>82</v>
      </c>
      <c r="K2043" s="18">
        <v>7</v>
      </c>
      <c r="L2043" s="20">
        <v>813.24</v>
      </c>
      <c r="M2043" s="21">
        <v>0.2</v>
      </c>
      <c r="N2043" s="21">
        <v>0.61870453348880805</v>
      </c>
      <c r="O2043" s="20">
        <f t="shared" si="124"/>
        <v>4554.1440000000002</v>
      </c>
      <c r="P2043" s="20">
        <f t="shared" si="125"/>
        <v>2817.6695389608544</v>
      </c>
      <c r="Q2043" s="20">
        <f t="shared" si="126"/>
        <v>1736.4744610391458</v>
      </c>
      <c r="R2043" s="22">
        <f t="shared" si="127"/>
        <v>0.38129546651119195</v>
      </c>
    </row>
    <row r="2044" spans="1:18">
      <c r="A2044" s="18">
        <v>3043</v>
      </c>
      <c r="B2044" s="19" t="s">
        <v>702</v>
      </c>
      <c r="C2044" s="18">
        <v>2025</v>
      </c>
      <c r="D2044" s="18" t="s">
        <v>57</v>
      </c>
      <c r="E2044" s="18" t="s">
        <v>98</v>
      </c>
      <c r="F2044" s="18" t="s">
        <v>109</v>
      </c>
      <c r="G2044" s="18" t="s">
        <v>44</v>
      </c>
      <c r="H2044" s="18" t="s">
        <v>119</v>
      </c>
      <c r="I2044" s="18" t="s">
        <v>60</v>
      </c>
      <c r="J2044" s="18" t="s">
        <v>102</v>
      </c>
      <c r="K2044" s="18">
        <v>11</v>
      </c>
      <c r="L2044" s="20">
        <v>7270.4</v>
      </c>
      <c r="M2044" s="21">
        <v>0</v>
      </c>
      <c r="N2044" s="21">
        <v>0.65676018854223495</v>
      </c>
      <c r="O2044" s="20">
        <f t="shared" si="124"/>
        <v>79974.399999999994</v>
      </c>
      <c r="P2044" s="20">
        <f t="shared" si="125"/>
        <v>52524.002022552108</v>
      </c>
      <c r="Q2044" s="20">
        <f t="shared" si="126"/>
        <v>27450.397977447887</v>
      </c>
      <c r="R2044" s="22">
        <f t="shared" si="127"/>
        <v>0.34323981145776511</v>
      </c>
    </row>
    <row r="2045" spans="1:18">
      <c r="A2045" s="18">
        <v>3044</v>
      </c>
      <c r="B2045" s="19" t="s">
        <v>703</v>
      </c>
      <c r="C2045" s="18">
        <v>2025</v>
      </c>
      <c r="D2045" s="18" t="s">
        <v>57</v>
      </c>
      <c r="E2045" s="18" t="s">
        <v>79</v>
      </c>
      <c r="F2045" s="18" t="s">
        <v>80</v>
      </c>
      <c r="G2045" s="18" t="s">
        <v>50</v>
      </c>
      <c r="H2045" s="18" t="s">
        <v>83</v>
      </c>
      <c r="I2045" s="18" t="s">
        <v>49</v>
      </c>
      <c r="J2045" s="18" t="s">
        <v>102</v>
      </c>
      <c r="K2045" s="18">
        <v>5</v>
      </c>
      <c r="L2045" s="20">
        <v>3642.6</v>
      </c>
      <c r="M2045" s="21">
        <v>0.2</v>
      </c>
      <c r="N2045" s="21">
        <v>0.56692707785668195</v>
      </c>
      <c r="O2045" s="20">
        <f t="shared" si="124"/>
        <v>14570.400000000001</v>
      </c>
      <c r="P2045" s="20">
        <f t="shared" si="125"/>
        <v>8260.3542952030002</v>
      </c>
      <c r="Q2045" s="20">
        <f t="shared" si="126"/>
        <v>6310.0457047970012</v>
      </c>
      <c r="R2045" s="22">
        <f t="shared" si="127"/>
        <v>0.433072922143318</v>
      </c>
    </row>
    <row r="2046" spans="1:18">
      <c r="A2046" s="18">
        <v>3045</v>
      </c>
      <c r="B2046" s="19" t="s">
        <v>703</v>
      </c>
      <c r="C2046" s="18">
        <v>2025</v>
      </c>
      <c r="D2046" s="18" t="s">
        <v>57</v>
      </c>
      <c r="E2046" s="18" t="s">
        <v>85</v>
      </c>
      <c r="F2046" s="18" t="s">
        <v>121</v>
      </c>
      <c r="G2046" s="18" t="s">
        <v>44</v>
      </c>
      <c r="H2046" s="18" t="s">
        <v>119</v>
      </c>
      <c r="I2046" s="18" t="s">
        <v>60</v>
      </c>
      <c r="J2046" s="18" t="s">
        <v>91</v>
      </c>
      <c r="K2046" s="18">
        <v>4</v>
      </c>
      <c r="L2046" s="20">
        <v>7271.15</v>
      </c>
      <c r="M2046" s="21">
        <v>0.2</v>
      </c>
      <c r="N2046" s="21">
        <v>0.74313875133157603</v>
      </c>
      <c r="O2046" s="20">
        <f t="shared" si="124"/>
        <v>23267.68</v>
      </c>
      <c r="P2046" s="20">
        <f t="shared" si="125"/>
        <v>17291.114661582684</v>
      </c>
      <c r="Q2046" s="20">
        <f t="shared" si="126"/>
        <v>5976.5653384173165</v>
      </c>
      <c r="R2046" s="22">
        <f t="shared" si="127"/>
        <v>0.25686124866842402</v>
      </c>
    </row>
    <row r="2047" spans="1:18">
      <c r="A2047" s="18">
        <v>3046</v>
      </c>
      <c r="B2047" s="19" t="s">
        <v>703</v>
      </c>
      <c r="C2047" s="18">
        <v>2025</v>
      </c>
      <c r="D2047" s="18" t="s">
        <v>57</v>
      </c>
      <c r="E2047" s="18" t="s">
        <v>98</v>
      </c>
      <c r="F2047" s="18" t="s">
        <v>109</v>
      </c>
      <c r="G2047" s="18" t="s">
        <v>44</v>
      </c>
      <c r="H2047" s="18" t="s">
        <v>114</v>
      </c>
      <c r="I2047" s="18" t="s">
        <v>40</v>
      </c>
      <c r="J2047" s="18" t="s">
        <v>91</v>
      </c>
      <c r="K2047" s="18">
        <v>9</v>
      </c>
      <c r="L2047" s="20">
        <v>8762.27</v>
      </c>
      <c r="M2047" s="21">
        <v>0</v>
      </c>
      <c r="N2047" s="21">
        <v>0.60214840911214795</v>
      </c>
      <c r="O2047" s="20">
        <f t="shared" si="124"/>
        <v>78860.430000000008</v>
      </c>
      <c r="P2047" s="20">
        <f t="shared" si="125"/>
        <v>47485.682466399907</v>
      </c>
      <c r="Q2047" s="20">
        <f t="shared" si="126"/>
        <v>31374.747533600101</v>
      </c>
      <c r="R2047" s="22">
        <f t="shared" si="127"/>
        <v>0.3978515908878521</v>
      </c>
    </row>
    <row r="2048" spans="1:18">
      <c r="A2048" s="18">
        <v>3047</v>
      </c>
      <c r="B2048" s="19" t="s">
        <v>703</v>
      </c>
      <c r="C2048" s="18">
        <v>2025</v>
      </c>
      <c r="D2048" s="18" t="s">
        <v>57</v>
      </c>
      <c r="E2048" s="18" t="s">
        <v>88</v>
      </c>
      <c r="F2048" s="18" t="s">
        <v>110</v>
      </c>
      <c r="G2048" s="18" t="s">
        <v>44</v>
      </c>
      <c r="H2048" s="18" t="s">
        <v>119</v>
      </c>
      <c r="I2048" s="18" t="s">
        <v>43</v>
      </c>
      <c r="J2048" s="18" t="s">
        <v>102</v>
      </c>
      <c r="K2048" s="18">
        <v>6</v>
      </c>
      <c r="L2048" s="20">
        <v>7243.84</v>
      </c>
      <c r="M2048" s="21">
        <v>0.15</v>
      </c>
      <c r="N2048" s="21">
        <v>0.64990164996038102</v>
      </c>
      <c r="O2048" s="20">
        <f t="shared" si="124"/>
        <v>36943.584000000003</v>
      </c>
      <c r="P2048" s="20">
        <f t="shared" si="125"/>
        <v>24009.696197049936</v>
      </c>
      <c r="Q2048" s="20">
        <f t="shared" si="126"/>
        <v>12933.887802950067</v>
      </c>
      <c r="R2048" s="22">
        <f t="shared" si="127"/>
        <v>0.35009835003961892</v>
      </c>
    </row>
    <row r="2049" spans="1:18">
      <c r="A2049" s="18">
        <v>3048</v>
      </c>
      <c r="B2049" s="19" t="s">
        <v>703</v>
      </c>
      <c r="C2049" s="18">
        <v>2025</v>
      </c>
      <c r="D2049" s="18" t="s">
        <v>57</v>
      </c>
      <c r="E2049" s="18" t="s">
        <v>79</v>
      </c>
      <c r="F2049" s="18" t="s">
        <v>105</v>
      </c>
      <c r="G2049" s="18" t="s">
        <v>47</v>
      </c>
      <c r="H2049" s="18" t="s">
        <v>107</v>
      </c>
      <c r="I2049" s="18" t="s">
        <v>58</v>
      </c>
      <c r="J2049" s="18" t="s">
        <v>102</v>
      </c>
      <c r="K2049" s="18">
        <v>7</v>
      </c>
      <c r="L2049" s="20">
        <v>2291.5500000000002</v>
      </c>
      <c r="M2049" s="21">
        <v>0.15</v>
      </c>
      <c r="N2049" s="21">
        <v>0.68502790222847898</v>
      </c>
      <c r="O2049" s="20">
        <f t="shared" si="124"/>
        <v>13634.722500000002</v>
      </c>
      <c r="P2049" s="20">
        <f t="shared" si="125"/>
        <v>9340.1653516424431</v>
      </c>
      <c r="Q2049" s="20">
        <f t="shared" si="126"/>
        <v>4294.5571483575586</v>
      </c>
      <c r="R2049" s="22">
        <f t="shared" si="127"/>
        <v>0.31497209777152108</v>
      </c>
    </row>
    <row r="2050" spans="1:18">
      <c r="A2050" s="18">
        <v>3049</v>
      </c>
      <c r="B2050" s="19" t="s">
        <v>704</v>
      </c>
      <c r="C2050" s="18">
        <v>2025</v>
      </c>
      <c r="D2050" s="18" t="s">
        <v>57</v>
      </c>
      <c r="E2050" s="18" t="s">
        <v>98</v>
      </c>
      <c r="F2050" s="18" t="s">
        <v>109</v>
      </c>
      <c r="G2050" s="18" t="s">
        <v>50</v>
      </c>
      <c r="H2050" s="18" t="s">
        <v>87</v>
      </c>
      <c r="I2050" s="18" t="s">
        <v>52</v>
      </c>
      <c r="J2050" s="18" t="s">
        <v>102</v>
      </c>
      <c r="K2050" s="18">
        <v>11</v>
      </c>
      <c r="L2050" s="20">
        <v>9343.73</v>
      </c>
      <c r="M2050" s="21">
        <v>0</v>
      </c>
      <c r="N2050" s="21">
        <v>0.62209852183916303</v>
      </c>
      <c r="O2050" s="20">
        <f t="shared" ref="O2050:O2113" si="128">K2050*L2050*(1-M2050)</f>
        <v>102781.03</v>
      </c>
      <c r="P2050" s="20">
        <f t="shared" ref="P2050:P2113" si="129">O2050*N2050</f>
        <v>63939.926836106672</v>
      </c>
      <c r="Q2050" s="20">
        <f t="shared" ref="Q2050:Q2113" si="130">O2050-P2050</f>
        <v>38841.103163893327</v>
      </c>
      <c r="R2050" s="22">
        <f t="shared" ref="R2050:R2113" si="131">IF(O2050=0,0,Q2050/O2050)</f>
        <v>0.37790147816083697</v>
      </c>
    </row>
    <row r="2051" spans="1:18">
      <c r="A2051" s="18">
        <v>3050</v>
      </c>
      <c r="B2051" s="19" t="s">
        <v>704</v>
      </c>
      <c r="C2051" s="18">
        <v>2025</v>
      </c>
      <c r="D2051" s="18" t="s">
        <v>57</v>
      </c>
      <c r="E2051" s="18" t="s">
        <v>88</v>
      </c>
      <c r="F2051" s="18" t="s">
        <v>89</v>
      </c>
      <c r="G2051" s="18" t="s">
        <v>47</v>
      </c>
      <c r="H2051" s="18" t="s">
        <v>103</v>
      </c>
      <c r="I2051" s="18" t="s">
        <v>58</v>
      </c>
      <c r="J2051" s="18" t="s">
        <v>91</v>
      </c>
      <c r="K2051" s="18">
        <v>7</v>
      </c>
      <c r="L2051" s="20">
        <v>3163.73</v>
      </c>
      <c r="M2051" s="21">
        <v>0.2</v>
      </c>
      <c r="N2051" s="21">
        <v>0.66892944690126299</v>
      </c>
      <c r="O2051" s="20">
        <f t="shared" si="128"/>
        <v>17716.888000000003</v>
      </c>
      <c r="P2051" s="20">
        <f t="shared" si="129"/>
        <v>11851.348090651625</v>
      </c>
      <c r="Q2051" s="20">
        <f t="shared" si="130"/>
        <v>5865.5399093483775</v>
      </c>
      <c r="R2051" s="22">
        <f t="shared" si="131"/>
        <v>0.33107055309873701</v>
      </c>
    </row>
    <row r="2052" spans="1:18">
      <c r="A2052" s="18">
        <v>3051</v>
      </c>
      <c r="B2052" s="19" t="s">
        <v>704</v>
      </c>
      <c r="C2052" s="18">
        <v>2025</v>
      </c>
      <c r="D2052" s="18" t="s">
        <v>57</v>
      </c>
      <c r="E2052" s="18" t="s">
        <v>85</v>
      </c>
      <c r="F2052" s="18" t="s">
        <v>86</v>
      </c>
      <c r="G2052" s="18" t="s">
        <v>50</v>
      </c>
      <c r="H2052" s="18" t="s">
        <v>83</v>
      </c>
      <c r="I2052" s="18" t="s">
        <v>52</v>
      </c>
      <c r="J2052" s="18" t="s">
        <v>82</v>
      </c>
      <c r="K2052" s="18">
        <v>2</v>
      </c>
      <c r="L2052" s="20">
        <v>3386.98</v>
      </c>
      <c r="M2052" s="21">
        <v>0.05</v>
      </c>
      <c r="N2052" s="21">
        <v>0.62398781779725299</v>
      </c>
      <c r="O2052" s="20">
        <f t="shared" si="128"/>
        <v>6435.2619999999997</v>
      </c>
      <c r="P2052" s="20">
        <f t="shared" si="129"/>
        <v>4015.5250923335857</v>
      </c>
      <c r="Q2052" s="20">
        <f t="shared" si="130"/>
        <v>2419.736907666414</v>
      </c>
      <c r="R2052" s="22">
        <f t="shared" si="131"/>
        <v>0.37601218220274701</v>
      </c>
    </row>
    <row r="2053" spans="1:18">
      <c r="A2053" s="18">
        <v>3052</v>
      </c>
      <c r="B2053" s="19" t="s">
        <v>704</v>
      </c>
      <c r="C2053" s="18">
        <v>2025</v>
      </c>
      <c r="D2053" s="18" t="s">
        <v>57</v>
      </c>
      <c r="E2053" s="18" t="s">
        <v>79</v>
      </c>
      <c r="F2053" s="18" t="s">
        <v>80</v>
      </c>
      <c r="G2053" s="18" t="s">
        <v>47</v>
      </c>
      <c r="H2053" s="18" t="s">
        <v>103</v>
      </c>
      <c r="I2053" s="18" t="s">
        <v>52</v>
      </c>
      <c r="J2053" s="18" t="s">
        <v>102</v>
      </c>
      <c r="K2053" s="18">
        <v>2</v>
      </c>
      <c r="L2053" s="20">
        <v>3300.73</v>
      </c>
      <c r="M2053" s="21">
        <v>0</v>
      </c>
      <c r="N2053" s="21">
        <v>0.70208356439933295</v>
      </c>
      <c r="O2053" s="20">
        <f t="shared" si="128"/>
        <v>6601.46</v>
      </c>
      <c r="P2053" s="20">
        <f t="shared" si="129"/>
        <v>4634.7765670396202</v>
      </c>
      <c r="Q2053" s="20">
        <f t="shared" si="130"/>
        <v>1966.6834329603798</v>
      </c>
      <c r="R2053" s="22">
        <f t="shared" si="131"/>
        <v>0.29791643560066711</v>
      </c>
    </row>
    <row r="2054" spans="1:18">
      <c r="A2054" s="18">
        <v>3053</v>
      </c>
      <c r="B2054" s="19" t="s">
        <v>704</v>
      </c>
      <c r="C2054" s="18">
        <v>2025</v>
      </c>
      <c r="D2054" s="18" t="s">
        <v>57</v>
      </c>
      <c r="E2054" s="18" t="s">
        <v>88</v>
      </c>
      <c r="F2054" s="18" t="s">
        <v>89</v>
      </c>
      <c r="G2054" s="18" t="s">
        <v>47</v>
      </c>
      <c r="H2054" s="18" t="s">
        <v>103</v>
      </c>
      <c r="I2054" s="18" t="s">
        <v>56</v>
      </c>
      <c r="J2054" s="18" t="s">
        <v>91</v>
      </c>
      <c r="K2054" s="18">
        <v>5</v>
      </c>
      <c r="L2054" s="20">
        <v>3310.16</v>
      </c>
      <c r="M2054" s="21">
        <v>0</v>
      </c>
      <c r="N2054" s="21">
        <v>0.57256833442069399</v>
      </c>
      <c r="O2054" s="20">
        <f t="shared" si="128"/>
        <v>16550.8</v>
      </c>
      <c r="P2054" s="20">
        <f t="shared" si="129"/>
        <v>9476.4639893300209</v>
      </c>
      <c r="Q2054" s="20">
        <f t="shared" si="130"/>
        <v>7074.3360106699784</v>
      </c>
      <c r="R2054" s="22">
        <f t="shared" si="131"/>
        <v>0.42743166557930606</v>
      </c>
    </row>
    <row r="2055" spans="1:18">
      <c r="A2055" s="18">
        <v>3054</v>
      </c>
      <c r="B2055" s="19" t="s">
        <v>705</v>
      </c>
      <c r="C2055" s="18">
        <v>2025</v>
      </c>
      <c r="D2055" s="18" t="s">
        <v>57</v>
      </c>
      <c r="E2055" s="18" t="s">
        <v>79</v>
      </c>
      <c r="F2055" s="18" t="s">
        <v>105</v>
      </c>
      <c r="G2055" s="18" t="s">
        <v>47</v>
      </c>
      <c r="H2055" s="18" t="s">
        <v>81</v>
      </c>
      <c r="I2055" s="18" t="s">
        <v>49</v>
      </c>
      <c r="J2055" s="18" t="s">
        <v>91</v>
      </c>
      <c r="K2055" s="18">
        <v>12</v>
      </c>
      <c r="L2055" s="20">
        <v>807.08</v>
      </c>
      <c r="M2055" s="21">
        <v>0</v>
      </c>
      <c r="N2055" s="21">
        <v>0.603139017792929</v>
      </c>
      <c r="O2055" s="20">
        <f t="shared" si="128"/>
        <v>9684.9600000000009</v>
      </c>
      <c r="P2055" s="20">
        <f t="shared" si="129"/>
        <v>5841.377261763806</v>
      </c>
      <c r="Q2055" s="20">
        <f t="shared" si="130"/>
        <v>3843.5827382361949</v>
      </c>
      <c r="R2055" s="22">
        <f t="shared" si="131"/>
        <v>0.396860982207071</v>
      </c>
    </row>
    <row r="2056" spans="1:18">
      <c r="A2056" s="18">
        <v>3055</v>
      </c>
      <c r="B2056" s="19" t="s">
        <v>705</v>
      </c>
      <c r="C2056" s="18">
        <v>2025</v>
      </c>
      <c r="D2056" s="18" t="s">
        <v>57</v>
      </c>
      <c r="E2056" s="18" t="s">
        <v>85</v>
      </c>
      <c r="F2056" s="18" t="s">
        <v>86</v>
      </c>
      <c r="G2056" s="18" t="s">
        <v>47</v>
      </c>
      <c r="H2056" s="18" t="s">
        <v>81</v>
      </c>
      <c r="I2056" s="18" t="s">
        <v>52</v>
      </c>
      <c r="J2056" s="18" t="s">
        <v>102</v>
      </c>
      <c r="K2056" s="18">
        <v>9</v>
      </c>
      <c r="L2056" s="20">
        <v>806.68</v>
      </c>
      <c r="M2056" s="21">
        <v>0</v>
      </c>
      <c r="N2056" s="21">
        <v>0.70852770790049502</v>
      </c>
      <c r="O2056" s="20">
        <f t="shared" si="128"/>
        <v>7260.12</v>
      </c>
      <c r="P2056" s="20">
        <f t="shared" si="129"/>
        <v>5143.996182682542</v>
      </c>
      <c r="Q2056" s="20">
        <f t="shared" si="130"/>
        <v>2116.1238173174579</v>
      </c>
      <c r="R2056" s="22">
        <f t="shared" si="131"/>
        <v>0.29147229209950498</v>
      </c>
    </row>
    <row r="2057" spans="1:18">
      <c r="A2057" s="18">
        <v>3056</v>
      </c>
      <c r="B2057" s="19" t="s">
        <v>705</v>
      </c>
      <c r="C2057" s="18">
        <v>2025</v>
      </c>
      <c r="D2057" s="18" t="s">
        <v>57</v>
      </c>
      <c r="E2057" s="18" t="s">
        <v>88</v>
      </c>
      <c r="F2057" s="18" t="s">
        <v>89</v>
      </c>
      <c r="G2057" s="18" t="s">
        <v>41</v>
      </c>
      <c r="H2057" s="18" t="s">
        <v>106</v>
      </c>
      <c r="I2057" s="18" t="s">
        <v>54</v>
      </c>
      <c r="J2057" s="18" t="s">
        <v>91</v>
      </c>
      <c r="K2057" s="18">
        <v>4</v>
      </c>
      <c r="L2057" s="20">
        <v>2554.6</v>
      </c>
      <c r="M2057" s="21">
        <v>0</v>
      </c>
      <c r="N2057" s="21">
        <v>0.64056103611971604</v>
      </c>
      <c r="O2057" s="20">
        <f t="shared" si="128"/>
        <v>10218.4</v>
      </c>
      <c r="P2057" s="20">
        <f t="shared" si="129"/>
        <v>6545.508891485706</v>
      </c>
      <c r="Q2057" s="20">
        <f t="shared" si="130"/>
        <v>3672.8911085142936</v>
      </c>
      <c r="R2057" s="22">
        <f t="shared" si="131"/>
        <v>0.35943896388028396</v>
      </c>
    </row>
    <row r="2058" spans="1:18">
      <c r="A2058" s="18">
        <v>3057</v>
      </c>
      <c r="B2058" s="19" t="s">
        <v>706</v>
      </c>
      <c r="C2058" s="18">
        <v>2025</v>
      </c>
      <c r="D2058" s="18" t="s">
        <v>57</v>
      </c>
      <c r="E2058" s="18" t="s">
        <v>88</v>
      </c>
      <c r="F2058" s="18" t="s">
        <v>93</v>
      </c>
      <c r="G2058" s="18" t="s">
        <v>50</v>
      </c>
      <c r="H2058" s="18" t="s">
        <v>83</v>
      </c>
      <c r="I2058" s="18" t="s">
        <v>43</v>
      </c>
      <c r="J2058" s="18" t="s">
        <v>102</v>
      </c>
      <c r="K2058" s="18">
        <v>1</v>
      </c>
      <c r="L2058" s="20">
        <v>3335.5</v>
      </c>
      <c r="M2058" s="21">
        <v>0.2</v>
      </c>
      <c r="N2058" s="21">
        <v>0.68725168813894799</v>
      </c>
      <c r="O2058" s="20">
        <f t="shared" si="128"/>
        <v>2668.4</v>
      </c>
      <c r="P2058" s="20">
        <f t="shared" si="129"/>
        <v>1833.862404629969</v>
      </c>
      <c r="Q2058" s="20">
        <f t="shared" si="130"/>
        <v>834.53759537003111</v>
      </c>
      <c r="R2058" s="22">
        <f t="shared" si="131"/>
        <v>0.31274831186105195</v>
      </c>
    </row>
    <row r="2059" spans="1:18">
      <c r="A2059" s="18">
        <v>3058</v>
      </c>
      <c r="B2059" s="19" t="s">
        <v>706</v>
      </c>
      <c r="C2059" s="18">
        <v>2025</v>
      </c>
      <c r="D2059" s="18" t="s">
        <v>57</v>
      </c>
      <c r="E2059" s="18" t="s">
        <v>79</v>
      </c>
      <c r="F2059" s="18" t="s">
        <v>105</v>
      </c>
      <c r="G2059" s="18" t="s">
        <v>47</v>
      </c>
      <c r="H2059" s="18" t="s">
        <v>81</v>
      </c>
      <c r="I2059" s="18" t="s">
        <v>46</v>
      </c>
      <c r="J2059" s="18" t="s">
        <v>82</v>
      </c>
      <c r="K2059" s="18">
        <v>2</v>
      </c>
      <c r="L2059" s="20">
        <v>789.47</v>
      </c>
      <c r="M2059" s="21">
        <v>0.15</v>
      </c>
      <c r="N2059" s="21">
        <v>0.63932682736572299</v>
      </c>
      <c r="O2059" s="20">
        <f t="shared" si="128"/>
        <v>1342.0989999999999</v>
      </c>
      <c r="P2059" s="20">
        <f t="shared" si="129"/>
        <v>858.03989568070938</v>
      </c>
      <c r="Q2059" s="20">
        <f t="shared" si="130"/>
        <v>484.05910431929055</v>
      </c>
      <c r="R2059" s="22">
        <f t="shared" si="131"/>
        <v>0.36067317263427706</v>
      </c>
    </row>
    <row r="2060" spans="1:18">
      <c r="A2060" s="18">
        <v>3059</v>
      </c>
      <c r="B2060" s="19" t="s">
        <v>706</v>
      </c>
      <c r="C2060" s="18">
        <v>2025</v>
      </c>
      <c r="D2060" s="18" t="s">
        <v>57</v>
      </c>
      <c r="E2060" s="18" t="s">
        <v>98</v>
      </c>
      <c r="F2060" s="18" t="s">
        <v>109</v>
      </c>
      <c r="G2060" s="18" t="s">
        <v>44</v>
      </c>
      <c r="H2060" s="18" t="s">
        <v>119</v>
      </c>
      <c r="I2060" s="18" t="s">
        <v>54</v>
      </c>
      <c r="J2060" s="18" t="s">
        <v>102</v>
      </c>
      <c r="K2060" s="18">
        <v>5</v>
      </c>
      <c r="L2060" s="20">
        <v>7167.39</v>
      </c>
      <c r="M2060" s="21">
        <v>0</v>
      </c>
      <c r="N2060" s="21">
        <v>0.63658911420282804</v>
      </c>
      <c r="O2060" s="20">
        <f t="shared" si="128"/>
        <v>35836.950000000004</v>
      </c>
      <c r="P2060" s="20">
        <f t="shared" si="129"/>
        <v>22813.41225623104</v>
      </c>
      <c r="Q2060" s="20">
        <f t="shared" si="130"/>
        <v>13023.537743768964</v>
      </c>
      <c r="R2060" s="22">
        <f t="shared" si="131"/>
        <v>0.36341088579717196</v>
      </c>
    </row>
    <row r="2061" spans="1:18">
      <c r="A2061" s="18">
        <v>3060</v>
      </c>
      <c r="B2061" s="19" t="s">
        <v>706</v>
      </c>
      <c r="C2061" s="18">
        <v>2025</v>
      </c>
      <c r="D2061" s="18" t="s">
        <v>57</v>
      </c>
      <c r="E2061" s="18" t="s">
        <v>85</v>
      </c>
      <c r="F2061" s="18" t="s">
        <v>121</v>
      </c>
      <c r="G2061" s="18" t="s">
        <v>47</v>
      </c>
      <c r="H2061" s="18" t="s">
        <v>103</v>
      </c>
      <c r="I2061" s="18" t="s">
        <v>58</v>
      </c>
      <c r="J2061" s="18" t="s">
        <v>82</v>
      </c>
      <c r="K2061" s="18">
        <v>2</v>
      </c>
      <c r="L2061" s="20">
        <v>3199.11</v>
      </c>
      <c r="M2061" s="21">
        <v>0.2</v>
      </c>
      <c r="N2061" s="21">
        <v>0.74297468537628797</v>
      </c>
      <c r="O2061" s="20">
        <f t="shared" si="128"/>
        <v>5118.5760000000009</v>
      </c>
      <c r="P2061" s="20">
        <f t="shared" si="129"/>
        <v>3802.9723931746194</v>
      </c>
      <c r="Q2061" s="20">
        <f t="shared" si="130"/>
        <v>1315.6036068253816</v>
      </c>
      <c r="R2061" s="22">
        <f t="shared" si="131"/>
        <v>0.25702531462371203</v>
      </c>
    </row>
    <row r="2062" spans="1:18">
      <c r="A2062" s="18">
        <v>3061</v>
      </c>
      <c r="B2062" s="19" t="s">
        <v>706</v>
      </c>
      <c r="C2062" s="18">
        <v>2025</v>
      </c>
      <c r="D2062" s="18" t="s">
        <v>57</v>
      </c>
      <c r="E2062" s="18" t="s">
        <v>79</v>
      </c>
      <c r="F2062" s="18" t="s">
        <v>80</v>
      </c>
      <c r="G2062" s="18" t="s">
        <v>50</v>
      </c>
      <c r="H2062" s="18" t="s">
        <v>97</v>
      </c>
      <c r="I2062" s="18" t="s">
        <v>46</v>
      </c>
      <c r="J2062" s="18" t="s">
        <v>82</v>
      </c>
      <c r="K2062" s="18">
        <v>8</v>
      </c>
      <c r="L2062" s="20">
        <v>11955.36</v>
      </c>
      <c r="M2062" s="21">
        <v>0</v>
      </c>
      <c r="N2062" s="21">
        <v>0.665460943326316</v>
      </c>
      <c r="O2062" s="20">
        <f t="shared" si="128"/>
        <v>95642.880000000005</v>
      </c>
      <c r="P2062" s="20">
        <f t="shared" si="129"/>
        <v>63646.601147245645</v>
      </c>
      <c r="Q2062" s="20">
        <f t="shared" si="130"/>
        <v>31996.27885275436</v>
      </c>
      <c r="R2062" s="22">
        <f t="shared" si="131"/>
        <v>0.334539056673684</v>
      </c>
    </row>
    <row r="2063" spans="1:18">
      <c r="A2063" s="18">
        <v>3062</v>
      </c>
      <c r="B2063" s="19" t="s">
        <v>707</v>
      </c>
      <c r="C2063" s="18">
        <v>2025</v>
      </c>
      <c r="D2063" s="18" t="s">
        <v>57</v>
      </c>
      <c r="E2063" s="18" t="s">
        <v>98</v>
      </c>
      <c r="F2063" s="18" t="s">
        <v>109</v>
      </c>
      <c r="G2063" s="18" t="s">
        <v>44</v>
      </c>
      <c r="H2063" s="18" t="s">
        <v>119</v>
      </c>
      <c r="I2063" s="18" t="s">
        <v>58</v>
      </c>
      <c r="J2063" s="18" t="s">
        <v>82</v>
      </c>
      <c r="K2063" s="18">
        <v>2</v>
      </c>
      <c r="L2063" s="20">
        <v>6845.06</v>
      </c>
      <c r="M2063" s="21">
        <v>0</v>
      </c>
      <c r="N2063" s="21">
        <v>0.67914109949382395</v>
      </c>
      <c r="O2063" s="20">
        <f t="shared" si="128"/>
        <v>13690.12</v>
      </c>
      <c r="P2063" s="20">
        <f t="shared" si="129"/>
        <v>9297.5231490023889</v>
      </c>
      <c r="Q2063" s="20">
        <f t="shared" si="130"/>
        <v>4392.5968509976119</v>
      </c>
      <c r="R2063" s="22">
        <f t="shared" si="131"/>
        <v>0.3208589005061761</v>
      </c>
    </row>
    <row r="2064" spans="1:18">
      <c r="A2064" s="18">
        <v>3063</v>
      </c>
      <c r="B2064" s="19" t="s">
        <v>707</v>
      </c>
      <c r="C2064" s="18">
        <v>2025</v>
      </c>
      <c r="D2064" s="18" t="s">
        <v>57</v>
      </c>
      <c r="E2064" s="18" t="s">
        <v>79</v>
      </c>
      <c r="F2064" s="18" t="s">
        <v>80</v>
      </c>
      <c r="G2064" s="18" t="s">
        <v>47</v>
      </c>
      <c r="H2064" s="18" t="s">
        <v>81</v>
      </c>
      <c r="I2064" s="18" t="s">
        <v>58</v>
      </c>
      <c r="J2064" s="18" t="s">
        <v>102</v>
      </c>
      <c r="K2064" s="18">
        <v>2</v>
      </c>
      <c r="L2064" s="20">
        <v>761.97</v>
      </c>
      <c r="M2064" s="21">
        <v>0.05</v>
      </c>
      <c r="N2064" s="21">
        <v>0.61509672947090399</v>
      </c>
      <c r="O2064" s="20">
        <f t="shared" si="128"/>
        <v>1447.7429999999999</v>
      </c>
      <c r="P2064" s="20">
        <f t="shared" si="129"/>
        <v>890.50198441439488</v>
      </c>
      <c r="Q2064" s="20">
        <f t="shared" si="130"/>
        <v>557.24101558560506</v>
      </c>
      <c r="R2064" s="22">
        <f t="shared" si="131"/>
        <v>0.38490327052909601</v>
      </c>
    </row>
    <row r="2065" spans="1:18">
      <c r="A2065" s="18">
        <v>3064</v>
      </c>
      <c r="B2065" s="19" t="s">
        <v>707</v>
      </c>
      <c r="C2065" s="18">
        <v>2025</v>
      </c>
      <c r="D2065" s="18" t="s">
        <v>57</v>
      </c>
      <c r="E2065" s="18" t="s">
        <v>79</v>
      </c>
      <c r="F2065" s="18" t="s">
        <v>100</v>
      </c>
      <c r="G2065" s="18" t="s">
        <v>41</v>
      </c>
      <c r="H2065" s="18" t="s">
        <v>101</v>
      </c>
      <c r="I2065" s="18" t="s">
        <v>58</v>
      </c>
      <c r="J2065" s="18" t="s">
        <v>102</v>
      </c>
      <c r="K2065" s="18">
        <v>3</v>
      </c>
      <c r="L2065" s="20">
        <v>56262.19</v>
      </c>
      <c r="M2065" s="21">
        <v>0</v>
      </c>
      <c r="N2065" s="21">
        <v>0.61183775393114803</v>
      </c>
      <c r="O2065" s="20">
        <f t="shared" si="128"/>
        <v>168786.57</v>
      </c>
      <c r="P2065" s="20">
        <f t="shared" si="129"/>
        <v>103269.9958825425</v>
      </c>
      <c r="Q2065" s="20">
        <f t="shared" si="130"/>
        <v>65516.574117457509</v>
      </c>
      <c r="R2065" s="22">
        <f t="shared" si="131"/>
        <v>0.38816224606885197</v>
      </c>
    </row>
    <row r="2066" spans="1:18">
      <c r="A2066" s="18">
        <v>3065</v>
      </c>
      <c r="B2066" s="19" t="s">
        <v>707</v>
      </c>
      <c r="C2066" s="18">
        <v>2025</v>
      </c>
      <c r="D2066" s="18" t="s">
        <v>57</v>
      </c>
      <c r="E2066" s="18" t="s">
        <v>98</v>
      </c>
      <c r="F2066" s="18" t="s">
        <v>109</v>
      </c>
      <c r="G2066" s="18" t="s">
        <v>44</v>
      </c>
      <c r="H2066" s="18" t="s">
        <v>119</v>
      </c>
      <c r="I2066" s="18" t="s">
        <v>56</v>
      </c>
      <c r="J2066" s="18" t="s">
        <v>82</v>
      </c>
      <c r="K2066" s="18">
        <v>10</v>
      </c>
      <c r="L2066" s="20">
        <v>6860.79</v>
      </c>
      <c r="M2066" s="21">
        <v>0.15</v>
      </c>
      <c r="N2066" s="21">
        <v>0.68845994292461998</v>
      </c>
      <c r="O2066" s="20">
        <f t="shared" si="128"/>
        <v>58316.714999999997</v>
      </c>
      <c r="P2066" s="20">
        <f t="shared" si="129"/>
        <v>40148.722280451329</v>
      </c>
      <c r="Q2066" s="20">
        <f t="shared" si="130"/>
        <v>18167.992719548667</v>
      </c>
      <c r="R2066" s="22">
        <f t="shared" si="131"/>
        <v>0.31154005707537996</v>
      </c>
    </row>
    <row r="2067" spans="1:18">
      <c r="A2067" s="18">
        <v>3066</v>
      </c>
      <c r="B2067" s="19" t="s">
        <v>707</v>
      </c>
      <c r="C2067" s="18">
        <v>2025</v>
      </c>
      <c r="D2067" s="18" t="s">
        <v>57</v>
      </c>
      <c r="E2067" s="18" t="s">
        <v>79</v>
      </c>
      <c r="F2067" s="18" t="s">
        <v>100</v>
      </c>
      <c r="G2067" s="18" t="s">
        <v>50</v>
      </c>
      <c r="H2067" s="18" t="s">
        <v>87</v>
      </c>
      <c r="I2067" s="18" t="s">
        <v>43</v>
      </c>
      <c r="J2067" s="18" t="s">
        <v>91</v>
      </c>
      <c r="K2067" s="18">
        <v>3</v>
      </c>
      <c r="L2067" s="20">
        <v>9888.01</v>
      </c>
      <c r="M2067" s="21">
        <v>0</v>
      </c>
      <c r="N2067" s="21">
        <v>0.57432462602572998</v>
      </c>
      <c r="O2067" s="20">
        <f t="shared" si="128"/>
        <v>29664.03</v>
      </c>
      <c r="P2067" s="20">
        <f t="shared" si="129"/>
        <v>17036.782936166033</v>
      </c>
      <c r="Q2067" s="20">
        <f t="shared" si="130"/>
        <v>12627.247063833966</v>
      </c>
      <c r="R2067" s="22">
        <f t="shared" si="131"/>
        <v>0.42567537397427008</v>
      </c>
    </row>
    <row r="2068" spans="1:18">
      <c r="A2068" s="18">
        <v>3067</v>
      </c>
      <c r="B2068" s="19" t="s">
        <v>708</v>
      </c>
      <c r="C2068" s="18">
        <v>2025</v>
      </c>
      <c r="D2068" s="18" t="s">
        <v>57</v>
      </c>
      <c r="E2068" s="18" t="s">
        <v>98</v>
      </c>
      <c r="F2068" s="18" t="s">
        <v>109</v>
      </c>
      <c r="G2068" s="18" t="s">
        <v>44</v>
      </c>
      <c r="H2068" s="18" t="s">
        <v>95</v>
      </c>
      <c r="I2068" s="18" t="s">
        <v>56</v>
      </c>
      <c r="J2068" s="18" t="s">
        <v>82</v>
      </c>
      <c r="K2068" s="18">
        <v>12</v>
      </c>
      <c r="L2068" s="20">
        <v>4287.0600000000004</v>
      </c>
      <c r="M2068" s="21">
        <v>0.2</v>
      </c>
      <c r="N2068" s="21">
        <v>0.58729740616025605</v>
      </c>
      <c r="O2068" s="20">
        <f t="shared" si="128"/>
        <v>41155.776000000005</v>
      </c>
      <c r="P2068" s="20">
        <f t="shared" si="129"/>
        <v>24170.68049331252</v>
      </c>
      <c r="Q2068" s="20">
        <f t="shared" si="130"/>
        <v>16985.095506687485</v>
      </c>
      <c r="R2068" s="22">
        <f t="shared" si="131"/>
        <v>0.41270259383974395</v>
      </c>
    </row>
    <row r="2069" spans="1:18">
      <c r="A2069" s="18">
        <v>3068</v>
      </c>
      <c r="B2069" s="19" t="s">
        <v>708</v>
      </c>
      <c r="C2069" s="18">
        <v>2025</v>
      </c>
      <c r="D2069" s="18" t="s">
        <v>57</v>
      </c>
      <c r="E2069" s="18" t="s">
        <v>85</v>
      </c>
      <c r="F2069" s="18" t="s">
        <v>86</v>
      </c>
      <c r="G2069" s="18" t="s">
        <v>47</v>
      </c>
      <c r="H2069" s="18" t="s">
        <v>81</v>
      </c>
      <c r="I2069" s="18" t="s">
        <v>54</v>
      </c>
      <c r="J2069" s="18" t="s">
        <v>102</v>
      </c>
      <c r="K2069" s="18">
        <v>6</v>
      </c>
      <c r="L2069" s="20">
        <v>826.18</v>
      </c>
      <c r="M2069" s="21">
        <v>0.2</v>
      </c>
      <c r="N2069" s="21">
        <v>0.68657710285962903</v>
      </c>
      <c r="O2069" s="20">
        <f t="shared" si="128"/>
        <v>3965.6640000000002</v>
      </c>
      <c r="P2069" s="20">
        <f t="shared" si="129"/>
        <v>2722.7341000347278</v>
      </c>
      <c r="Q2069" s="20">
        <f t="shared" si="130"/>
        <v>1242.9298999652724</v>
      </c>
      <c r="R2069" s="22">
        <f t="shared" si="131"/>
        <v>0.31342289714037103</v>
      </c>
    </row>
    <row r="2070" spans="1:18">
      <c r="A2070" s="18">
        <v>3069</v>
      </c>
      <c r="B2070" s="19" t="s">
        <v>708</v>
      </c>
      <c r="C2070" s="18">
        <v>2025</v>
      </c>
      <c r="D2070" s="18" t="s">
        <v>57</v>
      </c>
      <c r="E2070" s="18" t="s">
        <v>88</v>
      </c>
      <c r="F2070" s="18" t="s">
        <v>110</v>
      </c>
      <c r="G2070" s="18" t="s">
        <v>44</v>
      </c>
      <c r="H2070" s="18" t="s">
        <v>119</v>
      </c>
      <c r="I2070" s="18" t="s">
        <v>58</v>
      </c>
      <c r="J2070" s="18" t="s">
        <v>82</v>
      </c>
      <c r="K2070" s="18">
        <v>12</v>
      </c>
      <c r="L2070" s="20">
        <v>7081.16</v>
      </c>
      <c r="M2070" s="21">
        <v>0.15</v>
      </c>
      <c r="N2070" s="21">
        <v>0.67067794890392396</v>
      </c>
      <c r="O2070" s="20">
        <f t="shared" si="128"/>
        <v>72227.831999999995</v>
      </c>
      <c r="P2070" s="20">
        <f t="shared" si="129"/>
        <v>48441.614219537201</v>
      </c>
      <c r="Q2070" s="20">
        <f t="shared" si="130"/>
        <v>23786.217780462794</v>
      </c>
      <c r="R2070" s="22">
        <f t="shared" si="131"/>
        <v>0.32932205109607604</v>
      </c>
    </row>
    <row r="2071" spans="1:18">
      <c r="A2071" s="18">
        <v>3070</v>
      </c>
      <c r="B2071" s="19" t="s">
        <v>708</v>
      </c>
      <c r="C2071" s="18">
        <v>2025</v>
      </c>
      <c r="D2071" s="18" t="s">
        <v>57</v>
      </c>
      <c r="E2071" s="18" t="s">
        <v>88</v>
      </c>
      <c r="F2071" s="18" t="s">
        <v>110</v>
      </c>
      <c r="G2071" s="18" t="s">
        <v>47</v>
      </c>
      <c r="H2071" s="18" t="s">
        <v>107</v>
      </c>
      <c r="I2071" s="18" t="s">
        <v>58</v>
      </c>
      <c r="J2071" s="18" t="s">
        <v>102</v>
      </c>
      <c r="K2071" s="18">
        <v>12</v>
      </c>
      <c r="L2071" s="20">
        <v>2272.23</v>
      </c>
      <c r="M2071" s="21">
        <v>0</v>
      </c>
      <c r="N2071" s="21">
        <v>0.70637174003428005</v>
      </c>
      <c r="O2071" s="20">
        <f t="shared" si="128"/>
        <v>27266.760000000002</v>
      </c>
      <c r="P2071" s="20">
        <f t="shared" si="129"/>
        <v>19260.468706297106</v>
      </c>
      <c r="Q2071" s="20">
        <f t="shared" si="130"/>
        <v>8006.2912937028959</v>
      </c>
      <c r="R2071" s="22">
        <f t="shared" si="131"/>
        <v>0.29362825996572001</v>
      </c>
    </row>
    <row r="2072" spans="1:18">
      <c r="A2072" s="18">
        <v>3071</v>
      </c>
      <c r="B2072" s="19" t="s">
        <v>708</v>
      </c>
      <c r="C2072" s="18">
        <v>2025</v>
      </c>
      <c r="D2072" s="18" t="s">
        <v>57</v>
      </c>
      <c r="E2072" s="18" t="s">
        <v>88</v>
      </c>
      <c r="F2072" s="18" t="s">
        <v>110</v>
      </c>
      <c r="G2072" s="18" t="s">
        <v>44</v>
      </c>
      <c r="H2072" s="18" t="s">
        <v>114</v>
      </c>
      <c r="I2072" s="18" t="s">
        <v>56</v>
      </c>
      <c r="J2072" s="18" t="s">
        <v>82</v>
      </c>
      <c r="K2072" s="18">
        <v>9</v>
      </c>
      <c r="L2072" s="20">
        <v>8865.01</v>
      </c>
      <c r="M2072" s="21">
        <v>0</v>
      </c>
      <c r="N2072" s="21">
        <v>0.64390848636194498</v>
      </c>
      <c r="O2072" s="20">
        <f t="shared" si="128"/>
        <v>79785.09</v>
      </c>
      <c r="P2072" s="20">
        <f t="shared" si="129"/>
        <v>51374.296536151553</v>
      </c>
      <c r="Q2072" s="20">
        <f t="shared" si="130"/>
        <v>28410.793463848444</v>
      </c>
      <c r="R2072" s="22">
        <f t="shared" si="131"/>
        <v>0.35609151363805497</v>
      </c>
    </row>
    <row r="2073" spans="1:18">
      <c r="A2073" s="18">
        <v>3072</v>
      </c>
      <c r="B2073" s="19" t="s">
        <v>709</v>
      </c>
      <c r="C2073" s="18">
        <v>2025</v>
      </c>
      <c r="D2073" s="18" t="s">
        <v>57</v>
      </c>
      <c r="E2073" s="18" t="s">
        <v>79</v>
      </c>
      <c r="F2073" s="18" t="s">
        <v>80</v>
      </c>
      <c r="G2073" s="18" t="s">
        <v>50</v>
      </c>
      <c r="H2073" s="18" t="s">
        <v>83</v>
      </c>
      <c r="I2073" s="18" t="s">
        <v>60</v>
      </c>
      <c r="J2073" s="18" t="s">
        <v>82</v>
      </c>
      <c r="K2073" s="18">
        <v>7</v>
      </c>
      <c r="L2073" s="20">
        <v>3537.5</v>
      </c>
      <c r="M2073" s="21">
        <v>0</v>
      </c>
      <c r="N2073" s="21">
        <v>0.70289824829349901</v>
      </c>
      <c r="O2073" s="20">
        <f t="shared" si="128"/>
        <v>24762.5</v>
      </c>
      <c r="P2073" s="20">
        <f t="shared" si="129"/>
        <v>17405.517873367768</v>
      </c>
      <c r="Q2073" s="20">
        <f t="shared" si="130"/>
        <v>7356.9821266322324</v>
      </c>
      <c r="R2073" s="22">
        <f t="shared" si="131"/>
        <v>0.29710175170650105</v>
      </c>
    </row>
    <row r="2074" spans="1:18">
      <c r="A2074" s="18">
        <v>3073</v>
      </c>
      <c r="B2074" s="19" t="s">
        <v>709</v>
      </c>
      <c r="C2074" s="18">
        <v>2025</v>
      </c>
      <c r="D2074" s="18" t="s">
        <v>57</v>
      </c>
      <c r="E2074" s="18" t="s">
        <v>88</v>
      </c>
      <c r="F2074" s="18" t="s">
        <v>110</v>
      </c>
      <c r="G2074" s="18" t="s">
        <v>50</v>
      </c>
      <c r="H2074" s="18" t="s">
        <v>83</v>
      </c>
      <c r="I2074" s="18" t="s">
        <v>43</v>
      </c>
      <c r="J2074" s="18" t="s">
        <v>82</v>
      </c>
      <c r="K2074" s="18">
        <v>8</v>
      </c>
      <c r="L2074" s="20">
        <v>3368.64</v>
      </c>
      <c r="M2074" s="21">
        <v>0.1</v>
      </c>
      <c r="N2074" s="21">
        <v>0.56995533608529103</v>
      </c>
      <c r="O2074" s="20">
        <f t="shared" si="128"/>
        <v>24254.207999999999</v>
      </c>
      <c r="P2074" s="20">
        <f t="shared" si="129"/>
        <v>13823.815272122554</v>
      </c>
      <c r="Q2074" s="20">
        <f t="shared" si="130"/>
        <v>10430.392727877444</v>
      </c>
      <c r="R2074" s="22">
        <f t="shared" si="131"/>
        <v>0.43004466391470897</v>
      </c>
    </row>
    <row r="2075" spans="1:18">
      <c r="A2075" s="18">
        <v>3074</v>
      </c>
      <c r="B2075" s="19" t="s">
        <v>710</v>
      </c>
      <c r="C2075" s="18">
        <v>2025</v>
      </c>
      <c r="D2075" s="18" t="s">
        <v>57</v>
      </c>
      <c r="E2075" s="18" t="s">
        <v>88</v>
      </c>
      <c r="F2075" s="18" t="s">
        <v>93</v>
      </c>
      <c r="G2075" s="18" t="s">
        <v>41</v>
      </c>
      <c r="H2075" s="18" t="s">
        <v>112</v>
      </c>
      <c r="I2075" s="18" t="s">
        <v>56</v>
      </c>
      <c r="J2075" s="18" t="s">
        <v>102</v>
      </c>
      <c r="K2075" s="18">
        <v>5</v>
      </c>
      <c r="L2075" s="20">
        <v>6020.48</v>
      </c>
      <c r="M2075" s="21">
        <v>0.05</v>
      </c>
      <c r="N2075" s="21">
        <v>0.705870140198674</v>
      </c>
      <c r="O2075" s="20">
        <f t="shared" si="128"/>
        <v>28597.279999999995</v>
      </c>
      <c r="P2075" s="20">
        <f t="shared" si="129"/>
        <v>20185.966042900731</v>
      </c>
      <c r="Q2075" s="20">
        <f t="shared" si="130"/>
        <v>8411.3139570992644</v>
      </c>
      <c r="R2075" s="22">
        <f t="shared" si="131"/>
        <v>0.29412985980132605</v>
      </c>
    </row>
    <row r="2076" spans="1:18">
      <c r="A2076" s="18">
        <v>3075</v>
      </c>
      <c r="B2076" s="19" t="s">
        <v>710</v>
      </c>
      <c r="C2076" s="18">
        <v>2025</v>
      </c>
      <c r="D2076" s="18" t="s">
        <v>57</v>
      </c>
      <c r="E2076" s="18" t="s">
        <v>85</v>
      </c>
      <c r="F2076" s="18" t="s">
        <v>86</v>
      </c>
      <c r="G2076" s="18" t="s">
        <v>47</v>
      </c>
      <c r="H2076" s="18" t="s">
        <v>107</v>
      </c>
      <c r="I2076" s="18" t="s">
        <v>52</v>
      </c>
      <c r="J2076" s="18" t="s">
        <v>82</v>
      </c>
      <c r="K2076" s="18">
        <v>3</v>
      </c>
      <c r="L2076" s="20">
        <v>2136.16</v>
      </c>
      <c r="M2076" s="21">
        <v>0</v>
      </c>
      <c r="N2076" s="21">
        <v>0.74643045915790196</v>
      </c>
      <c r="O2076" s="20">
        <f t="shared" si="128"/>
        <v>6408.48</v>
      </c>
      <c r="P2076" s="20">
        <f t="shared" si="129"/>
        <v>4783.4846689042315</v>
      </c>
      <c r="Q2076" s="20">
        <f t="shared" si="130"/>
        <v>1624.9953310957681</v>
      </c>
      <c r="R2076" s="22">
        <f t="shared" si="131"/>
        <v>0.25356954084209798</v>
      </c>
    </row>
    <row r="2077" spans="1:18">
      <c r="A2077" s="18">
        <v>3076</v>
      </c>
      <c r="B2077" s="19" t="s">
        <v>710</v>
      </c>
      <c r="C2077" s="18">
        <v>2025</v>
      </c>
      <c r="D2077" s="18" t="s">
        <v>57</v>
      </c>
      <c r="E2077" s="18" t="s">
        <v>88</v>
      </c>
      <c r="F2077" s="18" t="s">
        <v>110</v>
      </c>
      <c r="G2077" s="18" t="s">
        <v>44</v>
      </c>
      <c r="H2077" s="18" t="s">
        <v>95</v>
      </c>
      <c r="I2077" s="18" t="s">
        <v>60</v>
      </c>
      <c r="J2077" s="18" t="s">
        <v>82</v>
      </c>
      <c r="K2077" s="18">
        <v>11</v>
      </c>
      <c r="L2077" s="20">
        <v>4322.76</v>
      </c>
      <c r="M2077" s="21">
        <v>0.15</v>
      </c>
      <c r="N2077" s="21">
        <v>0.60840738453530696</v>
      </c>
      <c r="O2077" s="20">
        <f t="shared" si="128"/>
        <v>40417.805999999997</v>
      </c>
      <c r="P2077" s="20">
        <f t="shared" si="129"/>
        <v>24590.491637115436</v>
      </c>
      <c r="Q2077" s="20">
        <f t="shared" si="130"/>
        <v>15827.314362884561</v>
      </c>
      <c r="R2077" s="22">
        <f t="shared" si="131"/>
        <v>0.39159261546469304</v>
      </c>
    </row>
    <row r="2078" spans="1:18">
      <c r="A2078" s="18">
        <v>3077</v>
      </c>
      <c r="B2078" s="19" t="s">
        <v>711</v>
      </c>
      <c r="C2078" s="18">
        <v>2025</v>
      </c>
      <c r="D2078" s="18" t="s">
        <v>57</v>
      </c>
      <c r="E2078" s="18" t="s">
        <v>98</v>
      </c>
      <c r="F2078" s="18" t="s">
        <v>99</v>
      </c>
      <c r="G2078" s="18" t="s">
        <v>44</v>
      </c>
      <c r="H2078" s="18" t="s">
        <v>95</v>
      </c>
      <c r="I2078" s="18" t="s">
        <v>46</v>
      </c>
      <c r="J2078" s="18" t="s">
        <v>82</v>
      </c>
      <c r="K2078" s="18">
        <v>12</v>
      </c>
      <c r="L2078" s="20">
        <v>4706.26</v>
      </c>
      <c r="M2078" s="21">
        <v>0.1</v>
      </c>
      <c r="N2078" s="21">
        <v>0.56143198218498702</v>
      </c>
      <c r="O2078" s="20">
        <f t="shared" si="128"/>
        <v>50827.608</v>
      </c>
      <c r="P2078" s="20">
        <f t="shared" si="129"/>
        <v>28536.244709161503</v>
      </c>
      <c r="Q2078" s="20">
        <f t="shared" si="130"/>
        <v>22291.363290838497</v>
      </c>
      <c r="R2078" s="22">
        <f t="shared" si="131"/>
        <v>0.43856801781501298</v>
      </c>
    </row>
    <row r="2079" spans="1:18">
      <c r="A2079" s="18">
        <v>3078</v>
      </c>
      <c r="B2079" s="19" t="s">
        <v>711</v>
      </c>
      <c r="C2079" s="18">
        <v>2025</v>
      </c>
      <c r="D2079" s="18" t="s">
        <v>57</v>
      </c>
      <c r="E2079" s="18" t="s">
        <v>88</v>
      </c>
      <c r="F2079" s="18" t="s">
        <v>93</v>
      </c>
      <c r="G2079" s="18" t="s">
        <v>47</v>
      </c>
      <c r="H2079" s="18" t="s">
        <v>81</v>
      </c>
      <c r="I2079" s="18" t="s">
        <v>54</v>
      </c>
      <c r="J2079" s="18" t="s">
        <v>102</v>
      </c>
      <c r="K2079" s="18">
        <v>1</v>
      </c>
      <c r="L2079" s="20">
        <v>832.02</v>
      </c>
      <c r="M2079" s="21">
        <v>0</v>
      </c>
      <c r="N2079" s="21">
        <v>0.71662322565479397</v>
      </c>
      <c r="O2079" s="20">
        <f t="shared" si="128"/>
        <v>832.02</v>
      </c>
      <c r="P2079" s="20">
        <f t="shared" si="129"/>
        <v>596.2448562093017</v>
      </c>
      <c r="Q2079" s="20">
        <f t="shared" si="130"/>
        <v>235.77514379069828</v>
      </c>
      <c r="R2079" s="22">
        <f t="shared" si="131"/>
        <v>0.28337677434520597</v>
      </c>
    </row>
    <row r="2080" spans="1:18">
      <c r="A2080" s="18">
        <v>3079</v>
      </c>
      <c r="B2080" s="19" t="s">
        <v>711</v>
      </c>
      <c r="C2080" s="18">
        <v>2025</v>
      </c>
      <c r="D2080" s="18" t="s">
        <v>57</v>
      </c>
      <c r="E2080" s="18" t="s">
        <v>85</v>
      </c>
      <c r="F2080" s="18" t="s">
        <v>86</v>
      </c>
      <c r="G2080" s="18" t="s">
        <v>41</v>
      </c>
      <c r="H2080" s="18" t="s">
        <v>90</v>
      </c>
      <c r="I2080" s="18" t="s">
        <v>60</v>
      </c>
      <c r="J2080" s="18" t="s">
        <v>82</v>
      </c>
      <c r="K2080" s="18">
        <v>5</v>
      </c>
      <c r="L2080" s="20">
        <v>17814.28</v>
      </c>
      <c r="M2080" s="21">
        <v>0.1</v>
      </c>
      <c r="N2080" s="21">
        <v>0.60515594199976497</v>
      </c>
      <c r="O2080" s="20">
        <f t="shared" si="128"/>
        <v>80164.259999999995</v>
      </c>
      <c r="P2080" s="20">
        <f t="shared" si="129"/>
        <v>48511.878275014074</v>
      </c>
      <c r="Q2080" s="20">
        <f t="shared" si="130"/>
        <v>31652.38172498592</v>
      </c>
      <c r="R2080" s="22">
        <f t="shared" si="131"/>
        <v>0.39484405800023503</v>
      </c>
    </row>
    <row r="2081" spans="1:18">
      <c r="A2081" s="18">
        <v>3080</v>
      </c>
      <c r="B2081" s="19" t="s">
        <v>712</v>
      </c>
      <c r="C2081" s="18">
        <v>2025</v>
      </c>
      <c r="D2081" s="18" t="s">
        <v>57</v>
      </c>
      <c r="E2081" s="18" t="s">
        <v>79</v>
      </c>
      <c r="F2081" s="18" t="s">
        <v>105</v>
      </c>
      <c r="G2081" s="18" t="s">
        <v>47</v>
      </c>
      <c r="H2081" s="18" t="s">
        <v>81</v>
      </c>
      <c r="I2081" s="18" t="s">
        <v>60</v>
      </c>
      <c r="J2081" s="18" t="s">
        <v>91</v>
      </c>
      <c r="K2081" s="18">
        <v>2</v>
      </c>
      <c r="L2081" s="20">
        <v>812.26</v>
      </c>
      <c r="M2081" s="21">
        <v>0.05</v>
      </c>
      <c r="N2081" s="21">
        <v>0.57969942988984602</v>
      </c>
      <c r="O2081" s="20">
        <f t="shared" si="128"/>
        <v>1543.2939999999999</v>
      </c>
      <c r="P2081" s="20">
        <f t="shared" si="129"/>
        <v>894.64665195241992</v>
      </c>
      <c r="Q2081" s="20">
        <f t="shared" si="130"/>
        <v>648.64734804757995</v>
      </c>
      <c r="R2081" s="22">
        <f t="shared" si="131"/>
        <v>0.42030057011015398</v>
      </c>
    </row>
    <row r="2082" spans="1:18">
      <c r="A2082" s="18">
        <v>3081</v>
      </c>
      <c r="B2082" s="19" t="s">
        <v>712</v>
      </c>
      <c r="C2082" s="18">
        <v>2025</v>
      </c>
      <c r="D2082" s="18" t="s">
        <v>57</v>
      </c>
      <c r="E2082" s="18" t="s">
        <v>79</v>
      </c>
      <c r="F2082" s="18" t="s">
        <v>100</v>
      </c>
      <c r="G2082" s="18" t="s">
        <v>50</v>
      </c>
      <c r="H2082" s="18" t="s">
        <v>83</v>
      </c>
      <c r="I2082" s="18" t="s">
        <v>56</v>
      </c>
      <c r="J2082" s="18" t="s">
        <v>102</v>
      </c>
      <c r="K2082" s="18">
        <v>1</v>
      </c>
      <c r="L2082" s="20">
        <v>3503.05</v>
      </c>
      <c r="M2082" s="21">
        <v>0.05</v>
      </c>
      <c r="N2082" s="21">
        <v>0.68279403954639495</v>
      </c>
      <c r="O2082" s="20">
        <f t="shared" si="128"/>
        <v>3327.8975</v>
      </c>
      <c r="P2082" s="20">
        <f t="shared" si="129"/>
        <v>2272.268577221349</v>
      </c>
      <c r="Q2082" s="20">
        <f t="shared" si="130"/>
        <v>1055.628922778651</v>
      </c>
      <c r="R2082" s="22">
        <f t="shared" si="131"/>
        <v>0.317205960453605</v>
      </c>
    </row>
    <row r="2083" spans="1:18">
      <c r="A2083" s="18">
        <v>3082</v>
      </c>
      <c r="B2083" s="19" t="s">
        <v>712</v>
      </c>
      <c r="C2083" s="18">
        <v>2025</v>
      </c>
      <c r="D2083" s="18" t="s">
        <v>57</v>
      </c>
      <c r="E2083" s="18" t="s">
        <v>88</v>
      </c>
      <c r="F2083" s="18" t="s">
        <v>93</v>
      </c>
      <c r="G2083" s="18" t="s">
        <v>50</v>
      </c>
      <c r="H2083" s="18" t="s">
        <v>87</v>
      </c>
      <c r="I2083" s="18" t="s">
        <v>54</v>
      </c>
      <c r="J2083" s="18" t="s">
        <v>91</v>
      </c>
      <c r="K2083" s="18">
        <v>2</v>
      </c>
      <c r="L2083" s="20">
        <v>9323.14</v>
      </c>
      <c r="M2083" s="21">
        <v>0.05</v>
      </c>
      <c r="N2083" s="21">
        <v>0.70815083157441605</v>
      </c>
      <c r="O2083" s="20">
        <f t="shared" si="128"/>
        <v>17713.965999999997</v>
      </c>
      <c r="P2083" s="20">
        <f t="shared" si="129"/>
        <v>12544.159753380931</v>
      </c>
      <c r="Q2083" s="20">
        <f t="shared" si="130"/>
        <v>5169.8062466190659</v>
      </c>
      <c r="R2083" s="22">
        <f t="shared" si="131"/>
        <v>0.29184916842558389</v>
      </c>
    </row>
    <row r="2084" spans="1:18">
      <c r="A2084" s="18">
        <v>3083</v>
      </c>
      <c r="B2084" s="19" t="s">
        <v>713</v>
      </c>
      <c r="C2084" s="18">
        <v>2025</v>
      </c>
      <c r="D2084" s="18" t="s">
        <v>57</v>
      </c>
      <c r="E2084" s="18" t="s">
        <v>98</v>
      </c>
      <c r="F2084" s="18" t="s">
        <v>109</v>
      </c>
      <c r="G2084" s="18" t="s">
        <v>47</v>
      </c>
      <c r="H2084" s="18" t="s">
        <v>103</v>
      </c>
      <c r="I2084" s="18" t="s">
        <v>43</v>
      </c>
      <c r="J2084" s="18" t="s">
        <v>82</v>
      </c>
      <c r="K2084" s="18">
        <v>11</v>
      </c>
      <c r="L2084" s="20">
        <v>3251.1</v>
      </c>
      <c r="M2084" s="21">
        <v>0.05</v>
      </c>
      <c r="N2084" s="21">
        <v>0.56729559068101498</v>
      </c>
      <c r="O2084" s="20">
        <f t="shared" si="128"/>
        <v>33973.994999999995</v>
      </c>
      <c r="P2084" s="20">
        <f t="shared" si="129"/>
        <v>19273.297561318846</v>
      </c>
      <c r="Q2084" s="20">
        <f t="shared" si="130"/>
        <v>14700.697438681149</v>
      </c>
      <c r="R2084" s="22">
        <f t="shared" si="131"/>
        <v>0.43270440931898502</v>
      </c>
    </row>
    <row r="2085" spans="1:18">
      <c r="A2085" s="18">
        <v>3084</v>
      </c>
      <c r="B2085" s="19" t="s">
        <v>713</v>
      </c>
      <c r="C2085" s="18">
        <v>2025</v>
      </c>
      <c r="D2085" s="18" t="s">
        <v>57</v>
      </c>
      <c r="E2085" s="18" t="s">
        <v>98</v>
      </c>
      <c r="F2085" s="18" t="s">
        <v>117</v>
      </c>
      <c r="G2085" s="18" t="s">
        <v>41</v>
      </c>
      <c r="H2085" s="18" t="s">
        <v>106</v>
      </c>
      <c r="I2085" s="18" t="s">
        <v>54</v>
      </c>
      <c r="J2085" s="18" t="s">
        <v>91</v>
      </c>
      <c r="K2085" s="18">
        <v>5</v>
      </c>
      <c r="L2085" s="20">
        <v>2379.23</v>
      </c>
      <c r="M2085" s="21">
        <v>0.2</v>
      </c>
      <c r="N2085" s="21">
        <v>0.56826479669843899</v>
      </c>
      <c r="O2085" s="20">
        <f t="shared" si="128"/>
        <v>9516.92</v>
      </c>
      <c r="P2085" s="20">
        <f t="shared" si="129"/>
        <v>5408.1306089953077</v>
      </c>
      <c r="Q2085" s="20">
        <f t="shared" si="130"/>
        <v>4108.7893910046923</v>
      </c>
      <c r="R2085" s="22">
        <f t="shared" si="131"/>
        <v>0.43173520330156107</v>
      </c>
    </row>
    <row r="2086" spans="1:18">
      <c r="A2086" s="18">
        <v>3085</v>
      </c>
      <c r="B2086" s="19" t="s">
        <v>714</v>
      </c>
      <c r="C2086" s="18">
        <v>2025</v>
      </c>
      <c r="D2086" s="18" t="s">
        <v>57</v>
      </c>
      <c r="E2086" s="18" t="s">
        <v>88</v>
      </c>
      <c r="F2086" s="18" t="s">
        <v>93</v>
      </c>
      <c r="G2086" s="18" t="s">
        <v>47</v>
      </c>
      <c r="H2086" s="18" t="s">
        <v>107</v>
      </c>
      <c r="I2086" s="18" t="s">
        <v>60</v>
      </c>
      <c r="J2086" s="18" t="s">
        <v>91</v>
      </c>
      <c r="K2086" s="18">
        <v>6</v>
      </c>
      <c r="L2086" s="20">
        <v>2267.0700000000002</v>
      </c>
      <c r="M2086" s="21">
        <v>0</v>
      </c>
      <c r="N2086" s="21">
        <v>0.64543207556520099</v>
      </c>
      <c r="O2086" s="20">
        <f t="shared" si="128"/>
        <v>13602.420000000002</v>
      </c>
      <c r="P2086" s="20">
        <f t="shared" si="129"/>
        <v>8779.4381733096034</v>
      </c>
      <c r="Q2086" s="20">
        <f t="shared" si="130"/>
        <v>4822.9818266903985</v>
      </c>
      <c r="R2086" s="22">
        <f t="shared" si="131"/>
        <v>0.35456792443479895</v>
      </c>
    </row>
    <row r="2087" spans="1:18">
      <c r="A2087" s="18">
        <v>3086</v>
      </c>
      <c r="B2087" s="19" t="s">
        <v>714</v>
      </c>
      <c r="C2087" s="18">
        <v>2025</v>
      </c>
      <c r="D2087" s="18" t="s">
        <v>57</v>
      </c>
      <c r="E2087" s="18" t="s">
        <v>79</v>
      </c>
      <c r="F2087" s="18" t="s">
        <v>100</v>
      </c>
      <c r="G2087" s="18" t="s">
        <v>41</v>
      </c>
      <c r="H2087" s="18" t="s">
        <v>106</v>
      </c>
      <c r="I2087" s="18" t="s">
        <v>46</v>
      </c>
      <c r="J2087" s="18" t="s">
        <v>91</v>
      </c>
      <c r="K2087" s="18">
        <v>3</v>
      </c>
      <c r="L2087" s="20">
        <v>2541.67</v>
      </c>
      <c r="M2087" s="21">
        <v>0</v>
      </c>
      <c r="N2087" s="21">
        <v>0.67454987148475198</v>
      </c>
      <c r="O2087" s="20">
        <f t="shared" si="128"/>
        <v>7625.01</v>
      </c>
      <c r="P2087" s="20">
        <f t="shared" si="129"/>
        <v>5143.4495155699487</v>
      </c>
      <c r="Q2087" s="20">
        <f t="shared" si="130"/>
        <v>2481.5604844300515</v>
      </c>
      <c r="R2087" s="22">
        <f t="shared" si="131"/>
        <v>0.32545012851524802</v>
      </c>
    </row>
    <row r="2088" spans="1:18">
      <c r="A2088" s="18">
        <v>3087</v>
      </c>
      <c r="B2088" s="19" t="s">
        <v>714</v>
      </c>
      <c r="C2088" s="18">
        <v>2025</v>
      </c>
      <c r="D2088" s="18" t="s">
        <v>57</v>
      </c>
      <c r="E2088" s="18" t="s">
        <v>85</v>
      </c>
      <c r="F2088" s="18" t="s">
        <v>86</v>
      </c>
      <c r="G2088" s="18" t="s">
        <v>44</v>
      </c>
      <c r="H2088" s="18" t="s">
        <v>95</v>
      </c>
      <c r="I2088" s="18" t="s">
        <v>43</v>
      </c>
      <c r="J2088" s="18" t="s">
        <v>82</v>
      </c>
      <c r="K2088" s="18">
        <v>5</v>
      </c>
      <c r="L2088" s="20">
        <v>4307.9799999999996</v>
      </c>
      <c r="M2088" s="21">
        <v>0</v>
      </c>
      <c r="N2088" s="21">
        <v>0.66431472486801602</v>
      </c>
      <c r="O2088" s="20">
        <f t="shared" si="128"/>
        <v>21539.899999999998</v>
      </c>
      <c r="P2088" s="20">
        <f t="shared" si="129"/>
        <v>14309.272742184578</v>
      </c>
      <c r="Q2088" s="20">
        <f t="shared" si="130"/>
        <v>7230.6272578154203</v>
      </c>
      <c r="R2088" s="22">
        <f t="shared" si="131"/>
        <v>0.33568527513198393</v>
      </c>
    </row>
    <row r="2089" spans="1:18">
      <c r="A2089" s="18">
        <v>3088</v>
      </c>
      <c r="B2089" s="19" t="s">
        <v>714</v>
      </c>
      <c r="C2089" s="18">
        <v>2025</v>
      </c>
      <c r="D2089" s="18" t="s">
        <v>57</v>
      </c>
      <c r="E2089" s="18" t="s">
        <v>85</v>
      </c>
      <c r="F2089" s="18" t="s">
        <v>94</v>
      </c>
      <c r="G2089" s="18" t="s">
        <v>50</v>
      </c>
      <c r="H2089" s="18" t="s">
        <v>97</v>
      </c>
      <c r="I2089" s="18" t="s">
        <v>60</v>
      </c>
      <c r="J2089" s="18" t="s">
        <v>102</v>
      </c>
      <c r="K2089" s="18">
        <v>11</v>
      </c>
      <c r="L2089" s="20">
        <v>11944.68</v>
      </c>
      <c r="M2089" s="21">
        <v>0</v>
      </c>
      <c r="N2089" s="21">
        <v>0.66327893876268096</v>
      </c>
      <c r="O2089" s="20">
        <f t="shared" si="128"/>
        <v>131391.48000000001</v>
      </c>
      <c r="P2089" s="20">
        <f t="shared" si="129"/>
        <v>87149.201416858021</v>
      </c>
      <c r="Q2089" s="20">
        <f t="shared" si="130"/>
        <v>44242.27858314199</v>
      </c>
      <c r="R2089" s="22">
        <f t="shared" si="131"/>
        <v>0.3367210612373191</v>
      </c>
    </row>
    <row r="2090" spans="1:18">
      <c r="A2090" s="18">
        <v>3089</v>
      </c>
      <c r="B2090" s="19" t="s">
        <v>714</v>
      </c>
      <c r="C2090" s="18">
        <v>2025</v>
      </c>
      <c r="D2090" s="18" t="s">
        <v>57</v>
      </c>
      <c r="E2090" s="18" t="s">
        <v>85</v>
      </c>
      <c r="F2090" s="18" t="s">
        <v>86</v>
      </c>
      <c r="G2090" s="18" t="s">
        <v>41</v>
      </c>
      <c r="H2090" s="18" t="s">
        <v>101</v>
      </c>
      <c r="I2090" s="18" t="s">
        <v>56</v>
      </c>
      <c r="J2090" s="18" t="s">
        <v>91</v>
      </c>
      <c r="K2090" s="18">
        <v>8</v>
      </c>
      <c r="L2090" s="20">
        <v>53522.28</v>
      </c>
      <c r="M2090" s="21">
        <v>0.15</v>
      </c>
      <c r="N2090" s="21">
        <v>0.74701799269093805</v>
      </c>
      <c r="O2090" s="20">
        <f t="shared" si="128"/>
        <v>363951.50399999996</v>
      </c>
      <c r="P2090" s="20">
        <f t="shared" si="129"/>
        <v>271878.32195492787</v>
      </c>
      <c r="Q2090" s="20">
        <f t="shared" si="130"/>
        <v>92073.182045072084</v>
      </c>
      <c r="R2090" s="22">
        <f t="shared" si="131"/>
        <v>0.25298200730906195</v>
      </c>
    </row>
    <row r="2091" spans="1:18">
      <c r="A2091" s="18">
        <v>3090</v>
      </c>
      <c r="B2091" s="19" t="s">
        <v>715</v>
      </c>
      <c r="C2091" s="18">
        <v>2025</v>
      </c>
      <c r="D2091" s="18" t="s">
        <v>57</v>
      </c>
      <c r="E2091" s="18" t="s">
        <v>88</v>
      </c>
      <c r="F2091" s="18" t="s">
        <v>89</v>
      </c>
      <c r="G2091" s="18" t="s">
        <v>50</v>
      </c>
      <c r="H2091" s="18" t="s">
        <v>87</v>
      </c>
      <c r="I2091" s="18" t="s">
        <v>40</v>
      </c>
      <c r="J2091" s="18" t="s">
        <v>91</v>
      </c>
      <c r="K2091" s="18">
        <v>6</v>
      </c>
      <c r="L2091" s="20">
        <v>9685.68</v>
      </c>
      <c r="M2091" s="21">
        <v>0.15</v>
      </c>
      <c r="N2091" s="21">
        <v>0.65695303175097297</v>
      </c>
      <c r="O2091" s="20">
        <f t="shared" si="128"/>
        <v>49396.968000000001</v>
      </c>
      <c r="P2091" s="20">
        <f t="shared" si="129"/>
        <v>32451.487886905797</v>
      </c>
      <c r="Q2091" s="20">
        <f t="shared" si="130"/>
        <v>16945.480113094203</v>
      </c>
      <c r="R2091" s="22">
        <f t="shared" si="131"/>
        <v>0.34304696824902703</v>
      </c>
    </row>
    <row r="2092" spans="1:18">
      <c r="A2092" s="18">
        <v>3091</v>
      </c>
      <c r="B2092" s="19" t="s">
        <v>715</v>
      </c>
      <c r="C2092" s="18">
        <v>2025</v>
      </c>
      <c r="D2092" s="18" t="s">
        <v>57</v>
      </c>
      <c r="E2092" s="18" t="s">
        <v>85</v>
      </c>
      <c r="F2092" s="18" t="s">
        <v>94</v>
      </c>
      <c r="G2092" s="18" t="s">
        <v>50</v>
      </c>
      <c r="H2092" s="18" t="s">
        <v>97</v>
      </c>
      <c r="I2092" s="18" t="s">
        <v>49</v>
      </c>
      <c r="J2092" s="18" t="s">
        <v>102</v>
      </c>
      <c r="K2092" s="18">
        <v>4</v>
      </c>
      <c r="L2092" s="20">
        <v>12528.85</v>
      </c>
      <c r="M2092" s="21">
        <v>0.2</v>
      </c>
      <c r="N2092" s="21">
        <v>0.66433316305295997</v>
      </c>
      <c r="O2092" s="20">
        <f t="shared" si="128"/>
        <v>40092.320000000007</v>
      </c>
      <c r="P2092" s="20">
        <f t="shared" si="129"/>
        <v>26634.657759731454</v>
      </c>
      <c r="Q2092" s="20">
        <f t="shared" si="130"/>
        <v>13457.662240268553</v>
      </c>
      <c r="R2092" s="22">
        <f t="shared" si="131"/>
        <v>0.33566683694704003</v>
      </c>
    </row>
    <row r="2093" spans="1:18">
      <c r="A2093" s="18">
        <v>3092</v>
      </c>
      <c r="B2093" s="19" t="s">
        <v>715</v>
      </c>
      <c r="C2093" s="18">
        <v>2025</v>
      </c>
      <c r="D2093" s="18" t="s">
        <v>57</v>
      </c>
      <c r="E2093" s="18" t="s">
        <v>98</v>
      </c>
      <c r="F2093" s="18" t="s">
        <v>117</v>
      </c>
      <c r="G2093" s="18" t="s">
        <v>41</v>
      </c>
      <c r="H2093" s="18" t="s">
        <v>90</v>
      </c>
      <c r="I2093" s="18" t="s">
        <v>56</v>
      </c>
      <c r="J2093" s="18" t="s">
        <v>91</v>
      </c>
      <c r="K2093" s="18">
        <v>5</v>
      </c>
      <c r="L2093" s="20">
        <v>17439.080000000002</v>
      </c>
      <c r="M2093" s="21">
        <v>0.15</v>
      </c>
      <c r="N2093" s="21">
        <v>0.68442269820732105</v>
      </c>
      <c r="O2093" s="20">
        <f t="shared" si="128"/>
        <v>74116.090000000011</v>
      </c>
      <c r="P2093" s="20">
        <f t="shared" si="129"/>
        <v>50726.73429837665</v>
      </c>
      <c r="Q2093" s="20">
        <f t="shared" si="130"/>
        <v>23389.355701623361</v>
      </c>
      <c r="R2093" s="22">
        <f t="shared" si="131"/>
        <v>0.31557730179267901</v>
      </c>
    </row>
    <row r="2094" spans="1:18">
      <c r="A2094" s="18">
        <v>3093</v>
      </c>
      <c r="B2094" s="19" t="s">
        <v>716</v>
      </c>
      <c r="C2094" s="18">
        <v>2025</v>
      </c>
      <c r="D2094" s="18" t="s">
        <v>57</v>
      </c>
      <c r="E2094" s="18" t="s">
        <v>88</v>
      </c>
      <c r="F2094" s="18" t="s">
        <v>110</v>
      </c>
      <c r="G2094" s="18" t="s">
        <v>41</v>
      </c>
      <c r="H2094" s="18" t="s">
        <v>101</v>
      </c>
      <c r="I2094" s="18" t="s">
        <v>40</v>
      </c>
      <c r="J2094" s="18" t="s">
        <v>82</v>
      </c>
      <c r="K2094" s="18">
        <v>2</v>
      </c>
      <c r="L2094" s="20">
        <v>55473.51</v>
      </c>
      <c r="M2094" s="21">
        <v>0.05</v>
      </c>
      <c r="N2094" s="21">
        <v>0.71843298081087903</v>
      </c>
      <c r="O2094" s="20">
        <f t="shared" si="128"/>
        <v>105399.66899999999</v>
      </c>
      <c r="P2094" s="20">
        <f t="shared" si="129"/>
        <v>75722.598376149996</v>
      </c>
      <c r="Q2094" s="20">
        <f t="shared" si="130"/>
        <v>29677.070623849999</v>
      </c>
      <c r="R2094" s="22">
        <f t="shared" si="131"/>
        <v>0.28156701918912097</v>
      </c>
    </row>
    <row r="2095" spans="1:18">
      <c r="A2095" s="18">
        <v>3094</v>
      </c>
      <c r="B2095" s="19" t="s">
        <v>716</v>
      </c>
      <c r="C2095" s="18">
        <v>2025</v>
      </c>
      <c r="D2095" s="18" t="s">
        <v>57</v>
      </c>
      <c r="E2095" s="18" t="s">
        <v>98</v>
      </c>
      <c r="F2095" s="18" t="s">
        <v>109</v>
      </c>
      <c r="G2095" s="18" t="s">
        <v>50</v>
      </c>
      <c r="H2095" s="18" t="s">
        <v>97</v>
      </c>
      <c r="I2095" s="18" t="s">
        <v>52</v>
      </c>
      <c r="J2095" s="18" t="s">
        <v>102</v>
      </c>
      <c r="K2095" s="18">
        <v>11</v>
      </c>
      <c r="L2095" s="20">
        <v>11947.31</v>
      </c>
      <c r="M2095" s="21">
        <v>0.05</v>
      </c>
      <c r="N2095" s="21">
        <v>0.64598758817745405</v>
      </c>
      <c r="O2095" s="20">
        <f t="shared" si="128"/>
        <v>124849.38949999999</v>
      </c>
      <c r="P2095" s="20">
        <f t="shared" si="129"/>
        <v>80651.156008532547</v>
      </c>
      <c r="Q2095" s="20">
        <f t="shared" si="130"/>
        <v>44198.233491467443</v>
      </c>
      <c r="R2095" s="22">
        <f t="shared" si="131"/>
        <v>0.35401241182254595</v>
      </c>
    </row>
    <row r="2096" spans="1:18">
      <c r="A2096" s="18">
        <v>3095</v>
      </c>
      <c r="B2096" s="19" t="s">
        <v>716</v>
      </c>
      <c r="C2096" s="18">
        <v>2025</v>
      </c>
      <c r="D2096" s="18" t="s">
        <v>57</v>
      </c>
      <c r="E2096" s="18" t="s">
        <v>79</v>
      </c>
      <c r="F2096" s="18" t="s">
        <v>100</v>
      </c>
      <c r="G2096" s="18" t="s">
        <v>44</v>
      </c>
      <c r="H2096" s="18" t="s">
        <v>114</v>
      </c>
      <c r="I2096" s="18" t="s">
        <v>60</v>
      </c>
      <c r="J2096" s="18" t="s">
        <v>91</v>
      </c>
      <c r="K2096" s="18">
        <v>7</v>
      </c>
      <c r="L2096" s="20">
        <v>8825.5499999999993</v>
      </c>
      <c r="M2096" s="21">
        <v>0.15</v>
      </c>
      <c r="N2096" s="21">
        <v>0.68307625615971601</v>
      </c>
      <c r="O2096" s="20">
        <f t="shared" si="128"/>
        <v>52512.022499999992</v>
      </c>
      <c r="P2096" s="20">
        <f t="shared" si="129"/>
        <v>35869.715732674762</v>
      </c>
      <c r="Q2096" s="20">
        <f t="shared" si="130"/>
        <v>16642.30676732523</v>
      </c>
      <c r="R2096" s="22">
        <f t="shared" si="131"/>
        <v>0.31692374384028404</v>
      </c>
    </row>
    <row r="2097" spans="1:18">
      <c r="A2097" s="18">
        <v>3096</v>
      </c>
      <c r="B2097" s="19" t="s">
        <v>716</v>
      </c>
      <c r="C2097" s="18">
        <v>2025</v>
      </c>
      <c r="D2097" s="18" t="s">
        <v>57</v>
      </c>
      <c r="E2097" s="18" t="s">
        <v>85</v>
      </c>
      <c r="F2097" s="18" t="s">
        <v>121</v>
      </c>
      <c r="G2097" s="18" t="s">
        <v>50</v>
      </c>
      <c r="H2097" s="18" t="s">
        <v>97</v>
      </c>
      <c r="I2097" s="18" t="s">
        <v>62</v>
      </c>
      <c r="J2097" s="18" t="s">
        <v>91</v>
      </c>
      <c r="K2097" s="18">
        <v>10</v>
      </c>
      <c r="L2097" s="20">
        <v>11940.17</v>
      </c>
      <c r="M2097" s="21">
        <v>0.05</v>
      </c>
      <c r="N2097" s="21">
        <v>0.726962703378493</v>
      </c>
      <c r="O2097" s="20">
        <f t="shared" si="128"/>
        <v>113431.61499999999</v>
      </c>
      <c r="P2097" s="20">
        <f t="shared" si="129"/>
        <v>82460.553488988415</v>
      </c>
      <c r="Q2097" s="20">
        <f t="shared" si="130"/>
        <v>30971.061511011576</v>
      </c>
      <c r="R2097" s="22">
        <f t="shared" si="131"/>
        <v>0.27303729662150694</v>
      </c>
    </row>
    <row r="2098" spans="1:18">
      <c r="A2098" s="18">
        <v>3097</v>
      </c>
      <c r="B2098" s="19" t="s">
        <v>717</v>
      </c>
      <c r="C2098" s="18">
        <v>2025</v>
      </c>
      <c r="D2098" s="18" t="s">
        <v>57</v>
      </c>
      <c r="E2098" s="18" t="s">
        <v>85</v>
      </c>
      <c r="F2098" s="18" t="s">
        <v>86</v>
      </c>
      <c r="G2098" s="18" t="s">
        <v>50</v>
      </c>
      <c r="H2098" s="18" t="s">
        <v>97</v>
      </c>
      <c r="I2098" s="18" t="s">
        <v>56</v>
      </c>
      <c r="J2098" s="18" t="s">
        <v>102</v>
      </c>
      <c r="K2098" s="18">
        <v>1</v>
      </c>
      <c r="L2098" s="20">
        <v>11708.32</v>
      </c>
      <c r="M2098" s="21">
        <v>0.05</v>
      </c>
      <c r="N2098" s="21">
        <v>0.55660524967767799</v>
      </c>
      <c r="O2098" s="20">
        <f t="shared" si="128"/>
        <v>11122.903999999999</v>
      </c>
      <c r="P2098" s="20">
        <f t="shared" si="129"/>
        <v>6191.0667580608424</v>
      </c>
      <c r="Q2098" s="20">
        <f t="shared" si="130"/>
        <v>4931.8372419391562</v>
      </c>
      <c r="R2098" s="22">
        <f t="shared" si="131"/>
        <v>0.44339475032232201</v>
      </c>
    </row>
    <row r="2099" spans="1:18">
      <c r="A2099" s="18">
        <v>3098</v>
      </c>
      <c r="B2099" s="19" t="s">
        <v>717</v>
      </c>
      <c r="C2099" s="18">
        <v>2025</v>
      </c>
      <c r="D2099" s="18" t="s">
        <v>57</v>
      </c>
      <c r="E2099" s="18" t="s">
        <v>85</v>
      </c>
      <c r="F2099" s="18" t="s">
        <v>86</v>
      </c>
      <c r="G2099" s="18" t="s">
        <v>47</v>
      </c>
      <c r="H2099" s="18" t="s">
        <v>107</v>
      </c>
      <c r="I2099" s="18" t="s">
        <v>49</v>
      </c>
      <c r="J2099" s="18" t="s">
        <v>91</v>
      </c>
      <c r="K2099" s="18">
        <v>4</v>
      </c>
      <c r="L2099" s="20">
        <v>2098.2800000000002</v>
      </c>
      <c r="M2099" s="21">
        <v>0.2</v>
      </c>
      <c r="N2099" s="21">
        <v>0.62722418602563701</v>
      </c>
      <c r="O2099" s="20">
        <f t="shared" si="128"/>
        <v>6714.496000000001</v>
      </c>
      <c r="P2099" s="20">
        <f t="shared" si="129"/>
        <v>4211.4942881723964</v>
      </c>
      <c r="Q2099" s="20">
        <f t="shared" si="130"/>
        <v>2503.0017118276046</v>
      </c>
      <c r="R2099" s="22">
        <f t="shared" si="131"/>
        <v>0.37277581397436299</v>
      </c>
    </row>
    <row r="2100" spans="1:18">
      <c r="A2100" s="18">
        <v>3099</v>
      </c>
      <c r="B2100" s="19" t="s">
        <v>718</v>
      </c>
      <c r="C2100" s="18">
        <v>2025</v>
      </c>
      <c r="D2100" s="18" t="s">
        <v>57</v>
      </c>
      <c r="E2100" s="18" t="s">
        <v>85</v>
      </c>
      <c r="F2100" s="18" t="s">
        <v>94</v>
      </c>
      <c r="G2100" s="18" t="s">
        <v>44</v>
      </c>
      <c r="H2100" s="18" t="s">
        <v>114</v>
      </c>
      <c r="I2100" s="18" t="s">
        <v>58</v>
      </c>
      <c r="J2100" s="18" t="s">
        <v>82</v>
      </c>
      <c r="K2100" s="18">
        <v>2</v>
      </c>
      <c r="L2100" s="20">
        <v>9344.4599999999991</v>
      </c>
      <c r="M2100" s="21">
        <v>0.15</v>
      </c>
      <c r="N2100" s="21">
        <v>0.68001477175666902</v>
      </c>
      <c r="O2100" s="20">
        <f t="shared" si="128"/>
        <v>15885.581999999999</v>
      </c>
      <c r="P2100" s="20">
        <f t="shared" si="129"/>
        <v>10802.430417951849</v>
      </c>
      <c r="Q2100" s="20">
        <f t="shared" si="130"/>
        <v>5083.1515820481491</v>
      </c>
      <c r="R2100" s="22">
        <f t="shared" si="131"/>
        <v>0.31998522824333092</v>
      </c>
    </row>
    <row r="2101" spans="1:18">
      <c r="A2101" s="18">
        <v>3100</v>
      </c>
      <c r="B2101" s="19" t="s">
        <v>718</v>
      </c>
      <c r="C2101" s="18">
        <v>2025</v>
      </c>
      <c r="D2101" s="18" t="s">
        <v>57</v>
      </c>
      <c r="E2101" s="18" t="s">
        <v>88</v>
      </c>
      <c r="F2101" s="18" t="s">
        <v>93</v>
      </c>
      <c r="G2101" s="18" t="s">
        <v>50</v>
      </c>
      <c r="H2101" s="18" t="s">
        <v>83</v>
      </c>
      <c r="I2101" s="18" t="s">
        <v>54</v>
      </c>
      <c r="J2101" s="18" t="s">
        <v>82</v>
      </c>
      <c r="K2101" s="18">
        <v>1</v>
      </c>
      <c r="L2101" s="20">
        <v>3568.15</v>
      </c>
      <c r="M2101" s="21">
        <v>0.15</v>
      </c>
      <c r="N2101" s="21">
        <v>0.64319032984825397</v>
      </c>
      <c r="O2101" s="20">
        <f t="shared" si="128"/>
        <v>3032.9274999999998</v>
      </c>
      <c r="P2101" s="20">
        <f t="shared" si="129"/>
        <v>1950.7496391308403</v>
      </c>
      <c r="Q2101" s="20">
        <f t="shared" si="130"/>
        <v>1082.1778608691595</v>
      </c>
      <c r="R2101" s="22">
        <f t="shared" si="131"/>
        <v>0.35680967015174597</v>
      </c>
    </row>
    <row r="2102" spans="1:18">
      <c r="A2102" s="18">
        <v>3101</v>
      </c>
      <c r="B2102" s="19" t="s">
        <v>718</v>
      </c>
      <c r="C2102" s="18">
        <v>2025</v>
      </c>
      <c r="D2102" s="18" t="s">
        <v>57</v>
      </c>
      <c r="E2102" s="18" t="s">
        <v>79</v>
      </c>
      <c r="F2102" s="18" t="s">
        <v>100</v>
      </c>
      <c r="G2102" s="18" t="s">
        <v>47</v>
      </c>
      <c r="H2102" s="18" t="s">
        <v>107</v>
      </c>
      <c r="I2102" s="18" t="s">
        <v>43</v>
      </c>
      <c r="J2102" s="18" t="s">
        <v>82</v>
      </c>
      <c r="K2102" s="18">
        <v>9</v>
      </c>
      <c r="L2102" s="20">
        <v>2125.44</v>
      </c>
      <c r="M2102" s="21">
        <v>0.1</v>
      </c>
      <c r="N2102" s="21">
        <v>0.68488422960992201</v>
      </c>
      <c r="O2102" s="20">
        <f t="shared" si="128"/>
        <v>17216.063999999998</v>
      </c>
      <c r="P2102" s="20">
        <f t="shared" si="129"/>
        <v>11791.010729555112</v>
      </c>
      <c r="Q2102" s="20">
        <f t="shared" si="130"/>
        <v>5425.0532704448869</v>
      </c>
      <c r="R2102" s="22">
        <f t="shared" si="131"/>
        <v>0.31511577039007799</v>
      </c>
    </row>
    <row r="2103" spans="1:18">
      <c r="A2103" s="18">
        <v>3102</v>
      </c>
      <c r="B2103" s="19" t="s">
        <v>718</v>
      </c>
      <c r="C2103" s="18">
        <v>2025</v>
      </c>
      <c r="D2103" s="18" t="s">
        <v>57</v>
      </c>
      <c r="E2103" s="18" t="s">
        <v>85</v>
      </c>
      <c r="F2103" s="18" t="s">
        <v>121</v>
      </c>
      <c r="G2103" s="18" t="s">
        <v>44</v>
      </c>
      <c r="H2103" s="18" t="s">
        <v>119</v>
      </c>
      <c r="I2103" s="18" t="s">
        <v>54</v>
      </c>
      <c r="J2103" s="18" t="s">
        <v>102</v>
      </c>
      <c r="K2103" s="18">
        <v>5</v>
      </c>
      <c r="L2103" s="20">
        <v>7291.32</v>
      </c>
      <c r="M2103" s="21">
        <v>0.15</v>
      </c>
      <c r="N2103" s="21">
        <v>0.719987785159932</v>
      </c>
      <c r="O2103" s="20">
        <f t="shared" si="128"/>
        <v>30988.109999999997</v>
      </c>
      <c r="P2103" s="20">
        <f t="shared" si="129"/>
        <v>22311.060685192337</v>
      </c>
      <c r="Q2103" s="20">
        <f t="shared" si="130"/>
        <v>8677.0493148076603</v>
      </c>
      <c r="R2103" s="22">
        <f t="shared" si="131"/>
        <v>0.28001221484006805</v>
      </c>
    </row>
    <row r="2104" spans="1:18">
      <c r="A2104" s="18">
        <v>3103</v>
      </c>
      <c r="B2104" s="19" t="s">
        <v>719</v>
      </c>
      <c r="C2104" s="18">
        <v>2025</v>
      </c>
      <c r="D2104" s="18" t="s">
        <v>59</v>
      </c>
      <c r="E2104" s="18" t="s">
        <v>85</v>
      </c>
      <c r="F2104" s="18" t="s">
        <v>121</v>
      </c>
      <c r="G2104" s="18" t="s">
        <v>47</v>
      </c>
      <c r="H2104" s="18" t="s">
        <v>107</v>
      </c>
      <c r="I2104" s="18" t="s">
        <v>56</v>
      </c>
      <c r="J2104" s="18" t="s">
        <v>82</v>
      </c>
      <c r="K2104" s="18">
        <v>5</v>
      </c>
      <c r="L2104" s="20">
        <v>2303.92</v>
      </c>
      <c r="M2104" s="21">
        <v>0.05</v>
      </c>
      <c r="N2104" s="21">
        <v>0.72493180021811499</v>
      </c>
      <c r="O2104" s="20">
        <f t="shared" si="128"/>
        <v>10943.619999999999</v>
      </c>
      <c r="P2104" s="20">
        <f t="shared" si="129"/>
        <v>7933.3781475029664</v>
      </c>
      <c r="Q2104" s="20">
        <f t="shared" si="130"/>
        <v>3010.2418524970326</v>
      </c>
      <c r="R2104" s="22">
        <f t="shared" si="131"/>
        <v>0.27506819978188507</v>
      </c>
    </row>
    <row r="2105" spans="1:18">
      <c r="A2105" s="18">
        <v>3104</v>
      </c>
      <c r="B2105" s="19" t="s">
        <v>719</v>
      </c>
      <c r="C2105" s="18">
        <v>2025</v>
      </c>
      <c r="D2105" s="18" t="s">
        <v>59</v>
      </c>
      <c r="E2105" s="18" t="s">
        <v>98</v>
      </c>
      <c r="F2105" s="18" t="s">
        <v>99</v>
      </c>
      <c r="G2105" s="18" t="s">
        <v>44</v>
      </c>
      <c r="H2105" s="18" t="s">
        <v>114</v>
      </c>
      <c r="I2105" s="18" t="s">
        <v>52</v>
      </c>
      <c r="J2105" s="18" t="s">
        <v>82</v>
      </c>
      <c r="K2105" s="18">
        <v>5</v>
      </c>
      <c r="L2105" s="20">
        <v>9100.7900000000009</v>
      </c>
      <c r="M2105" s="21">
        <v>0.1</v>
      </c>
      <c r="N2105" s="21">
        <v>0.66387709517479399</v>
      </c>
      <c r="O2105" s="20">
        <f t="shared" si="128"/>
        <v>40953.555000000008</v>
      </c>
      <c r="P2105" s="20">
        <f t="shared" si="129"/>
        <v>27188.127130481163</v>
      </c>
      <c r="Q2105" s="20">
        <f t="shared" si="130"/>
        <v>13765.427869518844</v>
      </c>
      <c r="R2105" s="22">
        <f t="shared" si="131"/>
        <v>0.33612290482520607</v>
      </c>
    </row>
    <row r="2106" spans="1:18">
      <c r="A2106" s="18">
        <v>3105</v>
      </c>
      <c r="B2106" s="19" t="s">
        <v>719</v>
      </c>
      <c r="C2106" s="18">
        <v>2025</v>
      </c>
      <c r="D2106" s="18" t="s">
        <v>59</v>
      </c>
      <c r="E2106" s="18" t="s">
        <v>88</v>
      </c>
      <c r="F2106" s="18" t="s">
        <v>93</v>
      </c>
      <c r="G2106" s="18" t="s">
        <v>44</v>
      </c>
      <c r="H2106" s="18" t="s">
        <v>95</v>
      </c>
      <c r="I2106" s="18" t="s">
        <v>52</v>
      </c>
      <c r="J2106" s="18" t="s">
        <v>91</v>
      </c>
      <c r="K2106" s="18">
        <v>10</v>
      </c>
      <c r="L2106" s="20">
        <v>4477.8999999999996</v>
      </c>
      <c r="M2106" s="21">
        <v>0</v>
      </c>
      <c r="N2106" s="21">
        <v>0.66498398316043295</v>
      </c>
      <c r="O2106" s="20">
        <f t="shared" si="128"/>
        <v>44779</v>
      </c>
      <c r="P2106" s="20">
        <f t="shared" si="129"/>
        <v>29777.317781941027</v>
      </c>
      <c r="Q2106" s="20">
        <f t="shared" si="130"/>
        <v>15001.682218058973</v>
      </c>
      <c r="R2106" s="22">
        <f t="shared" si="131"/>
        <v>0.33501601683956705</v>
      </c>
    </row>
    <row r="2107" spans="1:18">
      <c r="A2107" s="18">
        <v>3106</v>
      </c>
      <c r="B2107" s="19" t="s">
        <v>719</v>
      </c>
      <c r="C2107" s="18">
        <v>2025</v>
      </c>
      <c r="D2107" s="18" t="s">
        <v>59</v>
      </c>
      <c r="E2107" s="18" t="s">
        <v>98</v>
      </c>
      <c r="F2107" s="18" t="s">
        <v>109</v>
      </c>
      <c r="G2107" s="18" t="s">
        <v>47</v>
      </c>
      <c r="H2107" s="18" t="s">
        <v>81</v>
      </c>
      <c r="I2107" s="18" t="s">
        <v>60</v>
      </c>
      <c r="J2107" s="18" t="s">
        <v>102</v>
      </c>
      <c r="K2107" s="18">
        <v>11</v>
      </c>
      <c r="L2107" s="20">
        <v>815.97</v>
      </c>
      <c r="M2107" s="21">
        <v>0</v>
      </c>
      <c r="N2107" s="21">
        <v>0.57922082874853698</v>
      </c>
      <c r="O2107" s="20">
        <f t="shared" si="128"/>
        <v>8975.67</v>
      </c>
      <c r="P2107" s="20">
        <f t="shared" si="129"/>
        <v>5198.8950159733813</v>
      </c>
      <c r="Q2107" s="20">
        <f t="shared" si="130"/>
        <v>3776.7749840266188</v>
      </c>
      <c r="R2107" s="22">
        <f t="shared" si="131"/>
        <v>0.42077917125146297</v>
      </c>
    </row>
    <row r="2108" spans="1:18">
      <c r="A2108" s="18">
        <v>3107</v>
      </c>
      <c r="B2108" s="19" t="s">
        <v>720</v>
      </c>
      <c r="C2108" s="18">
        <v>2025</v>
      </c>
      <c r="D2108" s="18" t="s">
        <v>59</v>
      </c>
      <c r="E2108" s="18" t="s">
        <v>98</v>
      </c>
      <c r="F2108" s="18" t="s">
        <v>99</v>
      </c>
      <c r="G2108" s="18" t="s">
        <v>50</v>
      </c>
      <c r="H2108" s="18" t="s">
        <v>83</v>
      </c>
      <c r="I2108" s="18" t="s">
        <v>62</v>
      </c>
      <c r="J2108" s="18" t="s">
        <v>102</v>
      </c>
      <c r="K2108" s="18">
        <v>8</v>
      </c>
      <c r="L2108" s="20">
        <v>3578.24</v>
      </c>
      <c r="M2108" s="21">
        <v>0</v>
      </c>
      <c r="N2108" s="21">
        <v>0.74766543444338396</v>
      </c>
      <c r="O2108" s="20">
        <f t="shared" si="128"/>
        <v>28625.919999999998</v>
      </c>
      <c r="P2108" s="20">
        <f t="shared" si="129"/>
        <v>21402.610913141554</v>
      </c>
      <c r="Q2108" s="20">
        <f t="shared" si="130"/>
        <v>7223.3090868584441</v>
      </c>
      <c r="R2108" s="22">
        <f t="shared" si="131"/>
        <v>0.25233456555661599</v>
      </c>
    </row>
    <row r="2109" spans="1:18">
      <c r="A2109" s="18">
        <v>3108</v>
      </c>
      <c r="B2109" s="19" t="s">
        <v>720</v>
      </c>
      <c r="C2109" s="18">
        <v>2025</v>
      </c>
      <c r="D2109" s="18" t="s">
        <v>59</v>
      </c>
      <c r="E2109" s="18" t="s">
        <v>98</v>
      </c>
      <c r="F2109" s="18" t="s">
        <v>117</v>
      </c>
      <c r="G2109" s="18" t="s">
        <v>44</v>
      </c>
      <c r="H2109" s="18" t="s">
        <v>119</v>
      </c>
      <c r="I2109" s="18" t="s">
        <v>43</v>
      </c>
      <c r="J2109" s="18" t="s">
        <v>82</v>
      </c>
      <c r="K2109" s="18">
        <v>10</v>
      </c>
      <c r="L2109" s="20">
        <v>6961.88</v>
      </c>
      <c r="M2109" s="21">
        <v>0</v>
      </c>
      <c r="N2109" s="21">
        <v>0.68825438942512396</v>
      </c>
      <c r="O2109" s="20">
        <f t="shared" si="128"/>
        <v>69618.8</v>
      </c>
      <c r="P2109" s="20">
        <f t="shared" si="129"/>
        <v>47915.444686509822</v>
      </c>
      <c r="Q2109" s="20">
        <f t="shared" si="130"/>
        <v>21703.355313490181</v>
      </c>
      <c r="R2109" s="22">
        <f t="shared" si="131"/>
        <v>0.31174561057487604</v>
      </c>
    </row>
    <row r="2110" spans="1:18">
      <c r="A2110" s="18">
        <v>3109</v>
      </c>
      <c r="B2110" s="19" t="s">
        <v>721</v>
      </c>
      <c r="C2110" s="18">
        <v>2025</v>
      </c>
      <c r="D2110" s="18" t="s">
        <v>59</v>
      </c>
      <c r="E2110" s="18" t="s">
        <v>85</v>
      </c>
      <c r="F2110" s="18" t="s">
        <v>86</v>
      </c>
      <c r="G2110" s="18" t="s">
        <v>50</v>
      </c>
      <c r="H2110" s="18" t="s">
        <v>97</v>
      </c>
      <c r="I2110" s="18" t="s">
        <v>52</v>
      </c>
      <c r="J2110" s="18" t="s">
        <v>102</v>
      </c>
      <c r="K2110" s="18">
        <v>6</v>
      </c>
      <c r="L2110" s="20">
        <v>11631.26</v>
      </c>
      <c r="M2110" s="21">
        <v>0.2</v>
      </c>
      <c r="N2110" s="21">
        <v>0.691951074874951</v>
      </c>
      <c r="O2110" s="20">
        <f t="shared" si="128"/>
        <v>55830.048000000003</v>
      </c>
      <c r="P2110" s="20">
        <f t="shared" si="129"/>
        <v>38631.661723920108</v>
      </c>
      <c r="Q2110" s="20">
        <f t="shared" si="130"/>
        <v>17198.386276079895</v>
      </c>
      <c r="R2110" s="22">
        <f t="shared" si="131"/>
        <v>0.30804892512504906</v>
      </c>
    </row>
    <row r="2111" spans="1:18">
      <c r="A2111" s="18">
        <v>3110</v>
      </c>
      <c r="B2111" s="19" t="s">
        <v>721</v>
      </c>
      <c r="C2111" s="18">
        <v>2025</v>
      </c>
      <c r="D2111" s="18" t="s">
        <v>59</v>
      </c>
      <c r="E2111" s="18" t="s">
        <v>85</v>
      </c>
      <c r="F2111" s="18" t="s">
        <v>121</v>
      </c>
      <c r="G2111" s="18" t="s">
        <v>47</v>
      </c>
      <c r="H2111" s="18" t="s">
        <v>107</v>
      </c>
      <c r="I2111" s="18" t="s">
        <v>62</v>
      </c>
      <c r="J2111" s="18" t="s">
        <v>82</v>
      </c>
      <c r="K2111" s="18">
        <v>3</v>
      </c>
      <c r="L2111" s="20">
        <v>2098.1999999999998</v>
      </c>
      <c r="M2111" s="21">
        <v>0</v>
      </c>
      <c r="N2111" s="21">
        <v>0.55858214691545305</v>
      </c>
      <c r="O2111" s="20">
        <f t="shared" si="128"/>
        <v>6294.5999999999995</v>
      </c>
      <c r="P2111" s="20">
        <f t="shared" si="129"/>
        <v>3516.0511819740104</v>
      </c>
      <c r="Q2111" s="20">
        <f t="shared" si="130"/>
        <v>2778.548818025989</v>
      </c>
      <c r="R2111" s="22">
        <f t="shared" si="131"/>
        <v>0.44141785308454695</v>
      </c>
    </row>
    <row r="2112" spans="1:18">
      <c r="A2112" s="18">
        <v>3111</v>
      </c>
      <c r="B2112" s="19" t="s">
        <v>722</v>
      </c>
      <c r="C2112" s="18">
        <v>2025</v>
      </c>
      <c r="D2112" s="18" t="s">
        <v>59</v>
      </c>
      <c r="E2112" s="18" t="s">
        <v>85</v>
      </c>
      <c r="F2112" s="18" t="s">
        <v>121</v>
      </c>
      <c r="G2112" s="18" t="s">
        <v>50</v>
      </c>
      <c r="H2112" s="18" t="s">
        <v>83</v>
      </c>
      <c r="I2112" s="18" t="s">
        <v>46</v>
      </c>
      <c r="J2112" s="18" t="s">
        <v>102</v>
      </c>
      <c r="K2112" s="18">
        <v>10</v>
      </c>
      <c r="L2112" s="20">
        <v>3403.21</v>
      </c>
      <c r="M2112" s="21">
        <v>0</v>
      </c>
      <c r="N2112" s="21">
        <v>0.71459210221079905</v>
      </c>
      <c r="O2112" s="20">
        <f t="shared" si="128"/>
        <v>34032.1</v>
      </c>
      <c r="P2112" s="20">
        <f t="shared" si="129"/>
        <v>24319.069881648134</v>
      </c>
      <c r="Q2112" s="20">
        <f t="shared" si="130"/>
        <v>9713.0301183518641</v>
      </c>
      <c r="R2112" s="22">
        <f t="shared" si="131"/>
        <v>0.28540789778920089</v>
      </c>
    </row>
    <row r="2113" spans="1:18">
      <c r="A2113" s="18">
        <v>3112</v>
      </c>
      <c r="B2113" s="19" t="s">
        <v>722</v>
      </c>
      <c r="C2113" s="18">
        <v>2025</v>
      </c>
      <c r="D2113" s="18" t="s">
        <v>59</v>
      </c>
      <c r="E2113" s="18" t="s">
        <v>88</v>
      </c>
      <c r="F2113" s="18" t="s">
        <v>93</v>
      </c>
      <c r="G2113" s="18" t="s">
        <v>47</v>
      </c>
      <c r="H2113" s="18" t="s">
        <v>81</v>
      </c>
      <c r="I2113" s="18" t="s">
        <v>46</v>
      </c>
      <c r="J2113" s="18" t="s">
        <v>82</v>
      </c>
      <c r="K2113" s="18">
        <v>4</v>
      </c>
      <c r="L2113" s="20">
        <v>818.71</v>
      </c>
      <c r="M2113" s="21">
        <v>0.1</v>
      </c>
      <c r="N2113" s="21">
        <v>0.61666369119058795</v>
      </c>
      <c r="O2113" s="20">
        <f t="shared" si="128"/>
        <v>2947.3560000000002</v>
      </c>
      <c r="P2113" s="20">
        <f t="shared" si="129"/>
        <v>1817.5274302127266</v>
      </c>
      <c r="Q2113" s="20">
        <f t="shared" si="130"/>
        <v>1129.8285697872736</v>
      </c>
      <c r="R2113" s="22">
        <f t="shared" si="131"/>
        <v>0.38333630880941211</v>
      </c>
    </row>
    <row r="2114" spans="1:18">
      <c r="A2114" s="18">
        <v>3113</v>
      </c>
      <c r="B2114" s="19" t="s">
        <v>722</v>
      </c>
      <c r="C2114" s="18">
        <v>2025</v>
      </c>
      <c r="D2114" s="18" t="s">
        <v>59</v>
      </c>
      <c r="E2114" s="18" t="s">
        <v>85</v>
      </c>
      <c r="F2114" s="18" t="s">
        <v>121</v>
      </c>
      <c r="G2114" s="18" t="s">
        <v>50</v>
      </c>
      <c r="H2114" s="18" t="s">
        <v>83</v>
      </c>
      <c r="I2114" s="18" t="s">
        <v>54</v>
      </c>
      <c r="J2114" s="18" t="s">
        <v>102</v>
      </c>
      <c r="K2114" s="18">
        <v>6</v>
      </c>
      <c r="L2114" s="20">
        <v>3544.8</v>
      </c>
      <c r="M2114" s="21">
        <v>0.1</v>
      </c>
      <c r="N2114" s="21">
        <v>0.74276847243654298</v>
      </c>
      <c r="O2114" s="20">
        <f t="shared" ref="O2114:O2177" si="132">K2114*L2114*(1-M2114)</f>
        <v>19141.920000000002</v>
      </c>
      <c r="P2114" s="20">
        <f t="shared" ref="P2114:P2177" si="133">O2114*N2114</f>
        <v>14218.014677902513</v>
      </c>
      <c r="Q2114" s="20">
        <f t="shared" ref="Q2114:Q2177" si="134">O2114-P2114</f>
        <v>4923.9053220974893</v>
      </c>
      <c r="R2114" s="22">
        <f t="shared" ref="R2114:R2177" si="135">IF(O2114=0,0,Q2114/O2114)</f>
        <v>0.25723152756345702</v>
      </c>
    </row>
    <row r="2115" spans="1:18">
      <c r="A2115" s="18">
        <v>3114</v>
      </c>
      <c r="B2115" s="19" t="s">
        <v>722</v>
      </c>
      <c r="C2115" s="18">
        <v>2025</v>
      </c>
      <c r="D2115" s="18" t="s">
        <v>59</v>
      </c>
      <c r="E2115" s="18" t="s">
        <v>85</v>
      </c>
      <c r="F2115" s="18" t="s">
        <v>86</v>
      </c>
      <c r="G2115" s="18" t="s">
        <v>44</v>
      </c>
      <c r="H2115" s="18" t="s">
        <v>119</v>
      </c>
      <c r="I2115" s="18" t="s">
        <v>52</v>
      </c>
      <c r="J2115" s="18" t="s">
        <v>102</v>
      </c>
      <c r="K2115" s="18">
        <v>6</v>
      </c>
      <c r="L2115" s="20">
        <v>7036.79</v>
      </c>
      <c r="M2115" s="21">
        <v>0</v>
      </c>
      <c r="N2115" s="21">
        <v>0.60187498136723505</v>
      </c>
      <c r="O2115" s="20">
        <f t="shared" si="132"/>
        <v>42220.74</v>
      </c>
      <c r="P2115" s="20">
        <f t="shared" si="133"/>
        <v>25411.607100810874</v>
      </c>
      <c r="Q2115" s="20">
        <f t="shared" si="134"/>
        <v>16809.132899189124</v>
      </c>
      <c r="R2115" s="22">
        <f t="shared" si="135"/>
        <v>0.39812501863276495</v>
      </c>
    </row>
    <row r="2116" spans="1:18">
      <c r="A2116" s="18">
        <v>3115</v>
      </c>
      <c r="B2116" s="19" t="s">
        <v>723</v>
      </c>
      <c r="C2116" s="18">
        <v>2025</v>
      </c>
      <c r="D2116" s="18" t="s">
        <v>59</v>
      </c>
      <c r="E2116" s="18" t="s">
        <v>85</v>
      </c>
      <c r="F2116" s="18" t="s">
        <v>121</v>
      </c>
      <c r="G2116" s="18" t="s">
        <v>44</v>
      </c>
      <c r="H2116" s="18" t="s">
        <v>119</v>
      </c>
      <c r="I2116" s="18" t="s">
        <v>43</v>
      </c>
      <c r="J2116" s="18" t="s">
        <v>82</v>
      </c>
      <c r="K2116" s="18">
        <v>9</v>
      </c>
      <c r="L2116" s="20">
        <v>7035.51</v>
      </c>
      <c r="M2116" s="21">
        <v>0</v>
      </c>
      <c r="N2116" s="21">
        <v>0.72700360149845999</v>
      </c>
      <c r="O2116" s="20">
        <f t="shared" si="132"/>
        <v>63319.590000000004</v>
      </c>
      <c r="P2116" s="20">
        <f t="shared" si="133"/>
        <v>46033.569975405873</v>
      </c>
      <c r="Q2116" s="20">
        <f t="shared" si="134"/>
        <v>17286.020024594131</v>
      </c>
      <c r="R2116" s="22">
        <f t="shared" si="135"/>
        <v>0.27299639850154006</v>
      </c>
    </row>
    <row r="2117" spans="1:18">
      <c r="A2117" s="18">
        <v>3116</v>
      </c>
      <c r="B2117" s="19" t="s">
        <v>723</v>
      </c>
      <c r="C2117" s="18">
        <v>2025</v>
      </c>
      <c r="D2117" s="18" t="s">
        <v>59</v>
      </c>
      <c r="E2117" s="18" t="s">
        <v>98</v>
      </c>
      <c r="F2117" s="18" t="s">
        <v>117</v>
      </c>
      <c r="G2117" s="18" t="s">
        <v>44</v>
      </c>
      <c r="H2117" s="18" t="s">
        <v>114</v>
      </c>
      <c r="I2117" s="18" t="s">
        <v>46</v>
      </c>
      <c r="J2117" s="18" t="s">
        <v>102</v>
      </c>
      <c r="K2117" s="18">
        <v>12</v>
      </c>
      <c r="L2117" s="20">
        <v>8672.16</v>
      </c>
      <c r="M2117" s="21">
        <v>0</v>
      </c>
      <c r="N2117" s="21">
        <v>0.58898056046668801</v>
      </c>
      <c r="O2117" s="20">
        <f t="shared" si="132"/>
        <v>104065.92</v>
      </c>
      <c r="P2117" s="20">
        <f t="shared" si="133"/>
        <v>61292.803887081514</v>
      </c>
      <c r="Q2117" s="20">
        <f t="shared" si="134"/>
        <v>42773.116112918484</v>
      </c>
      <c r="R2117" s="22">
        <f t="shared" si="135"/>
        <v>0.41101943953331199</v>
      </c>
    </row>
    <row r="2118" spans="1:18">
      <c r="A2118" s="18">
        <v>3117</v>
      </c>
      <c r="B2118" s="19" t="s">
        <v>723</v>
      </c>
      <c r="C2118" s="18">
        <v>2025</v>
      </c>
      <c r="D2118" s="18" t="s">
        <v>59</v>
      </c>
      <c r="E2118" s="18" t="s">
        <v>85</v>
      </c>
      <c r="F2118" s="18" t="s">
        <v>121</v>
      </c>
      <c r="G2118" s="18" t="s">
        <v>44</v>
      </c>
      <c r="H2118" s="18" t="s">
        <v>114</v>
      </c>
      <c r="I2118" s="18" t="s">
        <v>56</v>
      </c>
      <c r="J2118" s="18" t="s">
        <v>82</v>
      </c>
      <c r="K2118" s="18">
        <v>11</v>
      </c>
      <c r="L2118" s="20">
        <v>8647</v>
      </c>
      <c r="M2118" s="21">
        <v>0.05</v>
      </c>
      <c r="N2118" s="21">
        <v>0.59639813998831204</v>
      </c>
      <c r="O2118" s="20">
        <f t="shared" si="132"/>
        <v>90361.15</v>
      </c>
      <c r="P2118" s="20">
        <f t="shared" si="133"/>
        <v>53891.221787204857</v>
      </c>
      <c r="Q2118" s="20">
        <f t="shared" si="134"/>
        <v>36469.928212795137</v>
      </c>
      <c r="R2118" s="22">
        <f t="shared" si="135"/>
        <v>0.40360186001168796</v>
      </c>
    </row>
    <row r="2119" spans="1:18">
      <c r="A2119" s="18">
        <v>3118</v>
      </c>
      <c r="B2119" s="19" t="s">
        <v>723</v>
      </c>
      <c r="C2119" s="18">
        <v>2025</v>
      </c>
      <c r="D2119" s="18" t="s">
        <v>59</v>
      </c>
      <c r="E2119" s="18" t="s">
        <v>85</v>
      </c>
      <c r="F2119" s="18" t="s">
        <v>94</v>
      </c>
      <c r="G2119" s="18" t="s">
        <v>50</v>
      </c>
      <c r="H2119" s="18" t="s">
        <v>87</v>
      </c>
      <c r="I2119" s="18" t="s">
        <v>56</v>
      </c>
      <c r="J2119" s="18" t="s">
        <v>102</v>
      </c>
      <c r="K2119" s="18">
        <v>1</v>
      </c>
      <c r="L2119" s="20">
        <v>9056.0400000000009</v>
      </c>
      <c r="M2119" s="21">
        <v>0.2</v>
      </c>
      <c r="N2119" s="21">
        <v>0.61275851385407998</v>
      </c>
      <c r="O2119" s="20">
        <f t="shared" si="132"/>
        <v>7244.8320000000012</v>
      </c>
      <c r="P2119" s="20">
        <f t="shared" si="133"/>
        <v>4439.3324894424832</v>
      </c>
      <c r="Q2119" s="20">
        <f t="shared" si="134"/>
        <v>2805.4995105575181</v>
      </c>
      <c r="R2119" s="22">
        <f t="shared" si="135"/>
        <v>0.38724148614591997</v>
      </c>
    </row>
    <row r="2120" spans="1:18">
      <c r="A2120" s="18">
        <v>3119</v>
      </c>
      <c r="B2120" s="19" t="s">
        <v>724</v>
      </c>
      <c r="C2120" s="18">
        <v>2025</v>
      </c>
      <c r="D2120" s="18" t="s">
        <v>59</v>
      </c>
      <c r="E2120" s="18" t="s">
        <v>98</v>
      </c>
      <c r="F2120" s="18" t="s">
        <v>109</v>
      </c>
      <c r="G2120" s="18" t="s">
        <v>41</v>
      </c>
      <c r="H2120" s="18" t="s">
        <v>101</v>
      </c>
      <c r="I2120" s="18" t="s">
        <v>43</v>
      </c>
      <c r="J2120" s="18" t="s">
        <v>102</v>
      </c>
      <c r="K2120" s="18">
        <v>11</v>
      </c>
      <c r="L2120" s="20">
        <v>57597.53</v>
      </c>
      <c r="M2120" s="21">
        <v>0.1</v>
      </c>
      <c r="N2120" s="21">
        <v>0.72785371435589596</v>
      </c>
      <c r="O2120" s="20">
        <f t="shared" si="132"/>
        <v>570215.54700000002</v>
      </c>
      <c r="P2120" s="20">
        <f t="shared" si="133"/>
        <v>415033.50386742898</v>
      </c>
      <c r="Q2120" s="20">
        <f t="shared" si="134"/>
        <v>155182.04313257104</v>
      </c>
      <c r="R2120" s="22">
        <f t="shared" si="135"/>
        <v>0.27214628564410404</v>
      </c>
    </row>
    <row r="2121" spans="1:18">
      <c r="A2121" s="18">
        <v>3120</v>
      </c>
      <c r="B2121" s="19" t="s">
        <v>724</v>
      </c>
      <c r="C2121" s="18">
        <v>2025</v>
      </c>
      <c r="D2121" s="18" t="s">
        <v>59</v>
      </c>
      <c r="E2121" s="18" t="s">
        <v>79</v>
      </c>
      <c r="F2121" s="18" t="s">
        <v>105</v>
      </c>
      <c r="G2121" s="18" t="s">
        <v>47</v>
      </c>
      <c r="H2121" s="18" t="s">
        <v>81</v>
      </c>
      <c r="I2121" s="18" t="s">
        <v>40</v>
      </c>
      <c r="J2121" s="18" t="s">
        <v>91</v>
      </c>
      <c r="K2121" s="18">
        <v>4</v>
      </c>
      <c r="L2121" s="20">
        <v>827.32</v>
      </c>
      <c r="M2121" s="21">
        <v>0</v>
      </c>
      <c r="N2121" s="21">
        <v>0.58103315119204102</v>
      </c>
      <c r="O2121" s="20">
        <f t="shared" si="132"/>
        <v>3309.28</v>
      </c>
      <c r="P2121" s="20">
        <f t="shared" si="133"/>
        <v>1922.8013865767975</v>
      </c>
      <c r="Q2121" s="20">
        <f t="shared" si="134"/>
        <v>1386.4786134232027</v>
      </c>
      <c r="R2121" s="22">
        <f t="shared" si="135"/>
        <v>0.41896684880795898</v>
      </c>
    </row>
    <row r="2122" spans="1:18">
      <c r="A2122" s="18">
        <v>3121</v>
      </c>
      <c r="B2122" s="19" t="s">
        <v>724</v>
      </c>
      <c r="C2122" s="18">
        <v>2025</v>
      </c>
      <c r="D2122" s="18" t="s">
        <v>59</v>
      </c>
      <c r="E2122" s="18" t="s">
        <v>98</v>
      </c>
      <c r="F2122" s="18" t="s">
        <v>117</v>
      </c>
      <c r="G2122" s="18" t="s">
        <v>44</v>
      </c>
      <c r="H2122" s="18" t="s">
        <v>119</v>
      </c>
      <c r="I2122" s="18" t="s">
        <v>60</v>
      </c>
      <c r="J2122" s="18" t="s">
        <v>102</v>
      </c>
      <c r="K2122" s="18">
        <v>5</v>
      </c>
      <c r="L2122" s="20">
        <v>6945.49</v>
      </c>
      <c r="M2122" s="21">
        <v>0.05</v>
      </c>
      <c r="N2122" s="21">
        <v>0.58623480565615904</v>
      </c>
      <c r="O2122" s="20">
        <f t="shared" si="132"/>
        <v>32991.077499999992</v>
      </c>
      <c r="P2122" s="20">
        <f t="shared" si="133"/>
        <v>19340.517906599776</v>
      </c>
      <c r="Q2122" s="20">
        <f t="shared" si="134"/>
        <v>13650.559593400216</v>
      </c>
      <c r="R2122" s="22">
        <f t="shared" si="135"/>
        <v>0.41376519434384096</v>
      </c>
    </row>
    <row r="2123" spans="1:18">
      <c r="A2123" s="18">
        <v>3122</v>
      </c>
      <c r="B2123" s="19" t="s">
        <v>725</v>
      </c>
      <c r="C2123" s="18">
        <v>2025</v>
      </c>
      <c r="D2123" s="18" t="s">
        <v>59</v>
      </c>
      <c r="E2123" s="18" t="s">
        <v>88</v>
      </c>
      <c r="F2123" s="18" t="s">
        <v>110</v>
      </c>
      <c r="G2123" s="18" t="s">
        <v>44</v>
      </c>
      <c r="H2123" s="18" t="s">
        <v>119</v>
      </c>
      <c r="I2123" s="18" t="s">
        <v>60</v>
      </c>
      <c r="J2123" s="18" t="s">
        <v>82</v>
      </c>
      <c r="K2123" s="18">
        <v>10</v>
      </c>
      <c r="L2123" s="20">
        <v>7205.25</v>
      </c>
      <c r="M2123" s="21">
        <v>0</v>
      </c>
      <c r="N2123" s="21">
        <v>0.57725843491590301</v>
      </c>
      <c r="O2123" s="20">
        <f t="shared" si="132"/>
        <v>72052.5</v>
      </c>
      <c r="P2123" s="20">
        <f t="shared" si="133"/>
        <v>41592.913381778104</v>
      </c>
      <c r="Q2123" s="20">
        <f t="shared" si="134"/>
        <v>30459.586618221896</v>
      </c>
      <c r="R2123" s="22">
        <f t="shared" si="135"/>
        <v>0.42274156508409694</v>
      </c>
    </row>
    <row r="2124" spans="1:18">
      <c r="A2124" s="18">
        <v>3123</v>
      </c>
      <c r="B2124" s="19" t="s">
        <v>725</v>
      </c>
      <c r="C2124" s="18">
        <v>2025</v>
      </c>
      <c r="D2124" s="18" t="s">
        <v>59</v>
      </c>
      <c r="E2124" s="18" t="s">
        <v>88</v>
      </c>
      <c r="F2124" s="18" t="s">
        <v>89</v>
      </c>
      <c r="G2124" s="18" t="s">
        <v>50</v>
      </c>
      <c r="H2124" s="18" t="s">
        <v>87</v>
      </c>
      <c r="I2124" s="18" t="s">
        <v>43</v>
      </c>
      <c r="J2124" s="18" t="s">
        <v>82</v>
      </c>
      <c r="K2124" s="18">
        <v>4</v>
      </c>
      <c r="L2124" s="20">
        <v>9858.92</v>
      </c>
      <c r="M2124" s="21">
        <v>0</v>
      </c>
      <c r="N2124" s="21">
        <v>0.55439331266203495</v>
      </c>
      <c r="O2124" s="20">
        <f t="shared" si="132"/>
        <v>39435.68</v>
      </c>
      <c r="P2124" s="20">
        <f t="shared" si="133"/>
        <v>21862.877272279959</v>
      </c>
      <c r="Q2124" s="20">
        <f t="shared" si="134"/>
        <v>17572.802727720042</v>
      </c>
      <c r="R2124" s="22">
        <f t="shared" si="135"/>
        <v>0.44560668733796505</v>
      </c>
    </row>
    <row r="2125" spans="1:18">
      <c r="A2125" s="18">
        <v>3124</v>
      </c>
      <c r="B2125" s="19" t="s">
        <v>725</v>
      </c>
      <c r="C2125" s="18">
        <v>2025</v>
      </c>
      <c r="D2125" s="18" t="s">
        <v>59</v>
      </c>
      <c r="E2125" s="18" t="s">
        <v>88</v>
      </c>
      <c r="F2125" s="18" t="s">
        <v>89</v>
      </c>
      <c r="G2125" s="18" t="s">
        <v>50</v>
      </c>
      <c r="H2125" s="18" t="s">
        <v>97</v>
      </c>
      <c r="I2125" s="18" t="s">
        <v>58</v>
      </c>
      <c r="J2125" s="18" t="s">
        <v>82</v>
      </c>
      <c r="K2125" s="18">
        <v>12</v>
      </c>
      <c r="L2125" s="20">
        <v>12230.71</v>
      </c>
      <c r="M2125" s="21">
        <v>0.2</v>
      </c>
      <c r="N2125" s="21">
        <v>0.73018073950376605</v>
      </c>
      <c r="O2125" s="20">
        <f t="shared" si="132"/>
        <v>117414.81599999999</v>
      </c>
      <c r="P2125" s="20">
        <f t="shared" si="133"/>
        <v>85734.037175578618</v>
      </c>
      <c r="Q2125" s="20">
        <f t="shared" si="134"/>
        <v>31680.778824421373</v>
      </c>
      <c r="R2125" s="22">
        <f t="shared" si="135"/>
        <v>0.26981926049623395</v>
      </c>
    </row>
    <row r="2126" spans="1:18">
      <c r="A2126" s="18">
        <v>3125</v>
      </c>
      <c r="B2126" s="19" t="s">
        <v>725</v>
      </c>
      <c r="C2126" s="18">
        <v>2025</v>
      </c>
      <c r="D2126" s="18" t="s">
        <v>59</v>
      </c>
      <c r="E2126" s="18" t="s">
        <v>85</v>
      </c>
      <c r="F2126" s="18" t="s">
        <v>121</v>
      </c>
      <c r="G2126" s="18" t="s">
        <v>41</v>
      </c>
      <c r="H2126" s="18" t="s">
        <v>112</v>
      </c>
      <c r="I2126" s="18" t="s">
        <v>56</v>
      </c>
      <c r="J2126" s="18" t="s">
        <v>82</v>
      </c>
      <c r="K2126" s="18">
        <v>8</v>
      </c>
      <c r="L2126" s="20">
        <v>6065.8</v>
      </c>
      <c r="M2126" s="21">
        <v>0.05</v>
      </c>
      <c r="N2126" s="21">
        <v>0.70018075229798404</v>
      </c>
      <c r="O2126" s="20">
        <f t="shared" si="132"/>
        <v>46100.08</v>
      </c>
      <c r="P2126" s="20">
        <f t="shared" si="133"/>
        <v>32278.388695397251</v>
      </c>
      <c r="Q2126" s="20">
        <f t="shared" si="134"/>
        <v>13821.691304602751</v>
      </c>
      <c r="R2126" s="22">
        <f t="shared" si="135"/>
        <v>0.29981924770201596</v>
      </c>
    </row>
    <row r="2127" spans="1:18">
      <c r="A2127" s="18">
        <v>3126</v>
      </c>
      <c r="B2127" s="19" t="s">
        <v>726</v>
      </c>
      <c r="C2127" s="18">
        <v>2025</v>
      </c>
      <c r="D2127" s="18" t="s">
        <v>59</v>
      </c>
      <c r="E2127" s="18" t="s">
        <v>88</v>
      </c>
      <c r="F2127" s="18" t="s">
        <v>93</v>
      </c>
      <c r="G2127" s="18" t="s">
        <v>41</v>
      </c>
      <c r="H2127" s="18" t="s">
        <v>101</v>
      </c>
      <c r="I2127" s="18" t="s">
        <v>52</v>
      </c>
      <c r="J2127" s="18" t="s">
        <v>102</v>
      </c>
      <c r="K2127" s="18">
        <v>6</v>
      </c>
      <c r="L2127" s="20">
        <v>53408.35</v>
      </c>
      <c r="M2127" s="21">
        <v>0</v>
      </c>
      <c r="N2127" s="21">
        <v>0.73831242606567105</v>
      </c>
      <c r="O2127" s="20">
        <f t="shared" si="132"/>
        <v>320450.09999999998</v>
      </c>
      <c r="P2127" s="20">
        <f t="shared" si="133"/>
        <v>236592.29076398688</v>
      </c>
      <c r="Q2127" s="20">
        <f t="shared" si="134"/>
        <v>83857.809236013098</v>
      </c>
      <c r="R2127" s="22">
        <f t="shared" si="135"/>
        <v>0.26168757393432895</v>
      </c>
    </row>
    <row r="2128" spans="1:18">
      <c r="A2128" s="18">
        <v>3127</v>
      </c>
      <c r="B2128" s="19" t="s">
        <v>726</v>
      </c>
      <c r="C2128" s="18">
        <v>2025</v>
      </c>
      <c r="D2128" s="18" t="s">
        <v>59</v>
      </c>
      <c r="E2128" s="18" t="s">
        <v>88</v>
      </c>
      <c r="F2128" s="18" t="s">
        <v>110</v>
      </c>
      <c r="G2128" s="18" t="s">
        <v>47</v>
      </c>
      <c r="H2128" s="18" t="s">
        <v>107</v>
      </c>
      <c r="I2128" s="18" t="s">
        <v>46</v>
      </c>
      <c r="J2128" s="18" t="s">
        <v>82</v>
      </c>
      <c r="K2128" s="18">
        <v>1</v>
      </c>
      <c r="L2128" s="20">
        <v>2137.69</v>
      </c>
      <c r="M2128" s="21">
        <v>0.2</v>
      </c>
      <c r="N2128" s="21">
        <v>0.73357996039205997</v>
      </c>
      <c r="O2128" s="20">
        <f t="shared" si="132"/>
        <v>1710.152</v>
      </c>
      <c r="P2128" s="20">
        <f t="shared" si="133"/>
        <v>1254.5332364244023</v>
      </c>
      <c r="Q2128" s="20">
        <f t="shared" si="134"/>
        <v>455.61876357559777</v>
      </c>
      <c r="R2128" s="22">
        <f t="shared" si="135"/>
        <v>0.26642003960793997</v>
      </c>
    </row>
    <row r="2129" spans="1:18">
      <c r="A2129" s="18">
        <v>3128</v>
      </c>
      <c r="B2129" s="19" t="s">
        <v>726</v>
      </c>
      <c r="C2129" s="18">
        <v>2025</v>
      </c>
      <c r="D2129" s="18" t="s">
        <v>59</v>
      </c>
      <c r="E2129" s="18" t="s">
        <v>88</v>
      </c>
      <c r="F2129" s="18" t="s">
        <v>110</v>
      </c>
      <c r="G2129" s="18" t="s">
        <v>44</v>
      </c>
      <c r="H2129" s="18" t="s">
        <v>95</v>
      </c>
      <c r="I2129" s="18" t="s">
        <v>52</v>
      </c>
      <c r="J2129" s="18" t="s">
        <v>91</v>
      </c>
      <c r="K2129" s="18">
        <v>2</v>
      </c>
      <c r="L2129" s="20">
        <v>4700.95</v>
      </c>
      <c r="M2129" s="21">
        <v>0.15</v>
      </c>
      <c r="N2129" s="21">
        <v>0.711899885149895</v>
      </c>
      <c r="O2129" s="20">
        <f t="shared" si="132"/>
        <v>7991.6149999999998</v>
      </c>
      <c r="P2129" s="20">
        <f t="shared" si="133"/>
        <v>5689.2298006621777</v>
      </c>
      <c r="Q2129" s="20">
        <f t="shared" si="134"/>
        <v>2302.3851993378221</v>
      </c>
      <c r="R2129" s="22">
        <f t="shared" si="135"/>
        <v>0.28810011485010506</v>
      </c>
    </row>
    <row r="2130" spans="1:18">
      <c r="A2130" s="18">
        <v>3129</v>
      </c>
      <c r="B2130" s="19" t="s">
        <v>726</v>
      </c>
      <c r="C2130" s="18">
        <v>2025</v>
      </c>
      <c r="D2130" s="18" t="s">
        <v>59</v>
      </c>
      <c r="E2130" s="18" t="s">
        <v>79</v>
      </c>
      <c r="F2130" s="18" t="s">
        <v>100</v>
      </c>
      <c r="G2130" s="18" t="s">
        <v>50</v>
      </c>
      <c r="H2130" s="18" t="s">
        <v>87</v>
      </c>
      <c r="I2130" s="18" t="s">
        <v>46</v>
      </c>
      <c r="J2130" s="18" t="s">
        <v>82</v>
      </c>
      <c r="K2130" s="18">
        <v>11</v>
      </c>
      <c r="L2130" s="20">
        <v>9782.2199999999993</v>
      </c>
      <c r="M2130" s="21">
        <v>0.05</v>
      </c>
      <c r="N2130" s="21">
        <v>0.56042383891504999</v>
      </c>
      <c r="O2130" s="20">
        <f t="shared" si="132"/>
        <v>102224.19899999999</v>
      </c>
      <c r="P2130" s="20">
        <f t="shared" si="133"/>
        <v>57288.878033596011</v>
      </c>
      <c r="Q2130" s="20">
        <f t="shared" si="134"/>
        <v>44935.320966403982</v>
      </c>
      <c r="R2130" s="22">
        <f t="shared" si="135"/>
        <v>0.43957616108495001</v>
      </c>
    </row>
    <row r="2131" spans="1:18">
      <c r="A2131" s="18">
        <v>3130</v>
      </c>
      <c r="B2131" s="19" t="s">
        <v>727</v>
      </c>
      <c r="C2131" s="18">
        <v>2025</v>
      </c>
      <c r="D2131" s="18" t="s">
        <v>59</v>
      </c>
      <c r="E2131" s="18" t="s">
        <v>79</v>
      </c>
      <c r="F2131" s="18" t="s">
        <v>105</v>
      </c>
      <c r="G2131" s="18" t="s">
        <v>50</v>
      </c>
      <c r="H2131" s="18" t="s">
        <v>97</v>
      </c>
      <c r="I2131" s="18" t="s">
        <v>60</v>
      </c>
      <c r="J2131" s="18" t="s">
        <v>91</v>
      </c>
      <c r="K2131" s="18">
        <v>12</v>
      </c>
      <c r="L2131" s="20">
        <v>12331.43</v>
      </c>
      <c r="M2131" s="21">
        <v>0</v>
      </c>
      <c r="N2131" s="21">
        <v>0.71633940922818196</v>
      </c>
      <c r="O2131" s="20">
        <f t="shared" si="132"/>
        <v>147977.16</v>
      </c>
      <c r="P2131" s="20">
        <f t="shared" si="133"/>
        <v>106001.87137366417</v>
      </c>
      <c r="Q2131" s="20">
        <f t="shared" si="134"/>
        <v>41975.288626335838</v>
      </c>
      <c r="R2131" s="22">
        <f t="shared" si="135"/>
        <v>0.28366059077181799</v>
      </c>
    </row>
    <row r="2132" spans="1:18">
      <c r="A2132" s="18">
        <v>3131</v>
      </c>
      <c r="B2132" s="19" t="s">
        <v>727</v>
      </c>
      <c r="C2132" s="18">
        <v>2025</v>
      </c>
      <c r="D2132" s="18" t="s">
        <v>59</v>
      </c>
      <c r="E2132" s="18" t="s">
        <v>85</v>
      </c>
      <c r="F2132" s="18" t="s">
        <v>94</v>
      </c>
      <c r="G2132" s="18" t="s">
        <v>50</v>
      </c>
      <c r="H2132" s="18" t="s">
        <v>97</v>
      </c>
      <c r="I2132" s="18" t="s">
        <v>52</v>
      </c>
      <c r="J2132" s="18" t="s">
        <v>91</v>
      </c>
      <c r="K2132" s="18">
        <v>2</v>
      </c>
      <c r="L2132" s="20">
        <v>12146.76</v>
      </c>
      <c r="M2132" s="21">
        <v>0.15</v>
      </c>
      <c r="N2132" s="21">
        <v>0.73714303800801295</v>
      </c>
      <c r="O2132" s="20">
        <f t="shared" si="132"/>
        <v>20649.491999999998</v>
      </c>
      <c r="P2132" s="20">
        <f t="shared" si="133"/>
        <v>15221.629266202159</v>
      </c>
      <c r="Q2132" s="20">
        <f t="shared" si="134"/>
        <v>5427.8627337978396</v>
      </c>
      <c r="R2132" s="22">
        <f t="shared" si="135"/>
        <v>0.26285696199198699</v>
      </c>
    </row>
    <row r="2133" spans="1:18">
      <c r="A2133" s="18">
        <v>3132</v>
      </c>
      <c r="B2133" s="19" t="s">
        <v>727</v>
      </c>
      <c r="C2133" s="18">
        <v>2025</v>
      </c>
      <c r="D2133" s="18" t="s">
        <v>59</v>
      </c>
      <c r="E2133" s="18" t="s">
        <v>88</v>
      </c>
      <c r="F2133" s="18" t="s">
        <v>89</v>
      </c>
      <c r="G2133" s="18" t="s">
        <v>41</v>
      </c>
      <c r="H2133" s="18" t="s">
        <v>112</v>
      </c>
      <c r="I2133" s="18" t="s">
        <v>54</v>
      </c>
      <c r="J2133" s="18" t="s">
        <v>102</v>
      </c>
      <c r="K2133" s="18">
        <v>9</v>
      </c>
      <c r="L2133" s="20">
        <v>5836.43</v>
      </c>
      <c r="M2133" s="21">
        <v>0.1</v>
      </c>
      <c r="N2133" s="21">
        <v>0.58081723271104702</v>
      </c>
      <c r="O2133" s="20">
        <f t="shared" si="132"/>
        <v>47275.083000000006</v>
      </c>
      <c r="P2133" s="20">
        <f t="shared" si="133"/>
        <v>27458.182884245067</v>
      </c>
      <c r="Q2133" s="20">
        <f t="shared" si="134"/>
        <v>19816.900115754939</v>
      </c>
      <c r="R2133" s="22">
        <f t="shared" si="135"/>
        <v>0.41918276728895298</v>
      </c>
    </row>
    <row r="2134" spans="1:18">
      <c r="A2134" s="18">
        <v>3133</v>
      </c>
      <c r="B2134" s="19" t="s">
        <v>727</v>
      </c>
      <c r="C2134" s="18">
        <v>2025</v>
      </c>
      <c r="D2134" s="18" t="s">
        <v>59</v>
      </c>
      <c r="E2134" s="18" t="s">
        <v>85</v>
      </c>
      <c r="F2134" s="18" t="s">
        <v>94</v>
      </c>
      <c r="G2134" s="18" t="s">
        <v>44</v>
      </c>
      <c r="H2134" s="18" t="s">
        <v>114</v>
      </c>
      <c r="I2134" s="18" t="s">
        <v>60</v>
      </c>
      <c r="J2134" s="18" t="s">
        <v>82</v>
      </c>
      <c r="K2134" s="18">
        <v>3</v>
      </c>
      <c r="L2134" s="20">
        <v>8690</v>
      </c>
      <c r="M2134" s="21">
        <v>0.15</v>
      </c>
      <c r="N2134" s="21">
        <v>0.55802064955631603</v>
      </c>
      <c r="O2134" s="20">
        <f t="shared" si="132"/>
        <v>22159.5</v>
      </c>
      <c r="P2134" s="20">
        <f t="shared" si="133"/>
        <v>12365.458583843185</v>
      </c>
      <c r="Q2134" s="20">
        <f t="shared" si="134"/>
        <v>9794.0414161568151</v>
      </c>
      <c r="R2134" s="22">
        <f t="shared" si="135"/>
        <v>0.44197935044368397</v>
      </c>
    </row>
    <row r="2135" spans="1:18">
      <c r="A2135" s="18">
        <v>3134</v>
      </c>
      <c r="B2135" s="19" t="s">
        <v>728</v>
      </c>
      <c r="C2135" s="18">
        <v>2025</v>
      </c>
      <c r="D2135" s="18" t="s">
        <v>59</v>
      </c>
      <c r="E2135" s="18" t="s">
        <v>85</v>
      </c>
      <c r="F2135" s="18" t="s">
        <v>121</v>
      </c>
      <c r="G2135" s="18" t="s">
        <v>47</v>
      </c>
      <c r="H2135" s="18" t="s">
        <v>103</v>
      </c>
      <c r="I2135" s="18" t="s">
        <v>52</v>
      </c>
      <c r="J2135" s="18" t="s">
        <v>102</v>
      </c>
      <c r="K2135" s="18">
        <v>12</v>
      </c>
      <c r="L2135" s="20">
        <v>3276.64</v>
      </c>
      <c r="M2135" s="21">
        <v>0</v>
      </c>
      <c r="N2135" s="21">
        <v>0.64709355719254003</v>
      </c>
      <c r="O2135" s="20">
        <f t="shared" si="132"/>
        <v>39319.68</v>
      </c>
      <c r="P2135" s="20">
        <f t="shared" si="133"/>
        <v>25443.511598872374</v>
      </c>
      <c r="Q2135" s="20">
        <f t="shared" si="134"/>
        <v>13876.168401127627</v>
      </c>
      <c r="R2135" s="22">
        <f t="shared" si="135"/>
        <v>0.35290644280745992</v>
      </c>
    </row>
    <row r="2136" spans="1:18">
      <c r="A2136" s="18">
        <v>3135</v>
      </c>
      <c r="B2136" s="19" t="s">
        <v>728</v>
      </c>
      <c r="C2136" s="18">
        <v>2025</v>
      </c>
      <c r="D2136" s="18" t="s">
        <v>59</v>
      </c>
      <c r="E2136" s="18" t="s">
        <v>88</v>
      </c>
      <c r="F2136" s="18" t="s">
        <v>89</v>
      </c>
      <c r="G2136" s="18" t="s">
        <v>41</v>
      </c>
      <c r="H2136" s="18" t="s">
        <v>101</v>
      </c>
      <c r="I2136" s="18" t="s">
        <v>43</v>
      </c>
      <c r="J2136" s="18" t="s">
        <v>82</v>
      </c>
      <c r="K2136" s="18">
        <v>2</v>
      </c>
      <c r="L2136" s="20">
        <v>52722.74</v>
      </c>
      <c r="M2136" s="21">
        <v>0</v>
      </c>
      <c r="N2136" s="21">
        <v>0.57384516228871896</v>
      </c>
      <c r="O2136" s="20">
        <f t="shared" si="132"/>
        <v>105445.48</v>
      </c>
      <c r="P2136" s="20">
        <f t="shared" si="133"/>
        <v>60509.378583211866</v>
      </c>
      <c r="Q2136" s="20">
        <f t="shared" si="134"/>
        <v>44936.101416788129</v>
      </c>
      <c r="R2136" s="22">
        <f t="shared" si="135"/>
        <v>0.42615483771128104</v>
      </c>
    </row>
    <row r="2137" spans="1:18">
      <c r="A2137" s="18">
        <v>3136</v>
      </c>
      <c r="B2137" s="19" t="s">
        <v>728</v>
      </c>
      <c r="C2137" s="18">
        <v>2025</v>
      </c>
      <c r="D2137" s="18" t="s">
        <v>59</v>
      </c>
      <c r="E2137" s="18" t="s">
        <v>85</v>
      </c>
      <c r="F2137" s="18" t="s">
        <v>94</v>
      </c>
      <c r="G2137" s="18" t="s">
        <v>41</v>
      </c>
      <c r="H2137" s="18" t="s">
        <v>101</v>
      </c>
      <c r="I2137" s="18" t="s">
        <v>54</v>
      </c>
      <c r="J2137" s="18" t="s">
        <v>102</v>
      </c>
      <c r="K2137" s="18">
        <v>9</v>
      </c>
      <c r="L2137" s="20">
        <v>54537.61</v>
      </c>
      <c r="M2137" s="21">
        <v>0.2</v>
      </c>
      <c r="N2137" s="21">
        <v>0.67283814854919399</v>
      </c>
      <c r="O2137" s="20">
        <f t="shared" si="132"/>
        <v>392670.79200000002</v>
      </c>
      <c r="P2137" s="20">
        <f t="shared" si="133"/>
        <v>264203.88867862569</v>
      </c>
      <c r="Q2137" s="20">
        <f t="shared" si="134"/>
        <v>128466.90332137432</v>
      </c>
      <c r="R2137" s="22">
        <f t="shared" si="135"/>
        <v>0.32716185145080595</v>
      </c>
    </row>
    <row r="2138" spans="1:18">
      <c r="A2138" s="18">
        <v>3137</v>
      </c>
      <c r="B2138" s="19" t="s">
        <v>728</v>
      </c>
      <c r="C2138" s="18">
        <v>2025</v>
      </c>
      <c r="D2138" s="18" t="s">
        <v>59</v>
      </c>
      <c r="E2138" s="18" t="s">
        <v>79</v>
      </c>
      <c r="F2138" s="18" t="s">
        <v>105</v>
      </c>
      <c r="G2138" s="18" t="s">
        <v>41</v>
      </c>
      <c r="H2138" s="18" t="s">
        <v>112</v>
      </c>
      <c r="I2138" s="18" t="s">
        <v>52</v>
      </c>
      <c r="J2138" s="18" t="s">
        <v>102</v>
      </c>
      <c r="K2138" s="18">
        <v>1</v>
      </c>
      <c r="L2138" s="20">
        <v>6178.76</v>
      </c>
      <c r="M2138" s="21">
        <v>0</v>
      </c>
      <c r="N2138" s="21">
        <v>0.66965284668065705</v>
      </c>
      <c r="O2138" s="20">
        <f t="shared" si="132"/>
        <v>6178.76</v>
      </c>
      <c r="P2138" s="20">
        <f t="shared" si="133"/>
        <v>4137.6242229565769</v>
      </c>
      <c r="Q2138" s="20">
        <f t="shared" si="134"/>
        <v>2041.1357770434233</v>
      </c>
      <c r="R2138" s="22">
        <f t="shared" si="135"/>
        <v>0.33034715331934295</v>
      </c>
    </row>
    <row r="2139" spans="1:18">
      <c r="A2139" s="18">
        <v>3138</v>
      </c>
      <c r="B2139" s="19" t="s">
        <v>729</v>
      </c>
      <c r="C2139" s="18">
        <v>2025</v>
      </c>
      <c r="D2139" s="18" t="s">
        <v>59</v>
      </c>
      <c r="E2139" s="18" t="s">
        <v>79</v>
      </c>
      <c r="F2139" s="18" t="s">
        <v>80</v>
      </c>
      <c r="G2139" s="18" t="s">
        <v>47</v>
      </c>
      <c r="H2139" s="18" t="s">
        <v>103</v>
      </c>
      <c r="I2139" s="18" t="s">
        <v>54</v>
      </c>
      <c r="J2139" s="18" t="s">
        <v>82</v>
      </c>
      <c r="K2139" s="18">
        <v>10</v>
      </c>
      <c r="L2139" s="20">
        <v>3141.87</v>
      </c>
      <c r="M2139" s="21">
        <v>0</v>
      </c>
      <c r="N2139" s="21">
        <v>0.64879834965173</v>
      </c>
      <c r="O2139" s="20">
        <f t="shared" si="132"/>
        <v>31418.699999999997</v>
      </c>
      <c r="P2139" s="20">
        <f t="shared" si="133"/>
        <v>20384.400708202807</v>
      </c>
      <c r="Q2139" s="20">
        <f t="shared" si="134"/>
        <v>11034.29929179719</v>
      </c>
      <c r="R2139" s="22">
        <f t="shared" si="135"/>
        <v>0.35120165034827</v>
      </c>
    </row>
    <row r="2140" spans="1:18">
      <c r="A2140" s="18">
        <v>3139</v>
      </c>
      <c r="B2140" s="19" t="s">
        <v>729</v>
      </c>
      <c r="C2140" s="18">
        <v>2025</v>
      </c>
      <c r="D2140" s="18" t="s">
        <v>59</v>
      </c>
      <c r="E2140" s="18" t="s">
        <v>88</v>
      </c>
      <c r="F2140" s="18" t="s">
        <v>110</v>
      </c>
      <c r="G2140" s="18" t="s">
        <v>44</v>
      </c>
      <c r="H2140" s="18" t="s">
        <v>114</v>
      </c>
      <c r="I2140" s="18" t="s">
        <v>56</v>
      </c>
      <c r="J2140" s="18" t="s">
        <v>102</v>
      </c>
      <c r="K2140" s="18">
        <v>5</v>
      </c>
      <c r="L2140" s="20">
        <v>8774.7999999999993</v>
      </c>
      <c r="M2140" s="21">
        <v>0.15</v>
      </c>
      <c r="N2140" s="21">
        <v>0.64088070121673901</v>
      </c>
      <c r="O2140" s="20">
        <f t="shared" si="132"/>
        <v>37292.9</v>
      </c>
      <c r="P2140" s="20">
        <f t="shared" si="133"/>
        <v>23900.299902405728</v>
      </c>
      <c r="Q2140" s="20">
        <f t="shared" si="134"/>
        <v>13392.600097594273</v>
      </c>
      <c r="R2140" s="22">
        <f t="shared" si="135"/>
        <v>0.35911929878326099</v>
      </c>
    </row>
    <row r="2141" spans="1:18">
      <c r="A2141" s="18">
        <v>3140</v>
      </c>
      <c r="B2141" s="19" t="s">
        <v>729</v>
      </c>
      <c r="C2141" s="18">
        <v>2025</v>
      </c>
      <c r="D2141" s="18" t="s">
        <v>59</v>
      </c>
      <c r="E2141" s="18" t="s">
        <v>88</v>
      </c>
      <c r="F2141" s="18" t="s">
        <v>110</v>
      </c>
      <c r="G2141" s="18" t="s">
        <v>47</v>
      </c>
      <c r="H2141" s="18" t="s">
        <v>107</v>
      </c>
      <c r="I2141" s="18" t="s">
        <v>46</v>
      </c>
      <c r="J2141" s="18" t="s">
        <v>82</v>
      </c>
      <c r="K2141" s="18">
        <v>2</v>
      </c>
      <c r="L2141" s="20">
        <v>2172.65</v>
      </c>
      <c r="M2141" s="21">
        <v>0.1</v>
      </c>
      <c r="N2141" s="21">
        <v>0.68582544076517604</v>
      </c>
      <c r="O2141" s="20">
        <f t="shared" si="132"/>
        <v>3910.7700000000004</v>
      </c>
      <c r="P2141" s="20">
        <f t="shared" si="133"/>
        <v>2682.1055589812277</v>
      </c>
      <c r="Q2141" s="20">
        <f t="shared" si="134"/>
        <v>1228.6644410187728</v>
      </c>
      <c r="R2141" s="22">
        <f t="shared" si="135"/>
        <v>0.31417455923482401</v>
      </c>
    </row>
    <row r="2142" spans="1:18">
      <c r="A2142" s="18">
        <v>3141</v>
      </c>
      <c r="B2142" s="19" t="s">
        <v>729</v>
      </c>
      <c r="C2142" s="18">
        <v>2025</v>
      </c>
      <c r="D2142" s="18" t="s">
        <v>59</v>
      </c>
      <c r="E2142" s="18" t="s">
        <v>98</v>
      </c>
      <c r="F2142" s="18" t="s">
        <v>99</v>
      </c>
      <c r="G2142" s="18" t="s">
        <v>50</v>
      </c>
      <c r="H2142" s="18" t="s">
        <v>83</v>
      </c>
      <c r="I2142" s="18" t="s">
        <v>49</v>
      </c>
      <c r="J2142" s="18" t="s">
        <v>102</v>
      </c>
      <c r="K2142" s="18">
        <v>12</v>
      </c>
      <c r="L2142" s="20">
        <v>3325.53</v>
      </c>
      <c r="M2142" s="21">
        <v>0.15</v>
      </c>
      <c r="N2142" s="21">
        <v>0.71329079448506505</v>
      </c>
      <c r="O2142" s="20">
        <f t="shared" si="132"/>
        <v>33920.406000000003</v>
      </c>
      <c r="P2142" s="20">
        <f t="shared" si="133"/>
        <v>24195.113344995971</v>
      </c>
      <c r="Q2142" s="20">
        <f t="shared" si="134"/>
        <v>9725.292655004032</v>
      </c>
      <c r="R2142" s="22">
        <f t="shared" si="135"/>
        <v>0.2867092055149349</v>
      </c>
    </row>
    <row r="2143" spans="1:18">
      <c r="A2143" s="18">
        <v>3142</v>
      </c>
      <c r="B2143" s="19" t="s">
        <v>730</v>
      </c>
      <c r="C2143" s="18">
        <v>2025</v>
      </c>
      <c r="D2143" s="18" t="s">
        <v>59</v>
      </c>
      <c r="E2143" s="18" t="s">
        <v>98</v>
      </c>
      <c r="F2143" s="18" t="s">
        <v>109</v>
      </c>
      <c r="G2143" s="18" t="s">
        <v>47</v>
      </c>
      <c r="H2143" s="18" t="s">
        <v>107</v>
      </c>
      <c r="I2143" s="18" t="s">
        <v>40</v>
      </c>
      <c r="J2143" s="18" t="s">
        <v>91</v>
      </c>
      <c r="K2143" s="18">
        <v>9</v>
      </c>
      <c r="L2143" s="20">
        <v>2274.94</v>
      </c>
      <c r="M2143" s="21">
        <v>0.1</v>
      </c>
      <c r="N2143" s="21">
        <v>0.651714914439947</v>
      </c>
      <c r="O2143" s="20">
        <f t="shared" si="132"/>
        <v>18427.013999999999</v>
      </c>
      <c r="P2143" s="20">
        <f t="shared" si="133"/>
        <v>12009.159852393705</v>
      </c>
      <c r="Q2143" s="20">
        <f t="shared" si="134"/>
        <v>6417.8541476062946</v>
      </c>
      <c r="R2143" s="22">
        <f t="shared" si="135"/>
        <v>0.348285085560053</v>
      </c>
    </row>
    <row r="2144" spans="1:18">
      <c r="A2144" s="18">
        <v>3143</v>
      </c>
      <c r="B2144" s="19" t="s">
        <v>730</v>
      </c>
      <c r="C2144" s="18">
        <v>2025</v>
      </c>
      <c r="D2144" s="18" t="s">
        <v>59</v>
      </c>
      <c r="E2144" s="18" t="s">
        <v>98</v>
      </c>
      <c r="F2144" s="18" t="s">
        <v>117</v>
      </c>
      <c r="G2144" s="18" t="s">
        <v>47</v>
      </c>
      <c r="H2144" s="18" t="s">
        <v>107</v>
      </c>
      <c r="I2144" s="18" t="s">
        <v>40</v>
      </c>
      <c r="J2144" s="18" t="s">
        <v>82</v>
      </c>
      <c r="K2144" s="18">
        <v>1</v>
      </c>
      <c r="L2144" s="20">
        <v>2279.2399999999998</v>
      </c>
      <c r="M2144" s="21">
        <v>0.15</v>
      </c>
      <c r="N2144" s="21">
        <v>0.68662331160533896</v>
      </c>
      <c r="O2144" s="20">
        <f t="shared" si="132"/>
        <v>1937.3539999999998</v>
      </c>
      <c r="P2144" s="20">
        <f t="shared" si="133"/>
        <v>1330.2324192318497</v>
      </c>
      <c r="Q2144" s="20">
        <f t="shared" si="134"/>
        <v>607.12158076815012</v>
      </c>
      <c r="R2144" s="22">
        <f t="shared" si="135"/>
        <v>0.31337668839466104</v>
      </c>
    </row>
    <row r="2145" spans="1:18">
      <c r="A2145" s="18">
        <v>3144</v>
      </c>
      <c r="B2145" s="19" t="s">
        <v>730</v>
      </c>
      <c r="C2145" s="18">
        <v>2025</v>
      </c>
      <c r="D2145" s="18" t="s">
        <v>59</v>
      </c>
      <c r="E2145" s="18" t="s">
        <v>98</v>
      </c>
      <c r="F2145" s="18" t="s">
        <v>117</v>
      </c>
      <c r="G2145" s="18" t="s">
        <v>47</v>
      </c>
      <c r="H2145" s="18" t="s">
        <v>81</v>
      </c>
      <c r="I2145" s="18" t="s">
        <v>58</v>
      </c>
      <c r="J2145" s="18" t="s">
        <v>91</v>
      </c>
      <c r="K2145" s="18">
        <v>5</v>
      </c>
      <c r="L2145" s="20">
        <v>809.91</v>
      </c>
      <c r="M2145" s="21">
        <v>0</v>
      </c>
      <c r="N2145" s="21">
        <v>0.62945219043960998</v>
      </c>
      <c r="O2145" s="20">
        <f t="shared" si="132"/>
        <v>4049.5499999999997</v>
      </c>
      <c r="P2145" s="20">
        <f t="shared" si="133"/>
        <v>2548.9981177947225</v>
      </c>
      <c r="Q2145" s="20">
        <f t="shared" si="134"/>
        <v>1500.5518822052773</v>
      </c>
      <c r="R2145" s="22">
        <f t="shared" si="135"/>
        <v>0.37054780956039002</v>
      </c>
    </row>
    <row r="2146" spans="1:18">
      <c r="A2146" s="18">
        <v>3145</v>
      </c>
      <c r="B2146" s="19" t="s">
        <v>731</v>
      </c>
      <c r="C2146" s="18">
        <v>2025</v>
      </c>
      <c r="D2146" s="18" t="s">
        <v>59</v>
      </c>
      <c r="E2146" s="18" t="s">
        <v>88</v>
      </c>
      <c r="F2146" s="18" t="s">
        <v>93</v>
      </c>
      <c r="G2146" s="18" t="s">
        <v>47</v>
      </c>
      <c r="H2146" s="18" t="s">
        <v>107</v>
      </c>
      <c r="I2146" s="18" t="s">
        <v>49</v>
      </c>
      <c r="J2146" s="18" t="s">
        <v>91</v>
      </c>
      <c r="K2146" s="18">
        <v>3</v>
      </c>
      <c r="L2146" s="20">
        <v>2189.52</v>
      </c>
      <c r="M2146" s="21">
        <v>0.1</v>
      </c>
      <c r="N2146" s="21">
        <v>0.64483306008414398</v>
      </c>
      <c r="O2146" s="20">
        <f t="shared" si="132"/>
        <v>5911.7039999999997</v>
      </c>
      <c r="P2146" s="20">
        <f t="shared" si="133"/>
        <v>3812.062180631674</v>
      </c>
      <c r="Q2146" s="20">
        <f t="shared" si="134"/>
        <v>2099.6418193683257</v>
      </c>
      <c r="R2146" s="22">
        <f t="shared" si="135"/>
        <v>0.35516693991585602</v>
      </c>
    </row>
    <row r="2147" spans="1:18">
      <c r="A2147" s="18">
        <v>3146</v>
      </c>
      <c r="B2147" s="19" t="s">
        <v>731</v>
      </c>
      <c r="C2147" s="18">
        <v>2025</v>
      </c>
      <c r="D2147" s="18" t="s">
        <v>59</v>
      </c>
      <c r="E2147" s="18" t="s">
        <v>88</v>
      </c>
      <c r="F2147" s="18" t="s">
        <v>110</v>
      </c>
      <c r="G2147" s="18" t="s">
        <v>47</v>
      </c>
      <c r="H2147" s="18" t="s">
        <v>103</v>
      </c>
      <c r="I2147" s="18" t="s">
        <v>46</v>
      </c>
      <c r="J2147" s="18" t="s">
        <v>82</v>
      </c>
      <c r="K2147" s="18">
        <v>7</v>
      </c>
      <c r="L2147" s="20">
        <v>3065.78</v>
      </c>
      <c r="M2147" s="21">
        <v>0.1</v>
      </c>
      <c r="N2147" s="21">
        <v>0.61985793641617504</v>
      </c>
      <c r="O2147" s="20">
        <f t="shared" si="132"/>
        <v>19314.414000000004</v>
      </c>
      <c r="P2147" s="20">
        <f t="shared" si="133"/>
        <v>11972.192805127683</v>
      </c>
      <c r="Q2147" s="20">
        <f t="shared" si="134"/>
        <v>7342.2211948723216</v>
      </c>
      <c r="R2147" s="22">
        <f t="shared" si="135"/>
        <v>0.38014206358382502</v>
      </c>
    </row>
    <row r="2148" spans="1:18">
      <c r="A2148" s="18">
        <v>3147</v>
      </c>
      <c r="B2148" s="19" t="s">
        <v>731</v>
      </c>
      <c r="C2148" s="18">
        <v>2025</v>
      </c>
      <c r="D2148" s="18" t="s">
        <v>59</v>
      </c>
      <c r="E2148" s="18" t="s">
        <v>79</v>
      </c>
      <c r="F2148" s="18" t="s">
        <v>100</v>
      </c>
      <c r="G2148" s="18" t="s">
        <v>44</v>
      </c>
      <c r="H2148" s="18" t="s">
        <v>119</v>
      </c>
      <c r="I2148" s="18" t="s">
        <v>54</v>
      </c>
      <c r="J2148" s="18" t="s">
        <v>102</v>
      </c>
      <c r="K2148" s="18">
        <v>12</v>
      </c>
      <c r="L2148" s="20">
        <v>7299.21</v>
      </c>
      <c r="M2148" s="21">
        <v>0</v>
      </c>
      <c r="N2148" s="21">
        <v>0.66850583297884103</v>
      </c>
      <c r="O2148" s="20">
        <f t="shared" si="132"/>
        <v>87590.52</v>
      </c>
      <c r="P2148" s="20">
        <f t="shared" si="133"/>
        <v>58554.773533649837</v>
      </c>
      <c r="Q2148" s="20">
        <f t="shared" si="134"/>
        <v>29035.746466350167</v>
      </c>
      <c r="R2148" s="22">
        <f t="shared" si="135"/>
        <v>0.33149416702115897</v>
      </c>
    </row>
    <row r="2149" spans="1:18">
      <c r="A2149" s="18">
        <v>3148</v>
      </c>
      <c r="B2149" s="19" t="s">
        <v>732</v>
      </c>
      <c r="C2149" s="18">
        <v>2025</v>
      </c>
      <c r="D2149" s="18" t="s">
        <v>59</v>
      </c>
      <c r="E2149" s="18" t="s">
        <v>79</v>
      </c>
      <c r="F2149" s="18" t="s">
        <v>105</v>
      </c>
      <c r="G2149" s="18" t="s">
        <v>50</v>
      </c>
      <c r="H2149" s="18" t="s">
        <v>83</v>
      </c>
      <c r="I2149" s="18" t="s">
        <v>40</v>
      </c>
      <c r="J2149" s="18" t="s">
        <v>82</v>
      </c>
      <c r="K2149" s="18">
        <v>10</v>
      </c>
      <c r="L2149" s="20">
        <v>3436.21</v>
      </c>
      <c r="M2149" s="21">
        <v>0.2</v>
      </c>
      <c r="N2149" s="21">
        <v>0.69022628453607204</v>
      </c>
      <c r="O2149" s="20">
        <f t="shared" si="132"/>
        <v>27489.68</v>
      </c>
      <c r="P2149" s="20">
        <f t="shared" si="133"/>
        <v>18974.099689485571</v>
      </c>
      <c r="Q2149" s="20">
        <f t="shared" si="134"/>
        <v>8515.5803105144296</v>
      </c>
      <c r="R2149" s="22">
        <f t="shared" si="135"/>
        <v>0.3097737154639279</v>
      </c>
    </row>
    <row r="2150" spans="1:18">
      <c r="A2150" s="18">
        <v>3149</v>
      </c>
      <c r="B2150" s="19" t="s">
        <v>732</v>
      </c>
      <c r="C2150" s="18">
        <v>2025</v>
      </c>
      <c r="D2150" s="18" t="s">
        <v>59</v>
      </c>
      <c r="E2150" s="18" t="s">
        <v>85</v>
      </c>
      <c r="F2150" s="18" t="s">
        <v>86</v>
      </c>
      <c r="G2150" s="18" t="s">
        <v>50</v>
      </c>
      <c r="H2150" s="18" t="s">
        <v>83</v>
      </c>
      <c r="I2150" s="18" t="s">
        <v>58</v>
      </c>
      <c r="J2150" s="18" t="s">
        <v>102</v>
      </c>
      <c r="K2150" s="18">
        <v>12</v>
      </c>
      <c r="L2150" s="20">
        <v>3609.33</v>
      </c>
      <c r="M2150" s="21">
        <v>0.2</v>
      </c>
      <c r="N2150" s="21">
        <v>0.63172110940867698</v>
      </c>
      <c r="O2150" s="20">
        <f t="shared" si="132"/>
        <v>34649.567999999999</v>
      </c>
      <c r="P2150" s="20">
        <f t="shared" si="133"/>
        <v>21888.863537491394</v>
      </c>
      <c r="Q2150" s="20">
        <f t="shared" si="134"/>
        <v>12760.704462508606</v>
      </c>
      <c r="R2150" s="22">
        <f t="shared" si="135"/>
        <v>0.36827889059132296</v>
      </c>
    </row>
    <row r="2151" spans="1:18">
      <c r="A2151" s="18">
        <v>3150</v>
      </c>
      <c r="B2151" s="19" t="s">
        <v>733</v>
      </c>
      <c r="C2151" s="18">
        <v>2025</v>
      </c>
      <c r="D2151" s="18" t="s">
        <v>59</v>
      </c>
      <c r="E2151" s="18" t="s">
        <v>88</v>
      </c>
      <c r="F2151" s="18" t="s">
        <v>110</v>
      </c>
      <c r="G2151" s="18" t="s">
        <v>50</v>
      </c>
      <c r="H2151" s="18" t="s">
        <v>97</v>
      </c>
      <c r="I2151" s="18" t="s">
        <v>43</v>
      </c>
      <c r="J2151" s="18" t="s">
        <v>91</v>
      </c>
      <c r="K2151" s="18">
        <v>11</v>
      </c>
      <c r="L2151" s="20">
        <v>11711.05</v>
      </c>
      <c r="M2151" s="21">
        <v>0.15</v>
      </c>
      <c r="N2151" s="21">
        <v>0.55541356898294003</v>
      </c>
      <c r="O2151" s="20">
        <f t="shared" si="132"/>
        <v>109498.31749999999</v>
      </c>
      <c r="P2151" s="20">
        <f t="shared" si="133"/>
        <v>60816.851320302114</v>
      </c>
      <c r="Q2151" s="20">
        <f t="shared" si="134"/>
        <v>48681.466179697876</v>
      </c>
      <c r="R2151" s="22">
        <f t="shared" si="135"/>
        <v>0.44458643101705997</v>
      </c>
    </row>
    <row r="2152" spans="1:18">
      <c r="A2152" s="18">
        <v>3151</v>
      </c>
      <c r="B2152" s="19" t="s">
        <v>733</v>
      </c>
      <c r="C2152" s="18">
        <v>2025</v>
      </c>
      <c r="D2152" s="18" t="s">
        <v>59</v>
      </c>
      <c r="E2152" s="18" t="s">
        <v>98</v>
      </c>
      <c r="F2152" s="18" t="s">
        <v>117</v>
      </c>
      <c r="G2152" s="18" t="s">
        <v>44</v>
      </c>
      <c r="H2152" s="18" t="s">
        <v>119</v>
      </c>
      <c r="I2152" s="18" t="s">
        <v>43</v>
      </c>
      <c r="J2152" s="18" t="s">
        <v>82</v>
      </c>
      <c r="K2152" s="18">
        <v>11</v>
      </c>
      <c r="L2152" s="20">
        <v>7026.82</v>
      </c>
      <c r="M2152" s="21">
        <v>0</v>
      </c>
      <c r="N2152" s="21">
        <v>0.55872187804074802</v>
      </c>
      <c r="O2152" s="20">
        <f t="shared" si="132"/>
        <v>77295.01999999999</v>
      </c>
      <c r="P2152" s="20">
        <f t="shared" si="133"/>
        <v>43186.418737597174</v>
      </c>
      <c r="Q2152" s="20">
        <f t="shared" si="134"/>
        <v>34108.601262402815</v>
      </c>
      <c r="R2152" s="22">
        <f t="shared" si="135"/>
        <v>0.44127812195925198</v>
      </c>
    </row>
    <row r="2153" spans="1:18">
      <c r="A2153" s="18">
        <v>3152</v>
      </c>
      <c r="B2153" s="19" t="s">
        <v>733</v>
      </c>
      <c r="C2153" s="18">
        <v>2025</v>
      </c>
      <c r="D2153" s="18" t="s">
        <v>59</v>
      </c>
      <c r="E2153" s="18" t="s">
        <v>88</v>
      </c>
      <c r="F2153" s="18" t="s">
        <v>93</v>
      </c>
      <c r="G2153" s="18" t="s">
        <v>44</v>
      </c>
      <c r="H2153" s="18" t="s">
        <v>119</v>
      </c>
      <c r="I2153" s="18" t="s">
        <v>43</v>
      </c>
      <c r="J2153" s="18" t="s">
        <v>82</v>
      </c>
      <c r="K2153" s="18">
        <v>3</v>
      </c>
      <c r="L2153" s="20">
        <v>6716.05</v>
      </c>
      <c r="M2153" s="21">
        <v>0</v>
      </c>
      <c r="N2153" s="21">
        <v>0.70642219346205803</v>
      </c>
      <c r="O2153" s="20">
        <f t="shared" si="132"/>
        <v>20148.150000000001</v>
      </c>
      <c r="P2153" s="20">
        <f t="shared" si="133"/>
        <v>14233.100317202565</v>
      </c>
      <c r="Q2153" s="20">
        <f t="shared" si="134"/>
        <v>5915.0496827974366</v>
      </c>
      <c r="R2153" s="22">
        <f t="shared" si="135"/>
        <v>0.29357780653794202</v>
      </c>
    </row>
    <row r="2154" spans="1:18">
      <c r="A2154" s="18">
        <v>3153</v>
      </c>
      <c r="B2154" s="19" t="s">
        <v>733</v>
      </c>
      <c r="C2154" s="18">
        <v>2025</v>
      </c>
      <c r="D2154" s="18" t="s">
        <v>59</v>
      </c>
      <c r="E2154" s="18" t="s">
        <v>98</v>
      </c>
      <c r="F2154" s="18" t="s">
        <v>99</v>
      </c>
      <c r="G2154" s="18" t="s">
        <v>47</v>
      </c>
      <c r="H2154" s="18" t="s">
        <v>103</v>
      </c>
      <c r="I2154" s="18" t="s">
        <v>43</v>
      </c>
      <c r="J2154" s="18" t="s">
        <v>102</v>
      </c>
      <c r="K2154" s="18">
        <v>6</v>
      </c>
      <c r="L2154" s="20">
        <v>3212.26</v>
      </c>
      <c r="M2154" s="21">
        <v>0.1</v>
      </c>
      <c r="N2154" s="21">
        <v>0.65868797364407194</v>
      </c>
      <c r="O2154" s="20">
        <f t="shared" si="132"/>
        <v>17346.204000000002</v>
      </c>
      <c r="P2154" s="20">
        <f t="shared" si="133"/>
        <v>11425.735963176696</v>
      </c>
      <c r="Q2154" s="20">
        <f t="shared" si="134"/>
        <v>5920.4680368233057</v>
      </c>
      <c r="R2154" s="22">
        <f t="shared" si="135"/>
        <v>0.34131202635592811</v>
      </c>
    </row>
    <row r="2155" spans="1:18">
      <c r="A2155" s="18">
        <v>3154</v>
      </c>
      <c r="B2155" s="19" t="s">
        <v>734</v>
      </c>
      <c r="C2155" s="18">
        <v>2025</v>
      </c>
      <c r="D2155" s="18" t="s">
        <v>59</v>
      </c>
      <c r="E2155" s="18" t="s">
        <v>85</v>
      </c>
      <c r="F2155" s="18" t="s">
        <v>121</v>
      </c>
      <c r="G2155" s="18" t="s">
        <v>41</v>
      </c>
      <c r="H2155" s="18" t="s">
        <v>90</v>
      </c>
      <c r="I2155" s="18" t="s">
        <v>62</v>
      </c>
      <c r="J2155" s="18" t="s">
        <v>82</v>
      </c>
      <c r="K2155" s="18">
        <v>9</v>
      </c>
      <c r="L2155" s="20">
        <v>17688.09</v>
      </c>
      <c r="M2155" s="21">
        <v>0.15</v>
      </c>
      <c r="N2155" s="21">
        <v>0.657446746615302</v>
      </c>
      <c r="O2155" s="20">
        <f t="shared" si="132"/>
        <v>135313.8885</v>
      </c>
      <c r="P2155" s="20">
        <f t="shared" si="133"/>
        <v>88961.675766190732</v>
      </c>
      <c r="Q2155" s="20">
        <f t="shared" si="134"/>
        <v>46352.212733809269</v>
      </c>
      <c r="R2155" s="22">
        <f t="shared" si="135"/>
        <v>0.34255325338469794</v>
      </c>
    </row>
    <row r="2156" spans="1:18">
      <c r="A2156" s="18">
        <v>3155</v>
      </c>
      <c r="B2156" s="19" t="s">
        <v>734</v>
      </c>
      <c r="C2156" s="18">
        <v>2025</v>
      </c>
      <c r="D2156" s="18" t="s">
        <v>59</v>
      </c>
      <c r="E2156" s="18" t="s">
        <v>85</v>
      </c>
      <c r="F2156" s="18" t="s">
        <v>121</v>
      </c>
      <c r="G2156" s="18" t="s">
        <v>47</v>
      </c>
      <c r="H2156" s="18" t="s">
        <v>81</v>
      </c>
      <c r="I2156" s="18" t="s">
        <v>40</v>
      </c>
      <c r="J2156" s="18" t="s">
        <v>82</v>
      </c>
      <c r="K2156" s="18">
        <v>7</v>
      </c>
      <c r="L2156" s="20">
        <v>774.21</v>
      </c>
      <c r="M2156" s="21">
        <v>0.15</v>
      </c>
      <c r="N2156" s="21">
        <v>0.73311325599616495</v>
      </c>
      <c r="O2156" s="20">
        <f t="shared" si="132"/>
        <v>4606.5495000000001</v>
      </c>
      <c r="P2156" s="20">
        <f t="shared" si="133"/>
        <v>3377.1225028525055</v>
      </c>
      <c r="Q2156" s="20">
        <f t="shared" si="134"/>
        <v>1229.4269971474946</v>
      </c>
      <c r="R2156" s="22">
        <f t="shared" si="135"/>
        <v>0.26688674400383511</v>
      </c>
    </row>
    <row r="2157" spans="1:18">
      <c r="A2157" s="18">
        <v>3156</v>
      </c>
      <c r="B2157" s="19" t="s">
        <v>734</v>
      </c>
      <c r="C2157" s="18">
        <v>2025</v>
      </c>
      <c r="D2157" s="18" t="s">
        <v>59</v>
      </c>
      <c r="E2157" s="18" t="s">
        <v>85</v>
      </c>
      <c r="F2157" s="18" t="s">
        <v>121</v>
      </c>
      <c r="G2157" s="18" t="s">
        <v>50</v>
      </c>
      <c r="H2157" s="18" t="s">
        <v>83</v>
      </c>
      <c r="I2157" s="18" t="s">
        <v>54</v>
      </c>
      <c r="J2157" s="18" t="s">
        <v>102</v>
      </c>
      <c r="K2157" s="18">
        <v>6</v>
      </c>
      <c r="L2157" s="20">
        <v>3596.58</v>
      </c>
      <c r="M2157" s="21">
        <v>0.1</v>
      </c>
      <c r="N2157" s="21">
        <v>0.677561176421831</v>
      </c>
      <c r="O2157" s="20">
        <f t="shared" si="132"/>
        <v>19421.531999999999</v>
      </c>
      <c r="P2157" s="20">
        <f t="shared" si="133"/>
        <v>13159.276069834235</v>
      </c>
      <c r="Q2157" s="20">
        <f t="shared" si="134"/>
        <v>6262.2559301657639</v>
      </c>
      <c r="R2157" s="22">
        <f t="shared" si="135"/>
        <v>0.322438823578169</v>
      </c>
    </row>
    <row r="2158" spans="1:18">
      <c r="A2158" s="18">
        <v>3157</v>
      </c>
      <c r="B2158" s="19" t="s">
        <v>734</v>
      </c>
      <c r="C2158" s="18">
        <v>2025</v>
      </c>
      <c r="D2158" s="18" t="s">
        <v>59</v>
      </c>
      <c r="E2158" s="18" t="s">
        <v>98</v>
      </c>
      <c r="F2158" s="18" t="s">
        <v>109</v>
      </c>
      <c r="G2158" s="18" t="s">
        <v>47</v>
      </c>
      <c r="H2158" s="18" t="s">
        <v>103</v>
      </c>
      <c r="I2158" s="18" t="s">
        <v>43</v>
      </c>
      <c r="J2158" s="18" t="s">
        <v>102</v>
      </c>
      <c r="K2158" s="18">
        <v>7</v>
      </c>
      <c r="L2158" s="20">
        <v>3271.75</v>
      </c>
      <c r="M2158" s="21">
        <v>0</v>
      </c>
      <c r="N2158" s="21">
        <v>0.609238859502232</v>
      </c>
      <c r="O2158" s="20">
        <f t="shared" si="132"/>
        <v>22902.25</v>
      </c>
      <c r="P2158" s="20">
        <f t="shared" si="133"/>
        <v>13952.940670034994</v>
      </c>
      <c r="Q2158" s="20">
        <f t="shared" si="134"/>
        <v>8949.3093299650063</v>
      </c>
      <c r="R2158" s="22">
        <f t="shared" si="135"/>
        <v>0.39076114049776794</v>
      </c>
    </row>
    <row r="2159" spans="1:18">
      <c r="A2159" s="18">
        <v>3158</v>
      </c>
      <c r="B2159" s="19" t="s">
        <v>734</v>
      </c>
      <c r="C2159" s="18">
        <v>2025</v>
      </c>
      <c r="D2159" s="18" t="s">
        <v>59</v>
      </c>
      <c r="E2159" s="18" t="s">
        <v>88</v>
      </c>
      <c r="F2159" s="18" t="s">
        <v>110</v>
      </c>
      <c r="G2159" s="18" t="s">
        <v>44</v>
      </c>
      <c r="H2159" s="18" t="s">
        <v>95</v>
      </c>
      <c r="I2159" s="18" t="s">
        <v>56</v>
      </c>
      <c r="J2159" s="18" t="s">
        <v>82</v>
      </c>
      <c r="K2159" s="18">
        <v>3</v>
      </c>
      <c r="L2159" s="20">
        <v>4308.8</v>
      </c>
      <c r="M2159" s="21">
        <v>0</v>
      </c>
      <c r="N2159" s="21">
        <v>0.55342154995447201</v>
      </c>
      <c r="O2159" s="20">
        <f t="shared" si="132"/>
        <v>12926.400000000001</v>
      </c>
      <c r="P2159" s="20">
        <f t="shared" si="133"/>
        <v>7153.7483233314879</v>
      </c>
      <c r="Q2159" s="20">
        <f t="shared" si="134"/>
        <v>5772.6516766685136</v>
      </c>
      <c r="R2159" s="22">
        <f t="shared" si="135"/>
        <v>0.44657845004552799</v>
      </c>
    </row>
    <row r="2160" spans="1:18">
      <c r="A2160" s="18">
        <v>3159</v>
      </c>
      <c r="B2160" s="19" t="s">
        <v>735</v>
      </c>
      <c r="C2160" s="18">
        <v>2025</v>
      </c>
      <c r="D2160" s="18" t="s">
        <v>59</v>
      </c>
      <c r="E2160" s="18" t="s">
        <v>79</v>
      </c>
      <c r="F2160" s="18" t="s">
        <v>105</v>
      </c>
      <c r="G2160" s="18" t="s">
        <v>44</v>
      </c>
      <c r="H2160" s="18" t="s">
        <v>95</v>
      </c>
      <c r="I2160" s="18" t="s">
        <v>52</v>
      </c>
      <c r="J2160" s="18" t="s">
        <v>102</v>
      </c>
      <c r="K2160" s="18">
        <v>4</v>
      </c>
      <c r="L2160" s="20">
        <v>4633.13</v>
      </c>
      <c r="M2160" s="21">
        <v>0</v>
      </c>
      <c r="N2160" s="21">
        <v>0.60628090162983395</v>
      </c>
      <c r="O2160" s="20">
        <f t="shared" si="132"/>
        <v>18532.52</v>
      </c>
      <c r="P2160" s="20">
        <f t="shared" si="133"/>
        <v>11235.912935072931</v>
      </c>
      <c r="Q2160" s="20">
        <f t="shared" si="134"/>
        <v>7296.6070649270696</v>
      </c>
      <c r="R2160" s="22">
        <f t="shared" si="135"/>
        <v>0.39371909837016605</v>
      </c>
    </row>
    <row r="2161" spans="1:18">
      <c r="A2161" s="18">
        <v>3160</v>
      </c>
      <c r="B2161" s="19" t="s">
        <v>735</v>
      </c>
      <c r="C2161" s="18">
        <v>2025</v>
      </c>
      <c r="D2161" s="18" t="s">
        <v>59</v>
      </c>
      <c r="E2161" s="18" t="s">
        <v>85</v>
      </c>
      <c r="F2161" s="18" t="s">
        <v>94</v>
      </c>
      <c r="G2161" s="18" t="s">
        <v>41</v>
      </c>
      <c r="H2161" s="18" t="s">
        <v>90</v>
      </c>
      <c r="I2161" s="18" t="s">
        <v>58</v>
      </c>
      <c r="J2161" s="18" t="s">
        <v>102</v>
      </c>
      <c r="K2161" s="18">
        <v>8</v>
      </c>
      <c r="L2161" s="20">
        <v>17376.16</v>
      </c>
      <c r="M2161" s="21">
        <v>0.1</v>
      </c>
      <c r="N2161" s="21">
        <v>0.66762550265999199</v>
      </c>
      <c r="O2161" s="20">
        <f t="shared" si="132"/>
        <v>125108.352</v>
      </c>
      <c r="P2161" s="20">
        <f t="shared" si="133"/>
        <v>83525.526390963219</v>
      </c>
      <c r="Q2161" s="20">
        <f t="shared" si="134"/>
        <v>41582.825609036779</v>
      </c>
      <c r="R2161" s="22">
        <f t="shared" si="135"/>
        <v>0.33237449734000796</v>
      </c>
    </row>
    <row r="2162" spans="1:18">
      <c r="A2162" s="18">
        <v>3161</v>
      </c>
      <c r="B2162" s="19" t="s">
        <v>736</v>
      </c>
      <c r="C2162" s="18">
        <v>2025</v>
      </c>
      <c r="D2162" s="18" t="s">
        <v>59</v>
      </c>
      <c r="E2162" s="18" t="s">
        <v>79</v>
      </c>
      <c r="F2162" s="18" t="s">
        <v>80</v>
      </c>
      <c r="G2162" s="18" t="s">
        <v>44</v>
      </c>
      <c r="H2162" s="18" t="s">
        <v>95</v>
      </c>
      <c r="I2162" s="18" t="s">
        <v>49</v>
      </c>
      <c r="J2162" s="18" t="s">
        <v>82</v>
      </c>
      <c r="K2162" s="18">
        <v>12</v>
      </c>
      <c r="L2162" s="20">
        <v>4522.3</v>
      </c>
      <c r="M2162" s="21">
        <v>0</v>
      </c>
      <c r="N2162" s="21">
        <v>0.59386803340194105</v>
      </c>
      <c r="O2162" s="20">
        <f t="shared" si="132"/>
        <v>54267.600000000006</v>
      </c>
      <c r="P2162" s="20">
        <f t="shared" si="133"/>
        <v>32227.792889443179</v>
      </c>
      <c r="Q2162" s="20">
        <f t="shared" si="134"/>
        <v>22039.807110556827</v>
      </c>
      <c r="R2162" s="22">
        <f t="shared" si="135"/>
        <v>0.40613196659805895</v>
      </c>
    </row>
    <row r="2163" spans="1:18">
      <c r="A2163" s="18">
        <v>3162</v>
      </c>
      <c r="B2163" s="19" t="s">
        <v>736</v>
      </c>
      <c r="C2163" s="18">
        <v>2025</v>
      </c>
      <c r="D2163" s="18" t="s">
        <v>59</v>
      </c>
      <c r="E2163" s="18" t="s">
        <v>85</v>
      </c>
      <c r="F2163" s="18" t="s">
        <v>121</v>
      </c>
      <c r="G2163" s="18" t="s">
        <v>50</v>
      </c>
      <c r="H2163" s="18" t="s">
        <v>83</v>
      </c>
      <c r="I2163" s="18" t="s">
        <v>46</v>
      </c>
      <c r="J2163" s="18" t="s">
        <v>102</v>
      </c>
      <c r="K2163" s="18">
        <v>1</v>
      </c>
      <c r="L2163" s="20">
        <v>3346.84</v>
      </c>
      <c r="M2163" s="21">
        <v>0.05</v>
      </c>
      <c r="N2163" s="21">
        <v>0.73724923908219997</v>
      </c>
      <c r="O2163" s="20">
        <f t="shared" si="132"/>
        <v>3179.498</v>
      </c>
      <c r="P2163" s="20">
        <f t="shared" si="133"/>
        <v>2344.0824811633765</v>
      </c>
      <c r="Q2163" s="20">
        <f t="shared" si="134"/>
        <v>835.41551883662351</v>
      </c>
      <c r="R2163" s="22">
        <f t="shared" si="135"/>
        <v>0.26275076091780009</v>
      </c>
    </row>
    <row r="2164" spans="1:18">
      <c r="A2164" s="18">
        <v>3163</v>
      </c>
      <c r="B2164" s="19" t="s">
        <v>736</v>
      </c>
      <c r="C2164" s="18">
        <v>2025</v>
      </c>
      <c r="D2164" s="18" t="s">
        <v>59</v>
      </c>
      <c r="E2164" s="18" t="s">
        <v>88</v>
      </c>
      <c r="F2164" s="18" t="s">
        <v>93</v>
      </c>
      <c r="G2164" s="18" t="s">
        <v>47</v>
      </c>
      <c r="H2164" s="18" t="s">
        <v>81</v>
      </c>
      <c r="I2164" s="18" t="s">
        <v>60</v>
      </c>
      <c r="J2164" s="18" t="s">
        <v>91</v>
      </c>
      <c r="K2164" s="18">
        <v>4</v>
      </c>
      <c r="L2164" s="20">
        <v>829.84</v>
      </c>
      <c r="M2164" s="21">
        <v>0</v>
      </c>
      <c r="N2164" s="21">
        <v>0.61435309593649001</v>
      </c>
      <c r="O2164" s="20">
        <f t="shared" si="132"/>
        <v>3319.36</v>
      </c>
      <c r="P2164" s="20">
        <f t="shared" si="133"/>
        <v>2039.2590925277475</v>
      </c>
      <c r="Q2164" s="20">
        <f t="shared" si="134"/>
        <v>1280.1009074722526</v>
      </c>
      <c r="R2164" s="22">
        <f t="shared" si="135"/>
        <v>0.38564690406350999</v>
      </c>
    </row>
    <row r="2165" spans="1:18">
      <c r="A2165" s="18">
        <v>3164</v>
      </c>
      <c r="B2165" s="19" t="s">
        <v>736</v>
      </c>
      <c r="C2165" s="18">
        <v>2025</v>
      </c>
      <c r="D2165" s="18" t="s">
        <v>59</v>
      </c>
      <c r="E2165" s="18" t="s">
        <v>79</v>
      </c>
      <c r="F2165" s="18" t="s">
        <v>105</v>
      </c>
      <c r="G2165" s="18" t="s">
        <v>44</v>
      </c>
      <c r="H2165" s="18" t="s">
        <v>114</v>
      </c>
      <c r="I2165" s="18" t="s">
        <v>49</v>
      </c>
      <c r="J2165" s="18" t="s">
        <v>102</v>
      </c>
      <c r="K2165" s="18">
        <v>4</v>
      </c>
      <c r="L2165" s="20">
        <v>9044.85</v>
      </c>
      <c r="M2165" s="21">
        <v>0</v>
      </c>
      <c r="N2165" s="21">
        <v>0.73706351124536695</v>
      </c>
      <c r="O2165" s="20">
        <f t="shared" si="132"/>
        <v>36179.4</v>
      </c>
      <c r="P2165" s="20">
        <f t="shared" si="133"/>
        <v>26666.51559875063</v>
      </c>
      <c r="Q2165" s="20">
        <f t="shared" si="134"/>
        <v>9512.8844012493719</v>
      </c>
      <c r="R2165" s="22">
        <f t="shared" si="135"/>
        <v>0.26293648875463305</v>
      </c>
    </row>
    <row r="2166" spans="1:18">
      <c r="A2166" s="18">
        <v>3165</v>
      </c>
      <c r="B2166" s="19" t="s">
        <v>737</v>
      </c>
      <c r="C2166" s="18">
        <v>2025</v>
      </c>
      <c r="D2166" s="18" t="s">
        <v>59</v>
      </c>
      <c r="E2166" s="18" t="s">
        <v>85</v>
      </c>
      <c r="F2166" s="18" t="s">
        <v>94</v>
      </c>
      <c r="G2166" s="18" t="s">
        <v>44</v>
      </c>
      <c r="H2166" s="18" t="s">
        <v>95</v>
      </c>
      <c r="I2166" s="18" t="s">
        <v>62</v>
      </c>
      <c r="J2166" s="18" t="s">
        <v>102</v>
      </c>
      <c r="K2166" s="18">
        <v>1</v>
      </c>
      <c r="L2166" s="20">
        <v>4301.84</v>
      </c>
      <c r="M2166" s="21">
        <v>0.1</v>
      </c>
      <c r="N2166" s="21">
        <v>0.65679637446628003</v>
      </c>
      <c r="O2166" s="20">
        <f t="shared" si="132"/>
        <v>3871.6560000000004</v>
      </c>
      <c r="P2166" s="20">
        <f t="shared" si="133"/>
        <v>2542.8896239806199</v>
      </c>
      <c r="Q2166" s="20">
        <f t="shared" si="134"/>
        <v>1328.7663760193805</v>
      </c>
      <c r="R2166" s="22">
        <f t="shared" si="135"/>
        <v>0.34320362553372002</v>
      </c>
    </row>
    <row r="2167" spans="1:18">
      <c r="A2167" s="18">
        <v>3166</v>
      </c>
      <c r="B2167" s="19" t="s">
        <v>737</v>
      </c>
      <c r="C2167" s="18">
        <v>2025</v>
      </c>
      <c r="D2167" s="18" t="s">
        <v>59</v>
      </c>
      <c r="E2167" s="18" t="s">
        <v>85</v>
      </c>
      <c r="F2167" s="18" t="s">
        <v>86</v>
      </c>
      <c r="G2167" s="18" t="s">
        <v>50</v>
      </c>
      <c r="H2167" s="18" t="s">
        <v>97</v>
      </c>
      <c r="I2167" s="18" t="s">
        <v>49</v>
      </c>
      <c r="J2167" s="18" t="s">
        <v>82</v>
      </c>
      <c r="K2167" s="18">
        <v>3</v>
      </c>
      <c r="L2167" s="20">
        <v>12412.6</v>
      </c>
      <c r="M2167" s="21">
        <v>0</v>
      </c>
      <c r="N2167" s="21">
        <v>0.72640282641661302</v>
      </c>
      <c r="O2167" s="20">
        <f t="shared" si="132"/>
        <v>37237.800000000003</v>
      </c>
      <c r="P2167" s="20">
        <f t="shared" si="133"/>
        <v>27049.643169536554</v>
      </c>
      <c r="Q2167" s="20">
        <f t="shared" si="134"/>
        <v>10188.156830463449</v>
      </c>
      <c r="R2167" s="22">
        <f t="shared" si="135"/>
        <v>0.27359717358338698</v>
      </c>
    </row>
    <row r="2168" spans="1:18">
      <c r="A2168" s="18">
        <v>3167</v>
      </c>
      <c r="B2168" s="19" t="s">
        <v>737</v>
      </c>
      <c r="C2168" s="18">
        <v>2025</v>
      </c>
      <c r="D2168" s="18" t="s">
        <v>59</v>
      </c>
      <c r="E2168" s="18" t="s">
        <v>85</v>
      </c>
      <c r="F2168" s="18" t="s">
        <v>94</v>
      </c>
      <c r="G2168" s="18" t="s">
        <v>44</v>
      </c>
      <c r="H2168" s="18" t="s">
        <v>119</v>
      </c>
      <c r="I2168" s="18" t="s">
        <v>58</v>
      </c>
      <c r="J2168" s="18" t="s">
        <v>91</v>
      </c>
      <c r="K2168" s="18">
        <v>12</v>
      </c>
      <c r="L2168" s="20">
        <v>6708.31</v>
      </c>
      <c r="M2168" s="21">
        <v>0.05</v>
      </c>
      <c r="N2168" s="21">
        <v>0.67699994759864301</v>
      </c>
      <c r="O2168" s="20">
        <f t="shared" si="132"/>
        <v>76474.733999999997</v>
      </c>
      <c r="P2168" s="20">
        <f t="shared" si="133"/>
        <v>51773.390910620161</v>
      </c>
      <c r="Q2168" s="20">
        <f t="shared" si="134"/>
        <v>24701.343089379836</v>
      </c>
      <c r="R2168" s="22">
        <f t="shared" si="135"/>
        <v>0.32300005240135699</v>
      </c>
    </row>
    <row r="2169" spans="1:18">
      <c r="A2169" s="18">
        <v>3168</v>
      </c>
      <c r="B2169" s="19" t="s">
        <v>738</v>
      </c>
      <c r="C2169" s="18">
        <v>2025</v>
      </c>
      <c r="D2169" s="18" t="s">
        <v>59</v>
      </c>
      <c r="E2169" s="18" t="s">
        <v>88</v>
      </c>
      <c r="F2169" s="18" t="s">
        <v>89</v>
      </c>
      <c r="G2169" s="18" t="s">
        <v>50</v>
      </c>
      <c r="H2169" s="18" t="s">
        <v>83</v>
      </c>
      <c r="I2169" s="18" t="s">
        <v>49</v>
      </c>
      <c r="J2169" s="18" t="s">
        <v>91</v>
      </c>
      <c r="K2169" s="18">
        <v>9</v>
      </c>
      <c r="L2169" s="20">
        <v>3431.65</v>
      </c>
      <c r="M2169" s="21">
        <v>0</v>
      </c>
      <c r="N2169" s="21">
        <v>0.55016409601740202</v>
      </c>
      <c r="O2169" s="20">
        <f t="shared" si="132"/>
        <v>30884.850000000002</v>
      </c>
      <c r="P2169" s="20">
        <f t="shared" si="133"/>
        <v>16991.735580883062</v>
      </c>
      <c r="Q2169" s="20">
        <f t="shared" si="134"/>
        <v>13893.114419116941</v>
      </c>
      <c r="R2169" s="22">
        <f t="shared" si="135"/>
        <v>0.44983590398259793</v>
      </c>
    </row>
    <row r="2170" spans="1:18">
      <c r="A2170" s="18">
        <v>3169</v>
      </c>
      <c r="B2170" s="19" t="s">
        <v>738</v>
      </c>
      <c r="C2170" s="18">
        <v>2025</v>
      </c>
      <c r="D2170" s="18" t="s">
        <v>59</v>
      </c>
      <c r="E2170" s="18" t="s">
        <v>79</v>
      </c>
      <c r="F2170" s="18" t="s">
        <v>100</v>
      </c>
      <c r="G2170" s="18" t="s">
        <v>44</v>
      </c>
      <c r="H2170" s="18" t="s">
        <v>95</v>
      </c>
      <c r="I2170" s="18" t="s">
        <v>60</v>
      </c>
      <c r="J2170" s="18" t="s">
        <v>82</v>
      </c>
      <c r="K2170" s="18">
        <v>4</v>
      </c>
      <c r="L2170" s="20">
        <v>4680.03</v>
      </c>
      <c r="M2170" s="21">
        <v>0.2</v>
      </c>
      <c r="N2170" s="21">
        <v>0.67175475977712096</v>
      </c>
      <c r="O2170" s="20">
        <f t="shared" si="132"/>
        <v>14976.096</v>
      </c>
      <c r="P2170" s="20">
        <f t="shared" si="133"/>
        <v>10060.263770879103</v>
      </c>
      <c r="Q2170" s="20">
        <f t="shared" si="134"/>
        <v>4915.832229120897</v>
      </c>
      <c r="R2170" s="22">
        <f t="shared" si="135"/>
        <v>0.32824524022287899</v>
      </c>
    </row>
    <row r="2171" spans="1:18">
      <c r="A2171" s="18">
        <v>3170</v>
      </c>
      <c r="B2171" s="19" t="s">
        <v>738</v>
      </c>
      <c r="C2171" s="18">
        <v>2025</v>
      </c>
      <c r="D2171" s="18" t="s">
        <v>59</v>
      </c>
      <c r="E2171" s="18" t="s">
        <v>79</v>
      </c>
      <c r="F2171" s="18" t="s">
        <v>80</v>
      </c>
      <c r="G2171" s="18" t="s">
        <v>44</v>
      </c>
      <c r="H2171" s="18" t="s">
        <v>114</v>
      </c>
      <c r="I2171" s="18" t="s">
        <v>46</v>
      </c>
      <c r="J2171" s="18" t="s">
        <v>91</v>
      </c>
      <c r="K2171" s="18">
        <v>12</v>
      </c>
      <c r="L2171" s="20">
        <v>9090.08</v>
      </c>
      <c r="M2171" s="21">
        <v>0</v>
      </c>
      <c r="N2171" s="21">
        <v>0.65567099523077998</v>
      </c>
      <c r="O2171" s="20">
        <f t="shared" si="132"/>
        <v>109080.95999999999</v>
      </c>
      <c r="P2171" s="20">
        <f t="shared" si="133"/>
        <v>71521.221603928891</v>
      </c>
      <c r="Q2171" s="20">
        <f t="shared" si="134"/>
        <v>37559.738396071101</v>
      </c>
      <c r="R2171" s="22">
        <f t="shared" si="135"/>
        <v>0.34432900476922007</v>
      </c>
    </row>
    <row r="2172" spans="1:18">
      <c r="A2172" s="18">
        <v>3171</v>
      </c>
      <c r="B2172" s="19" t="s">
        <v>738</v>
      </c>
      <c r="C2172" s="18">
        <v>2025</v>
      </c>
      <c r="D2172" s="18" t="s">
        <v>59</v>
      </c>
      <c r="E2172" s="18" t="s">
        <v>98</v>
      </c>
      <c r="F2172" s="18" t="s">
        <v>99</v>
      </c>
      <c r="G2172" s="18" t="s">
        <v>41</v>
      </c>
      <c r="H2172" s="18" t="s">
        <v>112</v>
      </c>
      <c r="I2172" s="18" t="s">
        <v>58</v>
      </c>
      <c r="J2172" s="18" t="s">
        <v>91</v>
      </c>
      <c r="K2172" s="18">
        <v>7</v>
      </c>
      <c r="L2172" s="20">
        <v>5756.98</v>
      </c>
      <c r="M2172" s="21">
        <v>0</v>
      </c>
      <c r="N2172" s="21">
        <v>0.63449838721084295</v>
      </c>
      <c r="O2172" s="20">
        <f t="shared" si="132"/>
        <v>40298.86</v>
      </c>
      <c r="P2172" s="20">
        <f t="shared" si="133"/>
        <v>25569.561676435551</v>
      </c>
      <c r="Q2172" s="20">
        <f t="shared" si="134"/>
        <v>14729.29832356445</v>
      </c>
      <c r="R2172" s="22">
        <f t="shared" si="135"/>
        <v>0.36550161278915705</v>
      </c>
    </row>
    <row r="2173" spans="1:18">
      <c r="A2173" s="18">
        <v>3172</v>
      </c>
      <c r="B2173" s="19" t="s">
        <v>738</v>
      </c>
      <c r="C2173" s="18">
        <v>2025</v>
      </c>
      <c r="D2173" s="18" t="s">
        <v>59</v>
      </c>
      <c r="E2173" s="18" t="s">
        <v>98</v>
      </c>
      <c r="F2173" s="18" t="s">
        <v>99</v>
      </c>
      <c r="G2173" s="18" t="s">
        <v>44</v>
      </c>
      <c r="H2173" s="18" t="s">
        <v>119</v>
      </c>
      <c r="I2173" s="18" t="s">
        <v>60</v>
      </c>
      <c r="J2173" s="18" t="s">
        <v>102</v>
      </c>
      <c r="K2173" s="18">
        <v>2</v>
      </c>
      <c r="L2173" s="20">
        <v>7249.41</v>
      </c>
      <c r="M2173" s="21">
        <v>0.05</v>
      </c>
      <c r="N2173" s="21">
        <v>0.59947245682824302</v>
      </c>
      <c r="O2173" s="20">
        <f t="shared" si="132"/>
        <v>13773.878999999999</v>
      </c>
      <c r="P2173" s="20">
        <f t="shared" si="133"/>
        <v>8257.061084184943</v>
      </c>
      <c r="Q2173" s="20">
        <f t="shared" si="134"/>
        <v>5516.817915815056</v>
      </c>
      <c r="R2173" s="22">
        <f t="shared" si="135"/>
        <v>0.40052754317175693</v>
      </c>
    </row>
    <row r="2174" spans="1:18">
      <c r="A2174" s="18">
        <v>3173</v>
      </c>
      <c r="B2174" s="19" t="s">
        <v>739</v>
      </c>
      <c r="C2174" s="18">
        <v>2025</v>
      </c>
      <c r="D2174" s="18" t="s">
        <v>59</v>
      </c>
      <c r="E2174" s="18" t="s">
        <v>88</v>
      </c>
      <c r="F2174" s="18" t="s">
        <v>89</v>
      </c>
      <c r="G2174" s="18" t="s">
        <v>50</v>
      </c>
      <c r="H2174" s="18" t="s">
        <v>97</v>
      </c>
      <c r="I2174" s="18" t="s">
        <v>43</v>
      </c>
      <c r="J2174" s="18" t="s">
        <v>91</v>
      </c>
      <c r="K2174" s="18">
        <v>9</v>
      </c>
      <c r="L2174" s="20">
        <v>12233.75</v>
      </c>
      <c r="M2174" s="21">
        <v>0.05</v>
      </c>
      <c r="N2174" s="21">
        <v>0.74398739724370999</v>
      </c>
      <c r="O2174" s="20">
        <f t="shared" si="132"/>
        <v>104598.5625</v>
      </c>
      <c r="P2174" s="20">
        <f t="shared" si="133"/>
        <v>77820.012269808532</v>
      </c>
      <c r="Q2174" s="20">
        <f t="shared" si="134"/>
        <v>26778.550230191468</v>
      </c>
      <c r="R2174" s="22">
        <f t="shared" si="135"/>
        <v>0.25601260275628995</v>
      </c>
    </row>
    <row r="2175" spans="1:18">
      <c r="A2175" s="18">
        <v>3174</v>
      </c>
      <c r="B2175" s="19" t="s">
        <v>739</v>
      </c>
      <c r="C2175" s="18">
        <v>2025</v>
      </c>
      <c r="D2175" s="18" t="s">
        <v>59</v>
      </c>
      <c r="E2175" s="18" t="s">
        <v>85</v>
      </c>
      <c r="F2175" s="18" t="s">
        <v>94</v>
      </c>
      <c r="G2175" s="18" t="s">
        <v>44</v>
      </c>
      <c r="H2175" s="18" t="s">
        <v>95</v>
      </c>
      <c r="I2175" s="18" t="s">
        <v>52</v>
      </c>
      <c r="J2175" s="18" t="s">
        <v>91</v>
      </c>
      <c r="K2175" s="18">
        <v>11</v>
      </c>
      <c r="L2175" s="20">
        <v>4498.87</v>
      </c>
      <c r="M2175" s="21">
        <v>0.2</v>
      </c>
      <c r="N2175" s="21">
        <v>0.68511138709878405</v>
      </c>
      <c r="O2175" s="20">
        <f t="shared" si="132"/>
        <v>39590.056000000004</v>
      </c>
      <c r="P2175" s="20">
        <f t="shared" si="133"/>
        <v>27123.598181478541</v>
      </c>
      <c r="Q2175" s="20">
        <f t="shared" si="134"/>
        <v>12466.457818521463</v>
      </c>
      <c r="R2175" s="22">
        <f t="shared" si="135"/>
        <v>0.31488861290121595</v>
      </c>
    </row>
    <row r="2176" spans="1:18">
      <c r="A2176" s="18">
        <v>3175</v>
      </c>
      <c r="B2176" s="19" t="s">
        <v>740</v>
      </c>
      <c r="C2176" s="18">
        <v>2025</v>
      </c>
      <c r="D2176" s="18" t="s">
        <v>59</v>
      </c>
      <c r="E2176" s="18" t="s">
        <v>85</v>
      </c>
      <c r="F2176" s="18" t="s">
        <v>121</v>
      </c>
      <c r="G2176" s="18" t="s">
        <v>47</v>
      </c>
      <c r="H2176" s="18" t="s">
        <v>103</v>
      </c>
      <c r="I2176" s="18" t="s">
        <v>56</v>
      </c>
      <c r="J2176" s="18" t="s">
        <v>102</v>
      </c>
      <c r="K2176" s="18">
        <v>7</v>
      </c>
      <c r="L2176" s="20">
        <v>3284.39</v>
      </c>
      <c r="M2176" s="21">
        <v>0.15</v>
      </c>
      <c r="N2176" s="21">
        <v>0.72397552185341996</v>
      </c>
      <c r="O2176" s="20">
        <f t="shared" si="132"/>
        <v>19542.120500000001</v>
      </c>
      <c r="P2176" s="20">
        <f t="shared" si="133"/>
        <v>14148.016887109918</v>
      </c>
      <c r="Q2176" s="20">
        <f t="shared" si="134"/>
        <v>5394.1036128900832</v>
      </c>
      <c r="R2176" s="22">
        <f t="shared" si="135"/>
        <v>0.27602447814657999</v>
      </c>
    </row>
    <row r="2177" spans="1:18">
      <c r="A2177" s="18">
        <v>3176</v>
      </c>
      <c r="B2177" s="19" t="s">
        <v>740</v>
      </c>
      <c r="C2177" s="18">
        <v>2025</v>
      </c>
      <c r="D2177" s="18" t="s">
        <v>59</v>
      </c>
      <c r="E2177" s="18" t="s">
        <v>79</v>
      </c>
      <c r="F2177" s="18" t="s">
        <v>100</v>
      </c>
      <c r="G2177" s="18" t="s">
        <v>47</v>
      </c>
      <c r="H2177" s="18" t="s">
        <v>107</v>
      </c>
      <c r="I2177" s="18" t="s">
        <v>49</v>
      </c>
      <c r="J2177" s="18" t="s">
        <v>91</v>
      </c>
      <c r="K2177" s="18">
        <v>10</v>
      </c>
      <c r="L2177" s="20">
        <v>2201.59</v>
      </c>
      <c r="M2177" s="21">
        <v>0.15</v>
      </c>
      <c r="N2177" s="21">
        <v>0.72822182618442799</v>
      </c>
      <c r="O2177" s="20">
        <f t="shared" si="132"/>
        <v>18713.514999999999</v>
      </c>
      <c r="P2177" s="20">
        <f t="shared" si="133"/>
        <v>13627.590067629686</v>
      </c>
      <c r="Q2177" s="20">
        <f t="shared" si="134"/>
        <v>5085.9249323703134</v>
      </c>
      <c r="R2177" s="22">
        <f t="shared" si="135"/>
        <v>0.27177817381557201</v>
      </c>
    </row>
    <row r="2178" spans="1:18">
      <c r="A2178" s="18">
        <v>3177</v>
      </c>
      <c r="B2178" s="19" t="s">
        <v>740</v>
      </c>
      <c r="C2178" s="18">
        <v>2025</v>
      </c>
      <c r="D2178" s="18" t="s">
        <v>59</v>
      </c>
      <c r="E2178" s="18" t="s">
        <v>88</v>
      </c>
      <c r="F2178" s="18" t="s">
        <v>89</v>
      </c>
      <c r="G2178" s="18" t="s">
        <v>47</v>
      </c>
      <c r="H2178" s="18" t="s">
        <v>81</v>
      </c>
      <c r="I2178" s="18" t="s">
        <v>62</v>
      </c>
      <c r="J2178" s="18" t="s">
        <v>91</v>
      </c>
      <c r="K2178" s="18">
        <v>11</v>
      </c>
      <c r="L2178" s="20">
        <v>794.81</v>
      </c>
      <c r="M2178" s="21">
        <v>0.2</v>
      </c>
      <c r="N2178" s="21">
        <v>0.55180649275183102</v>
      </c>
      <c r="O2178" s="20">
        <f t="shared" ref="O2178:O2241" si="136">K2178*L2178*(1-M2178)</f>
        <v>6994.3280000000004</v>
      </c>
      <c r="P2178" s="20">
        <f t="shared" ref="P2178:P2241" si="137">O2178*N2178</f>
        <v>3859.5156028359288</v>
      </c>
      <c r="Q2178" s="20">
        <f t="shared" ref="Q2178:Q2241" si="138">O2178-P2178</f>
        <v>3134.8123971640716</v>
      </c>
      <c r="R2178" s="22">
        <f t="shared" ref="R2178:R2241" si="139">IF(O2178=0,0,Q2178/O2178)</f>
        <v>0.44819350724816903</v>
      </c>
    </row>
    <row r="2179" spans="1:18">
      <c r="A2179" s="18">
        <v>3178</v>
      </c>
      <c r="B2179" s="19" t="s">
        <v>741</v>
      </c>
      <c r="C2179" s="18">
        <v>2025</v>
      </c>
      <c r="D2179" s="18" t="s">
        <v>59</v>
      </c>
      <c r="E2179" s="18" t="s">
        <v>98</v>
      </c>
      <c r="F2179" s="18" t="s">
        <v>117</v>
      </c>
      <c r="G2179" s="18" t="s">
        <v>41</v>
      </c>
      <c r="H2179" s="18" t="s">
        <v>112</v>
      </c>
      <c r="I2179" s="18" t="s">
        <v>52</v>
      </c>
      <c r="J2179" s="18" t="s">
        <v>102</v>
      </c>
      <c r="K2179" s="18">
        <v>8</v>
      </c>
      <c r="L2179" s="20">
        <v>5785.63</v>
      </c>
      <c r="M2179" s="21">
        <v>0.15</v>
      </c>
      <c r="N2179" s="21">
        <v>0.63240114662505897</v>
      </c>
      <c r="O2179" s="20">
        <f t="shared" si="136"/>
        <v>39342.284</v>
      </c>
      <c r="P2179" s="20">
        <f t="shared" si="137"/>
        <v>24880.10551244871</v>
      </c>
      <c r="Q2179" s="20">
        <f t="shared" si="138"/>
        <v>14462.178487551289</v>
      </c>
      <c r="R2179" s="22">
        <f t="shared" si="139"/>
        <v>0.36759885337494108</v>
      </c>
    </row>
    <row r="2180" spans="1:18">
      <c r="A2180" s="18">
        <v>3179</v>
      </c>
      <c r="B2180" s="19" t="s">
        <v>741</v>
      </c>
      <c r="C2180" s="18">
        <v>2025</v>
      </c>
      <c r="D2180" s="18" t="s">
        <v>59</v>
      </c>
      <c r="E2180" s="18" t="s">
        <v>98</v>
      </c>
      <c r="F2180" s="18" t="s">
        <v>117</v>
      </c>
      <c r="G2180" s="18" t="s">
        <v>50</v>
      </c>
      <c r="H2180" s="18" t="s">
        <v>87</v>
      </c>
      <c r="I2180" s="18" t="s">
        <v>62</v>
      </c>
      <c r="J2180" s="18" t="s">
        <v>91</v>
      </c>
      <c r="K2180" s="18">
        <v>8</v>
      </c>
      <c r="L2180" s="20">
        <v>9045.51</v>
      </c>
      <c r="M2180" s="21">
        <v>0</v>
      </c>
      <c r="N2180" s="21">
        <v>0.66064915922559297</v>
      </c>
      <c r="O2180" s="20">
        <f t="shared" si="136"/>
        <v>72364.08</v>
      </c>
      <c r="P2180" s="20">
        <f t="shared" si="137"/>
        <v>47807.268610133549</v>
      </c>
      <c r="Q2180" s="20">
        <f t="shared" si="138"/>
        <v>24556.811389866452</v>
      </c>
      <c r="R2180" s="22">
        <f t="shared" si="139"/>
        <v>0.33935084077440703</v>
      </c>
    </row>
    <row r="2181" spans="1:18">
      <c r="A2181" s="18">
        <v>3180</v>
      </c>
      <c r="B2181" s="19" t="s">
        <v>741</v>
      </c>
      <c r="C2181" s="18">
        <v>2025</v>
      </c>
      <c r="D2181" s="18" t="s">
        <v>59</v>
      </c>
      <c r="E2181" s="18" t="s">
        <v>85</v>
      </c>
      <c r="F2181" s="18" t="s">
        <v>121</v>
      </c>
      <c r="G2181" s="18" t="s">
        <v>50</v>
      </c>
      <c r="H2181" s="18" t="s">
        <v>97</v>
      </c>
      <c r="I2181" s="18" t="s">
        <v>60</v>
      </c>
      <c r="J2181" s="18" t="s">
        <v>91</v>
      </c>
      <c r="K2181" s="18">
        <v>11</v>
      </c>
      <c r="L2181" s="20">
        <v>12141.37</v>
      </c>
      <c r="M2181" s="21">
        <v>0.15</v>
      </c>
      <c r="N2181" s="21">
        <v>0.60684532583598505</v>
      </c>
      <c r="O2181" s="20">
        <f t="shared" si="136"/>
        <v>113521.8095</v>
      </c>
      <c r="P2181" s="20">
        <f t="shared" si="137"/>
        <v>68890.179475518118</v>
      </c>
      <c r="Q2181" s="20">
        <f t="shared" si="138"/>
        <v>44631.630024481885</v>
      </c>
      <c r="R2181" s="22">
        <f t="shared" si="139"/>
        <v>0.39315467416401501</v>
      </c>
    </row>
    <row r="2182" spans="1:18">
      <c r="A2182" s="18">
        <v>3181</v>
      </c>
      <c r="B2182" s="19" t="s">
        <v>741</v>
      </c>
      <c r="C2182" s="18">
        <v>2025</v>
      </c>
      <c r="D2182" s="18" t="s">
        <v>59</v>
      </c>
      <c r="E2182" s="18" t="s">
        <v>98</v>
      </c>
      <c r="F2182" s="18" t="s">
        <v>117</v>
      </c>
      <c r="G2182" s="18" t="s">
        <v>44</v>
      </c>
      <c r="H2182" s="18" t="s">
        <v>95</v>
      </c>
      <c r="I2182" s="18" t="s">
        <v>60</v>
      </c>
      <c r="J2182" s="18" t="s">
        <v>91</v>
      </c>
      <c r="K2182" s="18">
        <v>2</v>
      </c>
      <c r="L2182" s="20">
        <v>4459.93</v>
      </c>
      <c r="M2182" s="21">
        <v>0</v>
      </c>
      <c r="N2182" s="21">
        <v>0.60779505199029404</v>
      </c>
      <c r="O2182" s="20">
        <f t="shared" si="136"/>
        <v>8919.86</v>
      </c>
      <c r="P2182" s="20">
        <f t="shared" si="137"/>
        <v>5421.4467724461447</v>
      </c>
      <c r="Q2182" s="20">
        <f t="shared" si="138"/>
        <v>3498.4132275538559</v>
      </c>
      <c r="R2182" s="22">
        <f t="shared" si="139"/>
        <v>0.39220494800970596</v>
      </c>
    </row>
    <row r="2183" spans="1:18">
      <c r="A2183" s="18">
        <v>3182</v>
      </c>
      <c r="B2183" s="19" t="s">
        <v>741</v>
      </c>
      <c r="C2183" s="18">
        <v>2025</v>
      </c>
      <c r="D2183" s="18" t="s">
        <v>59</v>
      </c>
      <c r="E2183" s="18" t="s">
        <v>85</v>
      </c>
      <c r="F2183" s="18" t="s">
        <v>94</v>
      </c>
      <c r="G2183" s="18" t="s">
        <v>47</v>
      </c>
      <c r="H2183" s="18" t="s">
        <v>81</v>
      </c>
      <c r="I2183" s="18" t="s">
        <v>56</v>
      </c>
      <c r="J2183" s="18" t="s">
        <v>102</v>
      </c>
      <c r="K2183" s="18">
        <v>10</v>
      </c>
      <c r="L2183" s="20">
        <v>802.91</v>
      </c>
      <c r="M2183" s="21">
        <v>0.15</v>
      </c>
      <c r="N2183" s="21">
        <v>0.57136356830185897</v>
      </c>
      <c r="O2183" s="20">
        <f t="shared" si="136"/>
        <v>6824.7349999999997</v>
      </c>
      <c r="P2183" s="20">
        <f t="shared" si="137"/>
        <v>3899.4049423145875</v>
      </c>
      <c r="Q2183" s="20">
        <f t="shared" si="138"/>
        <v>2925.3300576854122</v>
      </c>
      <c r="R2183" s="22">
        <f t="shared" si="139"/>
        <v>0.42863643169814097</v>
      </c>
    </row>
    <row r="2184" spans="1:18">
      <c r="A2184" s="18">
        <v>3183</v>
      </c>
      <c r="B2184" s="19" t="s">
        <v>742</v>
      </c>
      <c r="C2184" s="18">
        <v>2025</v>
      </c>
      <c r="D2184" s="18" t="s">
        <v>59</v>
      </c>
      <c r="E2184" s="18" t="s">
        <v>98</v>
      </c>
      <c r="F2184" s="18" t="s">
        <v>99</v>
      </c>
      <c r="G2184" s="18" t="s">
        <v>41</v>
      </c>
      <c r="H2184" s="18" t="s">
        <v>106</v>
      </c>
      <c r="I2184" s="18" t="s">
        <v>52</v>
      </c>
      <c r="J2184" s="18" t="s">
        <v>91</v>
      </c>
      <c r="K2184" s="18">
        <v>1</v>
      </c>
      <c r="L2184" s="20">
        <v>2573.08</v>
      </c>
      <c r="M2184" s="21">
        <v>0</v>
      </c>
      <c r="N2184" s="21">
        <v>0.68257626837493401</v>
      </c>
      <c r="O2184" s="20">
        <f t="shared" si="136"/>
        <v>2573.08</v>
      </c>
      <c r="P2184" s="20">
        <f t="shared" si="137"/>
        <v>1756.3233446301751</v>
      </c>
      <c r="Q2184" s="20">
        <f t="shared" si="138"/>
        <v>816.75665536982478</v>
      </c>
      <c r="R2184" s="22">
        <f t="shared" si="139"/>
        <v>0.31742373162506599</v>
      </c>
    </row>
    <row r="2185" spans="1:18">
      <c r="A2185" s="18">
        <v>3184</v>
      </c>
      <c r="B2185" s="19" t="s">
        <v>742</v>
      </c>
      <c r="C2185" s="18">
        <v>2025</v>
      </c>
      <c r="D2185" s="18" t="s">
        <v>59</v>
      </c>
      <c r="E2185" s="18" t="s">
        <v>85</v>
      </c>
      <c r="F2185" s="18" t="s">
        <v>86</v>
      </c>
      <c r="G2185" s="18" t="s">
        <v>47</v>
      </c>
      <c r="H2185" s="18" t="s">
        <v>81</v>
      </c>
      <c r="I2185" s="18" t="s">
        <v>43</v>
      </c>
      <c r="J2185" s="18" t="s">
        <v>82</v>
      </c>
      <c r="K2185" s="18">
        <v>3</v>
      </c>
      <c r="L2185" s="20">
        <v>791.88</v>
      </c>
      <c r="M2185" s="21">
        <v>0.1</v>
      </c>
      <c r="N2185" s="21">
        <v>0.55781690388427296</v>
      </c>
      <c r="O2185" s="20">
        <f t="shared" si="136"/>
        <v>2138.076</v>
      </c>
      <c r="P2185" s="20">
        <f t="shared" si="137"/>
        <v>1192.6549345892709</v>
      </c>
      <c r="Q2185" s="20">
        <f t="shared" si="138"/>
        <v>945.42106541072917</v>
      </c>
      <c r="R2185" s="22">
        <f t="shared" si="139"/>
        <v>0.44218309611572704</v>
      </c>
    </row>
    <row r="2186" spans="1:18">
      <c r="A2186" s="18">
        <v>3185</v>
      </c>
      <c r="B2186" s="19" t="s">
        <v>742</v>
      </c>
      <c r="C2186" s="18">
        <v>2025</v>
      </c>
      <c r="D2186" s="18" t="s">
        <v>59</v>
      </c>
      <c r="E2186" s="18" t="s">
        <v>85</v>
      </c>
      <c r="F2186" s="18" t="s">
        <v>121</v>
      </c>
      <c r="G2186" s="18" t="s">
        <v>41</v>
      </c>
      <c r="H2186" s="18" t="s">
        <v>90</v>
      </c>
      <c r="I2186" s="18" t="s">
        <v>60</v>
      </c>
      <c r="J2186" s="18" t="s">
        <v>82</v>
      </c>
      <c r="K2186" s="18">
        <v>5</v>
      </c>
      <c r="L2186" s="20">
        <v>18062.349999999999</v>
      </c>
      <c r="M2186" s="21">
        <v>0.05</v>
      </c>
      <c r="N2186" s="21">
        <v>0.62171385216725406</v>
      </c>
      <c r="O2186" s="20">
        <f t="shared" si="136"/>
        <v>85796.162499999991</v>
      </c>
      <c r="P2186" s="20">
        <f t="shared" si="137"/>
        <v>53340.6626890427</v>
      </c>
      <c r="Q2186" s="20">
        <f t="shared" si="138"/>
        <v>32455.499810957292</v>
      </c>
      <c r="R2186" s="22">
        <f t="shared" si="139"/>
        <v>0.37828614783274594</v>
      </c>
    </row>
    <row r="2187" spans="1:18">
      <c r="A2187" s="18">
        <v>3186</v>
      </c>
      <c r="B2187" s="19" t="s">
        <v>742</v>
      </c>
      <c r="C2187" s="18">
        <v>2025</v>
      </c>
      <c r="D2187" s="18" t="s">
        <v>59</v>
      </c>
      <c r="E2187" s="18" t="s">
        <v>79</v>
      </c>
      <c r="F2187" s="18" t="s">
        <v>100</v>
      </c>
      <c r="G2187" s="18" t="s">
        <v>41</v>
      </c>
      <c r="H2187" s="18" t="s">
        <v>101</v>
      </c>
      <c r="I2187" s="18" t="s">
        <v>40</v>
      </c>
      <c r="J2187" s="18" t="s">
        <v>91</v>
      </c>
      <c r="K2187" s="18">
        <v>8</v>
      </c>
      <c r="L2187" s="20">
        <v>53928.17</v>
      </c>
      <c r="M2187" s="21">
        <v>0.15</v>
      </c>
      <c r="N2187" s="21">
        <v>0.66021304612899001</v>
      </c>
      <c r="O2187" s="20">
        <f t="shared" si="136"/>
        <v>366711.55599999998</v>
      </c>
      <c r="P2187" s="20">
        <f t="shared" si="137"/>
        <v>242107.75343746168</v>
      </c>
      <c r="Q2187" s="20">
        <f t="shared" si="138"/>
        <v>124603.8025625383</v>
      </c>
      <c r="R2187" s="22">
        <f t="shared" si="139"/>
        <v>0.33978695387101004</v>
      </c>
    </row>
    <row r="2188" spans="1:18">
      <c r="A2188" s="18">
        <v>3187</v>
      </c>
      <c r="B2188" s="19" t="s">
        <v>742</v>
      </c>
      <c r="C2188" s="18">
        <v>2025</v>
      </c>
      <c r="D2188" s="18" t="s">
        <v>59</v>
      </c>
      <c r="E2188" s="18" t="s">
        <v>85</v>
      </c>
      <c r="F2188" s="18" t="s">
        <v>121</v>
      </c>
      <c r="G2188" s="18" t="s">
        <v>41</v>
      </c>
      <c r="H2188" s="18" t="s">
        <v>106</v>
      </c>
      <c r="I2188" s="18" t="s">
        <v>56</v>
      </c>
      <c r="J2188" s="18" t="s">
        <v>82</v>
      </c>
      <c r="K2188" s="18">
        <v>1</v>
      </c>
      <c r="L2188" s="20">
        <v>2412.34</v>
      </c>
      <c r="M2188" s="21">
        <v>0.1</v>
      </c>
      <c r="N2188" s="21">
        <v>0.70766055788182902</v>
      </c>
      <c r="O2188" s="20">
        <f t="shared" si="136"/>
        <v>2171.1060000000002</v>
      </c>
      <c r="P2188" s="20">
        <f t="shared" si="137"/>
        <v>1536.4060831805864</v>
      </c>
      <c r="Q2188" s="20">
        <f t="shared" si="138"/>
        <v>634.69991681941383</v>
      </c>
      <c r="R2188" s="22">
        <f t="shared" si="139"/>
        <v>0.29233944211817098</v>
      </c>
    </row>
    <row r="2189" spans="1:18">
      <c r="A2189" s="18">
        <v>3188</v>
      </c>
      <c r="B2189" s="19" t="s">
        <v>743</v>
      </c>
      <c r="C2189" s="18">
        <v>2025</v>
      </c>
      <c r="D2189" s="18" t="s">
        <v>59</v>
      </c>
      <c r="E2189" s="18" t="s">
        <v>79</v>
      </c>
      <c r="F2189" s="18" t="s">
        <v>100</v>
      </c>
      <c r="G2189" s="18" t="s">
        <v>44</v>
      </c>
      <c r="H2189" s="18" t="s">
        <v>119</v>
      </c>
      <c r="I2189" s="18" t="s">
        <v>54</v>
      </c>
      <c r="J2189" s="18" t="s">
        <v>102</v>
      </c>
      <c r="K2189" s="18">
        <v>7</v>
      </c>
      <c r="L2189" s="20">
        <v>7181.84</v>
      </c>
      <c r="M2189" s="21">
        <v>0.1</v>
      </c>
      <c r="N2189" s="21">
        <v>0.57036450295474195</v>
      </c>
      <c r="O2189" s="20">
        <f t="shared" si="136"/>
        <v>45245.592000000004</v>
      </c>
      <c r="P2189" s="20">
        <f t="shared" si="137"/>
        <v>25806.47959197305</v>
      </c>
      <c r="Q2189" s="20">
        <f t="shared" si="138"/>
        <v>19439.112408026955</v>
      </c>
      <c r="R2189" s="22">
        <f t="shared" si="139"/>
        <v>0.42963549704525811</v>
      </c>
    </row>
    <row r="2190" spans="1:18">
      <c r="A2190" s="18">
        <v>3189</v>
      </c>
      <c r="B2190" s="19" t="s">
        <v>743</v>
      </c>
      <c r="C2190" s="18">
        <v>2025</v>
      </c>
      <c r="D2190" s="18" t="s">
        <v>59</v>
      </c>
      <c r="E2190" s="18" t="s">
        <v>98</v>
      </c>
      <c r="F2190" s="18" t="s">
        <v>99</v>
      </c>
      <c r="G2190" s="18" t="s">
        <v>44</v>
      </c>
      <c r="H2190" s="18" t="s">
        <v>119</v>
      </c>
      <c r="I2190" s="18" t="s">
        <v>54</v>
      </c>
      <c r="J2190" s="18" t="s">
        <v>91</v>
      </c>
      <c r="K2190" s="18">
        <v>5</v>
      </c>
      <c r="L2190" s="20">
        <v>6717.96</v>
      </c>
      <c r="M2190" s="21">
        <v>0.05</v>
      </c>
      <c r="N2190" s="21">
        <v>0.70345082367261202</v>
      </c>
      <c r="O2190" s="20">
        <f t="shared" si="136"/>
        <v>31910.31</v>
      </c>
      <c r="P2190" s="20">
        <f t="shared" si="137"/>
        <v>22447.33385314839</v>
      </c>
      <c r="Q2190" s="20">
        <f t="shared" si="138"/>
        <v>9462.9761468516117</v>
      </c>
      <c r="R2190" s="22">
        <f t="shared" si="139"/>
        <v>0.29654917632738798</v>
      </c>
    </row>
    <row r="2191" spans="1:18">
      <c r="A2191" s="18">
        <v>3190</v>
      </c>
      <c r="B2191" s="19" t="s">
        <v>744</v>
      </c>
      <c r="C2191" s="18">
        <v>2025</v>
      </c>
      <c r="D2191" s="18" t="s">
        <v>59</v>
      </c>
      <c r="E2191" s="18" t="s">
        <v>85</v>
      </c>
      <c r="F2191" s="18" t="s">
        <v>94</v>
      </c>
      <c r="G2191" s="18" t="s">
        <v>47</v>
      </c>
      <c r="H2191" s="18" t="s">
        <v>107</v>
      </c>
      <c r="I2191" s="18" t="s">
        <v>58</v>
      </c>
      <c r="J2191" s="18" t="s">
        <v>102</v>
      </c>
      <c r="K2191" s="18">
        <v>1</v>
      </c>
      <c r="L2191" s="20">
        <v>2200.58</v>
      </c>
      <c r="M2191" s="21">
        <v>0.1</v>
      </c>
      <c r="N2191" s="21">
        <v>0.73279612171800901</v>
      </c>
      <c r="O2191" s="20">
        <f t="shared" si="136"/>
        <v>1980.5219999999999</v>
      </c>
      <c r="P2191" s="20">
        <f t="shared" si="137"/>
        <v>1451.3188405771946</v>
      </c>
      <c r="Q2191" s="20">
        <f t="shared" si="138"/>
        <v>529.20315942280536</v>
      </c>
      <c r="R2191" s="22">
        <f t="shared" si="139"/>
        <v>0.26720387828199099</v>
      </c>
    </row>
    <row r="2192" spans="1:18">
      <c r="A2192" s="18">
        <v>3191</v>
      </c>
      <c r="B2192" s="19" t="s">
        <v>744</v>
      </c>
      <c r="C2192" s="18">
        <v>2025</v>
      </c>
      <c r="D2192" s="18" t="s">
        <v>59</v>
      </c>
      <c r="E2192" s="18" t="s">
        <v>79</v>
      </c>
      <c r="F2192" s="18" t="s">
        <v>80</v>
      </c>
      <c r="G2192" s="18" t="s">
        <v>41</v>
      </c>
      <c r="H2192" s="18" t="s">
        <v>112</v>
      </c>
      <c r="I2192" s="18" t="s">
        <v>46</v>
      </c>
      <c r="J2192" s="18" t="s">
        <v>91</v>
      </c>
      <c r="K2192" s="18">
        <v>11</v>
      </c>
      <c r="L2192" s="20">
        <v>6182.19</v>
      </c>
      <c r="M2192" s="21">
        <v>0</v>
      </c>
      <c r="N2192" s="21">
        <v>0.57259971593472903</v>
      </c>
      <c r="O2192" s="20">
        <f t="shared" si="136"/>
        <v>68004.09</v>
      </c>
      <c r="P2192" s="20">
        <f t="shared" si="137"/>
        <v>38939.122616399742</v>
      </c>
      <c r="Q2192" s="20">
        <f t="shared" si="138"/>
        <v>29064.967383600255</v>
      </c>
      <c r="R2192" s="22">
        <f t="shared" si="139"/>
        <v>0.42740028406527103</v>
      </c>
    </row>
    <row r="2193" spans="1:18">
      <c r="A2193" s="18">
        <v>3192</v>
      </c>
      <c r="B2193" s="19" t="s">
        <v>744</v>
      </c>
      <c r="C2193" s="18">
        <v>2025</v>
      </c>
      <c r="D2193" s="18" t="s">
        <v>59</v>
      </c>
      <c r="E2193" s="18" t="s">
        <v>88</v>
      </c>
      <c r="F2193" s="18" t="s">
        <v>89</v>
      </c>
      <c r="G2193" s="18" t="s">
        <v>47</v>
      </c>
      <c r="H2193" s="18" t="s">
        <v>103</v>
      </c>
      <c r="I2193" s="18" t="s">
        <v>43</v>
      </c>
      <c r="J2193" s="18" t="s">
        <v>82</v>
      </c>
      <c r="K2193" s="18">
        <v>4</v>
      </c>
      <c r="L2193" s="20">
        <v>3126.84</v>
      </c>
      <c r="M2193" s="21">
        <v>0.05</v>
      </c>
      <c r="N2193" s="21">
        <v>0.61060321919574401</v>
      </c>
      <c r="O2193" s="20">
        <f t="shared" si="136"/>
        <v>11881.992</v>
      </c>
      <c r="P2193" s="20">
        <f t="shared" si="137"/>
        <v>7255.1825656580768</v>
      </c>
      <c r="Q2193" s="20">
        <f t="shared" si="138"/>
        <v>4626.8094343419234</v>
      </c>
      <c r="R2193" s="22">
        <f t="shared" si="139"/>
        <v>0.38939678080425599</v>
      </c>
    </row>
    <row r="2194" spans="1:18">
      <c r="A2194" s="18">
        <v>3193</v>
      </c>
      <c r="B2194" s="19" t="s">
        <v>745</v>
      </c>
      <c r="C2194" s="18">
        <v>2025</v>
      </c>
      <c r="D2194" s="18" t="s">
        <v>59</v>
      </c>
      <c r="E2194" s="18" t="s">
        <v>88</v>
      </c>
      <c r="F2194" s="18" t="s">
        <v>93</v>
      </c>
      <c r="G2194" s="18" t="s">
        <v>41</v>
      </c>
      <c r="H2194" s="18" t="s">
        <v>112</v>
      </c>
      <c r="I2194" s="18" t="s">
        <v>58</v>
      </c>
      <c r="J2194" s="18" t="s">
        <v>91</v>
      </c>
      <c r="K2194" s="18">
        <v>11</v>
      </c>
      <c r="L2194" s="20">
        <v>5905.77</v>
      </c>
      <c r="M2194" s="21">
        <v>0.1</v>
      </c>
      <c r="N2194" s="21">
        <v>0.66172521844861898</v>
      </c>
      <c r="O2194" s="20">
        <f t="shared" si="136"/>
        <v>58467.123</v>
      </c>
      <c r="P2194" s="20">
        <f t="shared" si="137"/>
        <v>38689.169739237273</v>
      </c>
      <c r="Q2194" s="20">
        <f t="shared" si="138"/>
        <v>19777.953260762726</v>
      </c>
      <c r="R2194" s="22">
        <f t="shared" si="139"/>
        <v>0.33827478155138102</v>
      </c>
    </row>
    <row r="2195" spans="1:18">
      <c r="A2195" s="18">
        <v>3194</v>
      </c>
      <c r="B2195" s="19" t="s">
        <v>745</v>
      </c>
      <c r="C2195" s="18">
        <v>2025</v>
      </c>
      <c r="D2195" s="18" t="s">
        <v>59</v>
      </c>
      <c r="E2195" s="18" t="s">
        <v>85</v>
      </c>
      <c r="F2195" s="18" t="s">
        <v>121</v>
      </c>
      <c r="G2195" s="18" t="s">
        <v>44</v>
      </c>
      <c r="H2195" s="18" t="s">
        <v>114</v>
      </c>
      <c r="I2195" s="18" t="s">
        <v>40</v>
      </c>
      <c r="J2195" s="18" t="s">
        <v>91</v>
      </c>
      <c r="K2195" s="18">
        <v>3</v>
      </c>
      <c r="L2195" s="20">
        <v>9258.66</v>
      </c>
      <c r="M2195" s="21">
        <v>0</v>
      </c>
      <c r="N2195" s="21">
        <v>0.573365830367218</v>
      </c>
      <c r="O2195" s="20">
        <f t="shared" si="136"/>
        <v>27775.98</v>
      </c>
      <c r="P2195" s="20">
        <f t="shared" si="137"/>
        <v>15925.79783696324</v>
      </c>
      <c r="Q2195" s="20">
        <f t="shared" si="138"/>
        <v>11850.182163036759</v>
      </c>
      <c r="R2195" s="22">
        <f t="shared" si="139"/>
        <v>0.426634169632782</v>
      </c>
    </row>
    <row r="2196" spans="1:18">
      <c r="A2196" s="18">
        <v>3195</v>
      </c>
      <c r="B2196" s="19" t="s">
        <v>745</v>
      </c>
      <c r="C2196" s="18">
        <v>2025</v>
      </c>
      <c r="D2196" s="18" t="s">
        <v>59</v>
      </c>
      <c r="E2196" s="18" t="s">
        <v>98</v>
      </c>
      <c r="F2196" s="18" t="s">
        <v>99</v>
      </c>
      <c r="G2196" s="18" t="s">
        <v>50</v>
      </c>
      <c r="H2196" s="18" t="s">
        <v>97</v>
      </c>
      <c r="I2196" s="18" t="s">
        <v>46</v>
      </c>
      <c r="J2196" s="18" t="s">
        <v>91</v>
      </c>
      <c r="K2196" s="18">
        <v>7</v>
      </c>
      <c r="L2196" s="20">
        <v>12321.74</v>
      </c>
      <c r="M2196" s="21">
        <v>0</v>
      </c>
      <c r="N2196" s="21">
        <v>0.73778814204798404</v>
      </c>
      <c r="O2196" s="20">
        <f t="shared" si="136"/>
        <v>86252.18</v>
      </c>
      <c r="P2196" s="20">
        <f t="shared" si="137"/>
        <v>63635.835629788286</v>
      </c>
      <c r="Q2196" s="20">
        <f t="shared" si="138"/>
        <v>22616.344370211707</v>
      </c>
      <c r="R2196" s="22">
        <f t="shared" si="139"/>
        <v>0.2622118579520159</v>
      </c>
    </row>
    <row r="2197" spans="1:18">
      <c r="A2197" s="18">
        <v>3196</v>
      </c>
      <c r="B2197" s="19" t="s">
        <v>745</v>
      </c>
      <c r="C2197" s="18">
        <v>2025</v>
      </c>
      <c r="D2197" s="18" t="s">
        <v>59</v>
      </c>
      <c r="E2197" s="18" t="s">
        <v>88</v>
      </c>
      <c r="F2197" s="18" t="s">
        <v>110</v>
      </c>
      <c r="G2197" s="18" t="s">
        <v>41</v>
      </c>
      <c r="H2197" s="18" t="s">
        <v>106</v>
      </c>
      <c r="I2197" s="18" t="s">
        <v>49</v>
      </c>
      <c r="J2197" s="18" t="s">
        <v>82</v>
      </c>
      <c r="K2197" s="18">
        <v>11</v>
      </c>
      <c r="L2197" s="20">
        <v>2536.88</v>
      </c>
      <c r="M2197" s="21">
        <v>0.05</v>
      </c>
      <c r="N2197" s="21">
        <v>0.63791536508966695</v>
      </c>
      <c r="O2197" s="20">
        <f t="shared" si="136"/>
        <v>26510.396000000001</v>
      </c>
      <c r="P2197" s="20">
        <f t="shared" si="137"/>
        <v>16911.388943011647</v>
      </c>
      <c r="Q2197" s="20">
        <f t="shared" si="138"/>
        <v>9599.0070569883537</v>
      </c>
      <c r="R2197" s="22">
        <f t="shared" si="139"/>
        <v>0.36208463491033305</v>
      </c>
    </row>
    <row r="2198" spans="1:18">
      <c r="A2198" s="18">
        <v>3197</v>
      </c>
      <c r="B2198" s="19" t="s">
        <v>746</v>
      </c>
      <c r="C2198" s="18">
        <v>2025</v>
      </c>
      <c r="D2198" s="18" t="s">
        <v>59</v>
      </c>
      <c r="E2198" s="18" t="s">
        <v>98</v>
      </c>
      <c r="F2198" s="18" t="s">
        <v>109</v>
      </c>
      <c r="G2198" s="18" t="s">
        <v>47</v>
      </c>
      <c r="H2198" s="18" t="s">
        <v>107</v>
      </c>
      <c r="I2198" s="18" t="s">
        <v>56</v>
      </c>
      <c r="J2198" s="18" t="s">
        <v>91</v>
      </c>
      <c r="K2198" s="18">
        <v>9</v>
      </c>
      <c r="L2198" s="20">
        <v>2153.4899999999998</v>
      </c>
      <c r="M2198" s="21">
        <v>0.05</v>
      </c>
      <c r="N2198" s="21">
        <v>0.62447308390928502</v>
      </c>
      <c r="O2198" s="20">
        <f t="shared" si="136"/>
        <v>18412.339499999995</v>
      </c>
      <c r="P2198" s="20">
        <f t="shared" si="137"/>
        <v>11498.01042954974</v>
      </c>
      <c r="Q2198" s="20">
        <f t="shared" si="138"/>
        <v>6914.3290704502542</v>
      </c>
      <c r="R2198" s="22">
        <f t="shared" si="139"/>
        <v>0.37552691609071492</v>
      </c>
    </row>
    <row r="2199" spans="1:18">
      <c r="A2199" s="18">
        <v>3198</v>
      </c>
      <c r="B2199" s="19" t="s">
        <v>746</v>
      </c>
      <c r="C2199" s="18">
        <v>2025</v>
      </c>
      <c r="D2199" s="18" t="s">
        <v>59</v>
      </c>
      <c r="E2199" s="18" t="s">
        <v>88</v>
      </c>
      <c r="F2199" s="18" t="s">
        <v>93</v>
      </c>
      <c r="G2199" s="18" t="s">
        <v>50</v>
      </c>
      <c r="H2199" s="18" t="s">
        <v>97</v>
      </c>
      <c r="I2199" s="18" t="s">
        <v>46</v>
      </c>
      <c r="J2199" s="18" t="s">
        <v>82</v>
      </c>
      <c r="K2199" s="18">
        <v>4</v>
      </c>
      <c r="L2199" s="20">
        <v>12041.25</v>
      </c>
      <c r="M2199" s="21">
        <v>0.05</v>
      </c>
      <c r="N2199" s="21">
        <v>0.55122132821246805</v>
      </c>
      <c r="O2199" s="20">
        <f t="shared" si="136"/>
        <v>45756.75</v>
      </c>
      <c r="P2199" s="20">
        <f t="shared" si="137"/>
        <v>25222.096509685849</v>
      </c>
      <c r="Q2199" s="20">
        <f t="shared" si="138"/>
        <v>20534.653490314151</v>
      </c>
      <c r="R2199" s="22">
        <f t="shared" si="139"/>
        <v>0.44877867178753189</v>
      </c>
    </row>
    <row r="2200" spans="1:18">
      <c r="A2200" s="18">
        <v>3199</v>
      </c>
      <c r="B2200" s="19" t="s">
        <v>747</v>
      </c>
      <c r="C2200" s="18">
        <v>2025</v>
      </c>
      <c r="D2200" s="18" t="s">
        <v>59</v>
      </c>
      <c r="E2200" s="18" t="s">
        <v>88</v>
      </c>
      <c r="F2200" s="18" t="s">
        <v>89</v>
      </c>
      <c r="G2200" s="18" t="s">
        <v>47</v>
      </c>
      <c r="H2200" s="18" t="s">
        <v>103</v>
      </c>
      <c r="I2200" s="18" t="s">
        <v>54</v>
      </c>
      <c r="J2200" s="18" t="s">
        <v>82</v>
      </c>
      <c r="K2200" s="18">
        <v>2</v>
      </c>
      <c r="L2200" s="20">
        <v>3093.19</v>
      </c>
      <c r="M2200" s="21">
        <v>0.15</v>
      </c>
      <c r="N2200" s="21">
        <v>0.56127132028836701</v>
      </c>
      <c r="O2200" s="20">
        <f t="shared" si="136"/>
        <v>5258.4229999999998</v>
      </c>
      <c r="P2200" s="20">
        <f t="shared" si="137"/>
        <v>2951.4020198447156</v>
      </c>
      <c r="Q2200" s="20">
        <f t="shared" si="138"/>
        <v>2307.0209801552842</v>
      </c>
      <c r="R2200" s="22">
        <f t="shared" si="139"/>
        <v>0.43872867971163299</v>
      </c>
    </row>
    <row r="2201" spans="1:18">
      <c r="A2201" s="18">
        <v>3200</v>
      </c>
      <c r="B2201" s="19" t="s">
        <v>747</v>
      </c>
      <c r="C2201" s="18">
        <v>2025</v>
      </c>
      <c r="D2201" s="18" t="s">
        <v>59</v>
      </c>
      <c r="E2201" s="18" t="s">
        <v>88</v>
      </c>
      <c r="F2201" s="18" t="s">
        <v>89</v>
      </c>
      <c r="G2201" s="18" t="s">
        <v>44</v>
      </c>
      <c r="H2201" s="18" t="s">
        <v>95</v>
      </c>
      <c r="I2201" s="18" t="s">
        <v>46</v>
      </c>
      <c r="J2201" s="18" t="s">
        <v>82</v>
      </c>
      <c r="K2201" s="18">
        <v>2</v>
      </c>
      <c r="L2201" s="20">
        <v>4693.18</v>
      </c>
      <c r="M2201" s="21">
        <v>0.1</v>
      </c>
      <c r="N2201" s="21">
        <v>0.59736571151485396</v>
      </c>
      <c r="O2201" s="20">
        <f t="shared" si="136"/>
        <v>8447.7240000000002</v>
      </c>
      <c r="P2201" s="20">
        <f t="shared" si="137"/>
        <v>5046.3806579411084</v>
      </c>
      <c r="Q2201" s="20">
        <f t="shared" si="138"/>
        <v>3401.3433420588917</v>
      </c>
      <c r="R2201" s="22">
        <f t="shared" si="139"/>
        <v>0.40263428848514604</v>
      </c>
    </row>
    <row r="2202" spans="1:18">
      <c r="A2202" s="18">
        <v>3201</v>
      </c>
      <c r="B2202" s="19" t="s">
        <v>748</v>
      </c>
      <c r="C2202" s="18">
        <v>2025</v>
      </c>
      <c r="D2202" s="18" t="s">
        <v>59</v>
      </c>
      <c r="E2202" s="18" t="s">
        <v>85</v>
      </c>
      <c r="F2202" s="18" t="s">
        <v>121</v>
      </c>
      <c r="G2202" s="18" t="s">
        <v>44</v>
      </c>
      <c r="H2202" s="18" t="s">
        <v>114</v>
      </c>
      <c r="I2202" s="18" t="s">
        <v>52</v>
      </c>
      <c r="J2202" s="18" t="s">
        <v>102</v>
      </c>
      <c r="K2202" s="18">
        <v>11</v>
      </c>
      <c r="L2202" s="20">
        <v>9041.02</v>
      </c>
      <c r="M2202" s="21">
        <v>0</v>
      </c>
      <c r="N2202" s="21">
        <v>0.67349710069075996</v>
      </c>
      <c r="O2202" s="20">
        <f t="shared" si="136"/>
        <v>99451.22</v>
      </c>
      <c r="P2202" s="20">
        <f t="shared" si="137"/>
        <v>66980.108330158924</v>
      </c>
      <c r="Q2202" s="20">
        <f t="shared" si="138"/>
        <v>32471.111669841077</v>
      </c>
      <c r="R2202" s="22">
        <f t="shared" si="139"/>
        <v>0.32650289930924004</v>
      </c>
    </row>
    <row r="2203" spans="1:18">
      <c r="A2203" s="18">
        <v>3202</v>
      </c>
      <c r="B2203" s="19" t="s">
        <v>748</v>
      </c>
      <c r="C2203" s="18">
        <v>2025</v>
      </c>
      <c r="D2203" s="18" t="s">
        <v>59</v>
      </c>
      <c r="E2203" s="18" t="s">
        <v>98</v>
      </c>
      <c r="F2203" s="18" t="s">
        <v>99</v>
      </c>
      <c r="G2203" s="18" t="s">
        <v>47</v>
      </c>
      <c r="H2203" s="18" t="s">
        <v>103</v>
      </c>
      <c r="I2203" s="18" t="s">
        <v>54</v>
      </c>
      <c r="J2203" s="18" t="s">
        <v>82</v>
      </c>
      <c r="K2203" s="18">
        <v>3</v>
      </c>
      <c r="L2203" s="20">
        <v>3227.03</v>
      </c>
      <c r="M2203" s="21">
        <v>0.05</v>
      </c>
      <c r="N2203" s="21">
        <v>0.58406223607252195</v>
      </c>
      <c r="O2203" s="20">
        <f t="shared" si="136"/>
        <v>9197.0355</v>
      </c>
      <c r="P2203" s="20">
        <f t="shared" si="137"/>
        <v>5371.6411193683653</v>
      </c>
      <c r="Q2203" s="20">
        <f t="shared" si="138"/>
        <v>3825.3943806316347</v>
      </c>
      <c r="R2203" s="22">
        <f t="shared" si="139"/>
        <v>0.415937763927478</v>
      </c>
    </row>
    <row r="2204" spans="1:18">
      <c r="A2204" s="18">
        <v>3203</v>
      </c>
      <c r="B2204" s="19" t="s">
        <v>748</v>
      </c>
      <c r="C2204" s="18">
        <v>2025</v>
      </c>
      <c r="D2204" s="18" t="s">
        <v>59</v>
      </c>
      <c r="E2204" s="18" t="s">
        <v>98</v>
      </c>
      <c r="F2204" s="18" t="s">
        <v>117</v>
      </c>
      <c r="G2204" s="18" t="s">
        <v>47</v>
      </c>
      <c r="H2204" s="18" t="s">
        <v>81</v>
      </c>
      <c r="I2204" s="18" t="s">
        <v>56</v>
      </c>
      <c r="J2204" s="18" t="s">
        <v>82</v>
      </c>
      <c r="K2204" s="18">
        <v>9</v>
      </c>
      <c r="L2204" s="20">
        <v>786.22</v>
      </c>
      <c r="M2204" s="21">
        <v>0.05</v>
      </c>
      <c r="N2204" s="21">
        <v>0.67298955631857105</v>
      </c>
      <c r="O2204" s="20">
        <f t="shared" si="136"/>
        <v>6722.1810000000005</v>
      </c>
      <c r="P2204" s="20">
        <f t="shared" si="137"/>
        <v>4523.9576086831285</v>
      </c>
      <c r="Q2204" s="20">
        <f t="shared" si="138"/>
        <v>2198.223391316872</v>
      </c>
      <c r="R2204" s="22">
        <f t="shared" si="139"/>
        <v>0.32701044368142895</v>
      </c>
    </row>
    <row r="2205" spans="1:18">
      <c r="A2205" s="18">
        <v>3204</v>
      </c>
      <c r="B2205" s="19" t="s">
        <v>749</v>
      </c>
      <c r="C2205" s="18">
        <v>2025</v>
      </c>
      <c r="D2205" s="18" t="s">
        <v>61</v>
      </c>
      <c r="E2205" s="18" t="s">
        <v>79</v>
      </c>
      <c r="F2205" s="18" t="s">
        <v>100</v>
      </c>
      <c r="G2205" s="18" t="s">
        <v>47</v>
      </c>
      <c r="H2205" s="18" t="s">
        <v>81</v>
      </c>
      <c r="I2205" s="18" t="s">
        <v>60</v>
      </c>
      <c r="J2205" s="18" t="s">
        <v>102</v>
      </c>
      <c r="K2205" s="18">
        <v>1</v>
      </c>
      <c r="L2205" s="20">
        <v>789.06</v>
      </c>
      <c r="M2205" s="21">
        <v>0.15</v>
      </c>
      <c r="N2205" s="21">
        <v>0.56854922809947495</v>
      </c>
      <c r="O2205" s="20">
        <f t="shared" si="136"/>
        <v>670.70099999999991</v>
      </c>
      <c r="P2205" s="20">
        <f t="shared" si="137"/>
        <v>381.32653583554588</v>
      </c>
      <c r="Q2205" s="20">
        <f t="shared" si="138"/>
        <v>289.37446416445403</v>
      </c>
      <c r="R2205" s="22">
        <f t="shared" si="139"/>
        <v>0.43145077190052505</v>
      </c>
    </row>
    <row r="2206" spans="1:18">
      <c r="A2206" s="18">
        <v>3205</v>
      </c>
      <c r="B2206" s="19" t="s">
        <v>749</v>
      </c>
      <c r="C2206" s="18">
        <v>2025</v>
      </c>
      <c r="D2206" s="18" t="s">
        <v>61</v>
      </c>
      <c r="E2206" s="18" t="s">
        <v>85</v>
      </c>
      <c r="F2206" s="18" t="s">
        <v>121</v>
      </c>
      <c r="G2206" s="18" t="s">
        <v>47</v>
      </c>
      <c r="H2206" s="18" t="s">
        <v>107</v>
      </c>
      <c r="I2206" s="18" t="s">
        <v>58</v>
      </c>
      <c r="J2206" s="18" t="s">
        <v>82</v>
      </c>
      <c r="K2206" s="18">
        <v>6</v>
      </c>
      <c r="L2206" s="20">
        <v>2230.5</v>
      </c>
      <c r="M2206" s="21">
        <v>0.05</v>
      </c>
      <c r="N2206" s="21">
        <v>0.70447545221618701</v>
      </c>
      <c r="O2206" s="20">
        <f t="shared" si="136"/>
        <v>12713.849999999999</v>
      </c>
      <c r="P2206" s="20">
        <f t="shared" si="137"/>
        <v>8956.5952281587688</v>
      </c>
      <c r="Q2206" s="20">
        <f t="shared" si="138"/>
        <v>3757.2547718412297</v>
      </c>
      <c r="R2206" s="22">
        <f t="shared" si="139"/>
        <v>0.29552454778381293</v>
      </c>
    </row>
    <row r="2207" spans="1:18">
      <c r="A2207" s="18">
        <v>3206</v>
      </c>
      <c r="B2207" s="19" t="s">
        <v>749</v>
      </c>
      <c r="C2207" s="18">
        <v>2025</v>
      </c>
      <c r="D2207" s="18" t="s">
        <v>61</v>
      </c>
      <c r="E2207" s="18" t="s">
        <v>98</v>
      </c>
      <c r="F2207" s="18" t="s">
        <v>109</v>
      </c>
      <c r="G2207" s="18" t="s">
        <v>47</v>
      </c>
      <c r="H2207" s="18" t="s">
        <v>81</v>
      </c>
      <c r="I2207" s="18" t="s">
        <v>58</v>
      </c>
      <c r="J2207" s="18" t="s">
        <v>82</v>
      </c>
      <c r="K2207" s="18">
        <v>6</v>
      </c>
      <c r="L2207" s="20">
        <v>806.45</v>
      </c>
      <c r="M2207" s="21">
        <v>0.2</v>
      </c>
      <c r="N2207" s="21">
        <v>0.71115553078052696</v>
      </c>
      <c r="O2207" s="20">
        <f t="shared" si="136"/>
        <v>3870.9600000000009</v>
      </c>
      <c r="P2207" s="20">
        <f t="shared" si="137"/>
        <v>2752.8546134301891</v>
      </c>
      <c r="Q2207" s="20">
        <f t="shared" si="138"/>
        <v>1118.1053865698118</v>
      </c>
      <c r="R2207" s="22">
        <f t="shared" si="139"/>
        <v>0.2888444692194731</v>
      </c>
    </row>
    <row r="2208" spans="1:18">
      <c r="A2208" s="18">
        <v>3207</v>
      </c>
      <c r="B2208" s="19" t="s">
        <v>749</v>
      </c>
      <c r="C2208" s="18">
        <v>2025</v>
      </c>
      <c r="D2208" s="18" t="s">
        <v>61</v>
      </c>
      <c r="E2208" s="18" t="s">
        <v>85</v>
      </c>
      <c r="F2208" s="18" t="s">
        <v>86</v>
      </c>
      <c r="G2208" s="18" t="s">
        <v>47</v>
      </c>
      <c r="H2208" s="18" t="s">
        <v>107</v>
      </c>
      <c r="I2208" s="18" t="s">
        <v>62</v>
      </c>
      <c r="J2208" s="18" t="s">
        <v>82</v>
      </c>
      <c r="K2208" s="18">
        <v>1</v>
      </c>
      <c r="L2208" s="20">
        <v>2163.34</v>
      </c>
      <c r="M2208" s="21">
        <v>0.1</v>
      </c>
      <c r="N2208" s="21">
        <v>0.65210902174460195</v>
      </c>
      <c r="O2208" s="20">
        <f t="shared" si="136"/>
        <v>1947.0060000000001</v>
      </c>
      <c r="P2208" s="20">
        <f t="shared" si="137"/>
        <v>1269.6601779908706</v>
      </c>
      <c r="Q2208" s="20">
        <f t="shared" si="138"/>
        <v>677.34582200912951</v>
      </c>
      <c r="R2208" s="22">
        <f t="shared" si="139"/>
        <v>0.347890978255398</v>
      </c>
    </row>
    <row r="2209" spans="1:18">
      <c r="A2209" s="18">
        <v>3208</v>
      </c>
      <c r="B2209" s="19" t="s">
        <v>749</v>
      </c>
      <c r="C2209" s="18">
        <v>2025</v>
      </c>
      <c r="D2209" s="18" t="s">
        <v>61</v>
      </c>
      <c r="E2209" s="18" t="s">
        <v>79</v>
      </c>
      <c r="F2209" s="18" t="s">
        <v>100</v>
      </c>
      <c r="G2209" s="18" t="s">
        <v>44</v>
      </c>
      <c r="H2209" s="18" t="s">
        <v>119</v>
      </c>
      <c r="I2209" s="18" t="s">
        <v>60</v>
      </c>
      <c r="J2209" s="18" t="s">
        <v>82</v>
      </c>
      <c r="K2209" s="18">
        <v>7</v>
      </c>
      <c r="L2209" s="20">
        <v>6708.2</v>
      </c>
      <c r="M2209" s="21">
        <v>0</v>
      </c>
      <c r="N2209" s="21">
        <v>0.68767616778767005</v>
      </c>
      <c r="O2209" s="20">
        <f t="shared" si="136"/>
        <v>46957.4</v>
      </c>
      <c r="P2209" s="20">
        <f t="shared" si="137"/>
        <v>32291.48488127274</v>
      </c>
      <c r="Q2209" s="20">
        <f t="shared" si="138"/>
        <v>14665.915118727262</v>
      </c>
      <c r="R2209" s="22">
        <f t="shared" si="139"/>
        <v>0.31232383221232995</v>
      </c>
    </row>
    <row r="2210" spans="1:18">
      <c r="A2210" s="18">
        <v>3209</v>
      </c>
      <c r="B2210" s="19" t="s">
        <v>750</v>
      </c>
      <c r="C2210" s="18">
        <v>2025</v>
      </c>
      <c r="D2210" s="18" t="s">
        <v>61</v>
      </c>
      <c r="E2210" s="18" t="s">
        <v>88</v>
      </c>
      <c r="F2210" s="18" t="s">
        <v>89</v>
      </c>
      <c r="G2210" s="18" t="s">
        <v>41</v>
      </c>
      <c r="H2210" s="18" t="s">
        <v>112</v>
      </c>
      <c r="I2210" s="18" t="s">
        <v>60</v>
      </c>
      <c r="J2210" s="18" t="s">
        <v>102</v>
      </c>
      <c r="K2210" s="18">
        <v>3</v>
      </c>
      <c r="L2210" s="20">
        <v>6187.25</v>
      </c>
      <c r="M2210" s="21">
        <v>0.15</v>
      </c>
      <c r="N2210" s="21">
        <v>0.56366347574088904</v>
      </c>
      <c r="O2210" s="20">
        <f t="shared" si="136"/>
        <v>15777.487499999999</v>
      </c>
      <c r="P2210" s="20">
        <f t="shared" si="137"/>
        <v>8893.1934427084288</v>
      </c>
      <c r="Q2210" s="20">
        <f t="shared" si="138"/>
        <v>6884.2940572915704</v>
      </c>
      <c r="R2210" s="22">
        <f t="shared" si="139"/>
        <v>0.43633652425911101</v>
      </c>
    </row>
    <row r="2211" spans="1:18">
      <c r="A2211" s="18">
        <v>3210</v>
      </c>
      <c r="B2211" s="19" t="s">
        <v>750</v>
      </c>
      <c r="C2211" s="18">
        <v>2025</v>
      </c>
      <c r="D2211" s="18" t="s">
        <v>61</v>
      </c>
      <c r="E2211" s="18" t="s">
        <v>88</v>
      </c>
      <c r="F2211" s="18" t="s">
        <v>89</v>
      </c>
      <c r="G2211" s="18" t="s">
        <v>50</v>
      </c>
      <c r="H2211" s="18" t="s">
        <v>83</v>
      </c>
      <c r="I2211" s="18" t="s">
        <v>40</v>
      </c>
      <c r="J2211" s="18" t="s">
        <v>91</v>
      </c>
      <c r="K2211" s="18">
        <v>9</v>
      </c>
      <c r="L2211" s="20">
        <v>3477.18</v>
      </c>
      <c r="M2211" s="21">
        <v>0.05</v>
      </c>
      <c r="N2211" s="21">
        <v>0.686854241881661</v>
      </c>
      <c r="O2211" s="20">
        <f t="shared" si="136"/>
        <v>29729.888999999999</v>
      </c>
      <c r="P2211" s="20">
        <f t="shared" si="137"/>
        <v>20420.100370320932</v>
      </c>
      <c r="Q2211" s="20">
        <f t="shared" si="138"/>
        <v>9309.7886296790675</v>
      </c>
      <c r="R2211" s="22">
        <f t="shared" si="139"/>
        <v>0.313145758118339</v>
      </c>
    </row>
    <row r="2212" spans="1:18">
      <c r="A2212" s="18">
        <v>3211</v>
      </c>
      <c r="B2212" s="19" t="s">
        <v>750</v>
      </c>
      <c r="C2212" s="18">
        <v>2025</v>
      </c>
      <c r="D2212" s="18" t="s">
        <v>61</v>
      </c>
      <c r="E2212" s="18" t="s">
        <v>98</v>
      </c>
      <c r="F2212" s="18" t="s">
        <v>117</v>
      </c>
      <c r="G2212" s="18" t="s">
        <v>41</v>
      </c>
      <c r="H2212" s="18" t="s">
        <v>112</v>
      </c>
      <c r="I2212" s="18" t="s">
        <v>52</v>
      </c>
      <c r="J2212" s="18" t="s">
        <v>91</v>
      </c>
      <c r="K2212" s="18">
        <v>6</v>
      </c>
      <c r="L2212" s="20">
        <v>6199.04</v>
      </c>
      <c r="M2212" s="21">
        <v>0</v>
      </c>
      <c r="N2212" s="21">
        <v>0.73531643499052202</v>
      </c>
      <c r="O2212" s="20">
        <f t="shared" si="136"/>
        <v>37194.239999999998</v>
      </c>
      <c r="P2212" s="20">
        <f t="shared" si="137"/>
        <v>27349.535958981873</v>
      </c>
      <c r="Q2212" s="20">
        <f t="shared" si="138"/>
        <v>9844.7040410181253</v>
      </c>
      <c r="R2212" s="22">
        <f t="shared" si="139"/>
        <v>0.26468356500947798</v>
      </c>
    </row>
    <row r="2213" spans="1:18">
      <c r="A2213" s="18">
        <v>3212</v>
      </c>
      <c r="B2213" s="19" t="s">
        <v>751</v>
      </c>
      <c r="C2213" s="18">
        <v>2025</v>
      </c>
      <c r="D2213" s="18" t="s">
        <v>61</v>
      </c>
      <c r="E2213" s="18" t="s">
        <v>85</v>
      </c>
      <c r="F2213" s="18" t="s">
        <v>94</v>
      </c>
      <c r="G2213" s="18" t="s">
        <v>41</v>
      </c>
      <c r="H2213" s="18" t="s">
        <v>90</v>
      </c>
      <c r="I2213" s="18" t="s">
        <v>60</v>
      </c>
      <c r="J2213" s="18" t="s">
        <v>102</v>
      </c>
      <c r="K2213" s="18">
        <v>2</v>
      </c>
      <c r="L2213" s="20">
        <v>17741.23</v>
      </c>
      <c r="M2213" s="21">
        <v>0.2</v>
      </c>
      <c r="N2213" s="21">
        <v>0.64567323504089102</v>
      </c>
      <c r="O2213" s="20">
        <f t="shared" si="136"/>
        <v>28385.968000000001</v>
      </c>
      <c r="P2213" s="20">
        <f t="shared" si="137"/>
        <v>18328.059788327213</v>
      </c>
      <c r="Q2213" s="20">
        <f t="shared" si="138"/>
        <v>10057.908211672788</v>
      </c>
      <c r="R2213" s="22">
        <f t="shared" si="139"/>
        <v>0.35432676495910892</v>
      </c>
    </row>
    <row r="2214" spans="1:18">
      <c r="A2214" s="18">
        <v>3213</v>
      </c>
      <c r="B2214" s="19" t="s">
        <v>751</v>
      </c>
      <c r="C2214" s="18">
        <v>2025</v>
      </c>
      <c r="D2214" s="18" t="s">
        <v>61</v>
      </c>
      <c r="E2214" s="18" t="s">
        <v>98</v>
      </c>
      <c r="F2214" s="18" t="s">
        <v>109</v>
      </c>
      <c r="G2214" s="18" t="s">
        <v>50</v>
      </c>
      <c r="H2214" s="18" t="s">
        <v>97</v>
      </c>
      <c r="I2214" s="18" t="s">
        <v>43</v>
      </c>
      <c r="J2214" s="18" t="s">
        <v>102</v>
      </c>
      <c r="K2214" s="18">
        <v>8</v>
      </c>
      <c r="L2214" s="20">
        <v>11931.23</v>
      </c>
      <c r="M2214" s="21">
        <v>0.1</v>
      </c>
      <c r="N2214" s="21">
        <v>0.736703072730579</v>
      </c>
      <c r="O2214" s="20">
        <f t="shared" si="136"/>
        <v>85904.856</v>
      </c>
      <c r="P2214" s="20">
        <f t="shared" si="137"/>
        <v>63286.371377677919</v>
      </c>
      <c r="Q2214" s="20">
        <f t="shared" si="138"/>
        <v>22618.484622322081</v>
      </c>
      <c r="R2214" s="22">
        <f t="shared" si="139"/>
        <v>0.26329692726942094</v>
      </c>
    </row>
    <row r="2215" spans="1:18">
      <c r="A2215" s="18">
        <v>3214</v>
      </c>
      <c r="B2215" s="19" t="s">
        <v>751</v>
      </c>
      <c r="C2215" s="18">
        <v>2025</v>
      </c>
      <c r="D2215" s="18" t="s">
        <v>61</v>
      </c>
      <c r="E2215" s="18" t="s">
        <v>85</v>
      </c>
      <c r="F2215" s="18" t="s">
        <v>94</v>
      </c>
      <c r="G2215" s="18" t="s">
        <v>41</v>
      </c>
      <c r="H2215" s="18" t="s">
        <v>106</v>
      </c>
      <c r="I2215" s="18" t="s">
        <v>49</v>
      </c>
      <c r="J2215" s="18" t="s">
        <v>82</v>
      </c>
      <c r="K2215" s="18">
        <v>7</v>
      </c>
      <c r="L2215" s="20">
        <v>2409.14</v>
      </c>
      <c r="M2215" s="21">
        <v>0.15</v>
      </c>
      <c r="N2215" s="21">
        <v>0.66511835196160196</v>
      </c>
      <c r="O2215" s="20">
        <f t="shared" si="136"/>
        <v>14334.383</v>
      </c>
      <c r="P2215" s="20">
        <f t="shared" si="137"/>
        <v>9534.0611973464038</v>
      </c>
      <c r="Q2215" s="20">
        <f t="shared" si="138"/>
        <v>4800.321802653596</v>
      </c>
      <c r="R2215" s="22">
        <f t="shared" si="139"/>
        <v>0.33488164803839804</v>
      </c>
    </row>
    <row r="2216" spans="1:18">
      <c r="A2216" s="18">
        <v>3215</v>
      </c>
      <c r="B2216" s="19" t="s">
        <v>752</v>
      </c>
      <c r="C2216" s="18">
        <v>2025</v>
      </c>
      <c r="D2216" s="18" t="s">
        <v>61</v>
      </c>
      <c r="E2216" s="18" t="s">
        <v>85</v>
      </c>
      <c r="F2216" s="18" t="s">
        <v>121</v>
      </c>
      <c r="G2216" s="18" t="s">
        <v>47</v>
      </c>
      <c r="H2216" s="18" t="s">
        <v>81</v>
      </c>
      <c r="I2216" s="18" t="s">
        <v>62</v>
      </c>
      <c r="J2216" s="18" t="s">
        <v>102</v>
      </c>
      <c r="K2216" s="18">
        <v>10</v>
      </c>
      <c r="L2216" s="20">
        <v>806.87</v>
      </c>
      <c r="M2216" s="21">
        <v>0</v>
      </c>
      <c r="N2216" s="21">
        <v>0.68789874618788305</v>
      </c>
      <c r="O2216" s="20">
        <f t="shared" si="136"/>
        <v>8068.7</v>
      </c>
      <c r="P2216" s="20">
        <f t="shared" si="137"/>
        <v>5550.4486133661721</v>
      </c>
      <c r="Q2216" s="20">
        <f t="shared" si="138"/>
        <v>2518.2513866338277</v>
      </c>
      <c r="R2216" s="22">
        <f t="shared" si="139"/>
        <v>0.3121012538121169</v>
      </c>
    </row>
    <row r="2217" spans="1:18">
      <c r="A2217" s="18">
        <v>3216</v>
      </c>
      <c r="B2217" s="19" t="s">
        <v>752</v>
      </c>
      <c r="C2217" s="18">
        <v>2025</v>
      </c>
      <c r="D2217" s="18" t="s">
        <v>61</v>
      </c>
      <c r="E2217" s="18" t="s">
        <v>79</v>
      </c>
      <c r="F2217" s="18" t="s">
        <v>100</v>
      </c>
      <c r="G2217" s="18" t="s">
        <v>47</v>
      </c>
      <c r="H2217" s="18" t="s">
        <v>107</v>
      </c>
      <c r="I2217" s="18" t="s">
        <v>49</v>
      </c>
      <c r="J2217" s="18" t="s">
        <v>102</v>
      </c>
      <c r="K2217" s="18">
        <v>1</v>
      </c>
      <c r="L2217" s="20">
        <v>2206.88</v>
      </c>
      <c r="M2217" s="21">
        <v>0</v>
      </c>
      <c r="N2217" s="21">
        <v>0.71653206338155795</v>
      </c>
      <c r="O2217" s="20">
        <f t="shared" si="136"/>
        <v>2206.88</v>
      </c>
      <c r="P2217" s="20">
        <f t="shared" si="137"/>
        <v>1581.3002800354927</v>
      </c>
      <c r="Q2217" s="20">
        <f t="shared" si="138"/>
        <v>625.57971996450738</v>
      </c>
      <c r="R2217" s="22">
        <f t="shared" si="139"/>
        <v>0.28346793661844205</v>
      </c>
    </row>
    <row r="2218" spans="1:18">
      <c r="A2218" s="18">
        <v>3217</v>
      </c>
      <c r="B2218" s="19" t="s">
        <v>752</v>
      </c>
      <c r="C2218" s="18">
        <v>2025</v>
      </c>
      <c r="D2218" s="18" t="s">
        <v>61</v>
      </c>
      <c r="E2218" s="18" t="s">
        <v>98</v>
      </c>
      <c r="F2218" s="18" t="s">
        <v>117</v>
      </c>
      <c r="G2218" s="18" t="s">
        <v>41</v>
      </c>
      <c r="H2218" s="18" t="s">
        <v>90</v>
      </c>
      <c r="I2218" s="18" t="s">
        <v>60</v>
      </c>
      <c r="J2218" s="18" t="s">
        <v>102</v>
      </c>
      <c r="K2218" s="18">
        <v>7</v>
      </c>
      <c r="L2218" s="20">
        <v>18294.43</v>
      </c>
      <c r="M2218" s="21">
        <v>0.05</v>
      </c>
      <c r="N2218" s="21">
        <v>0.73092042101545596</v>
      </c>
      <c r="O2218" s="20">
        <f t="shared" si="136"/>
        <v>121657.9595</v>
      </c>
      <c r="P2218" s="20">
        <f t="shared" si="137"/>
        <v>88922.28697762129</v>
      </c>
      <c r="Q2218" s="20">
        <f t="shared" si="138"/>
        <v>32735.672522378707</v>
      </c>
      <c r="R2218" s="22">
        <f t="shared" si="139"/>
        <v>0.26907957898454404</v>
      </c>
    </row>
    <row r="2219" spans="1:18">
      <c r="A2219" s="18">
        <v>3218</v>
      </c>
      <c r="B2219" s="19" t="s">
        <v>752</v>
      </c>
      <c r="C2219" s="18">
        <v>2025</v>
      </c>
      <c r="D2219" s="18" t="s">
        <v>61</v>
      </c>
      <c r="E2219" s="18" t="s">
        <v>88</v>
      </c>
      <c r="F2219" s="18" t="s">
        <v>93</v>
      </c>
      <c r="G2219" s="18" t="s">
        <v>47</v>
      </c>
      <c r="H2219" s="18" t="s">
        <v>107</v>
      </c>
      <c r="I2219" s="18" t="s">
        <v>52</v>
      </c>
      <c r="J2219" s="18" t="s">
        <v>102</v>
      </c>
      <c r="K2219" s="18">
        <v>9</v>
      </c>
      <c r="L2219" s="20">
        <v>2260.83</v>
      </c>
      <c r="M2219" s="21">
        <v>0.05</v>
      </c>
      <c r="N2219" s="21">
        <v>0.67385063581329996</v>
      </c>
      <c r="O2219" s="20">
        <f t="shared" si="136"/>
        <v>19330.0965</v>
      </c>
      <c r="P2219" s="20">
        <f t="shared" si="137"/>
        <v>13025.597816857444</v>
      </c>
      <c r="Q2219" s="20">
        <f t="shared" si="138"/>
        <v>6304.4986831425558</v>
      </c>
      <c r="R2219" s="22">
        <f t="shared" si="139"/>
        <v>0.32614936418670004</v>
      </c>
    </row>
    <row r="2220" spans="1:18">
      <c r="A2220" s="18">
        <v>3219</v>
      </c>
      <c r="B2220" s="19" t="s">
        <v>752</v>
      </c>
      <c r="C2220" s="18">
        <v>2025</v>
      </c>
      <c r="D2220" s="18" t="s">
        <v>61</v>
      </c>
      <c r="E2220" s="18" t="s">
        <v>85</v>
      </c>
      <c r="F2220" s="18" t="s">
        <v>94</v>
      </c>
      <c r="G2220" s="18" t="s">
        <v>47</v>
      </c>
      <c r="H2220" s="18" t="s">
        <v>107</v>
      </c>
      <c r="I2220" s="18" t="s">
        <v>46</v>
      </c>
      <c r="J2220" s="18" t="s">
        <v>102</v>
      </c>
      <c r="K2220" s="18">
        <v>6</v>
      </c>
      <c r="L2220" s="20">
        <v>2271.25</v>
      </c>
      <c r="M2220" s="21">
        <v>0.1</v>
      </c>
      <c r="N2220" s="21">
        <v>0.61571868305669597</v>
      </c>
      <c r="O2220" s="20">
        <f t="shared" si="136"/>
        <v>12264.75</v>
      </c>
      <c r="P2220" s="20">
        <f t="shared" si="137"/>
        <v>7551.6357180196119</v>
      </c>
      <c r="Q2220" s="20">
        <f t="shared" si="138"/>
        <v>4713.1142819803881</v>
      </c>
      <c r="R2220" s="22">
        <f t="shared" si="139"/>
        <v>0.38428131694330403</v>
      </c>
    </row>
    <row r="2221" spans="1:18">
      <c r="A2221" s="18">
        <v>3220</v>
      </c>
      <c r="B2221" s="19" t="s">
        <v>753</v>
      </c>
      <c r="C2221" s="18">
        <v>2025</v>
      </c>
      <c r="D2221" s="18" t="s">
        <v>61</v>
      </c>
      <c r="E2221" s="18" t="s">
        <v>88</v>
      </c>
      <c r="F2221" s="18" t="s">
        <v>93</v>
      </c>
      <c r="G2221" s="18" t="s">
        <v>41</v>
      </c>
      <c r="H2221" s="18" t="s">
        <v>90</v>
      </c>
      <c r="I2221" s="18" t="s">
        <v>46</v>
      </c>
      <c r="J2221" s="18" t="s">
        <v>82</v>
      </c>
      <c r="K2221" s="18">
        <v>2</v>
      </c>
      <c r="L2221" s="20">
        <v>17893.990000000002</v>
      </c>
      <c r="M2221" s="21">
        <v>0.15</v>
      </c>
      <c r="N2221" s="21">
        <v>0.642552154855621</v>
      </c>
      <c r="O2221" s="20">
        <f t="shared" si="136"/>
        <v>30419.783000000003</v>
      </c>
      <c r="P2221" s="20">
        <f t="shared" si="137"/>
        <v>19546.29711689039</v>
      </c>
      <c r="Q2221" s="20">
        <f t="shared" si="138"/>
        <v>10873.485883109613</v>
      </c>
      <c r="R2221" s="22">
        <f t="shared" si="139"/>
        <v>0.357447845144379</v>
      </c>
    </row>
    <row r="2222" spans="1:18">
      <c r="A2222" s="18">
        <v>3221</v>
      </c>
      <c r="B2222" s="19" t="s">
        <v>753</v>
      </c>
      <c r="C2222" s="18">
        <v>2025</v>
      </c>
      <c r="D2222" s="18" t="s">
        <v>61</v>
      </c>
      <c r="E2222" s="18" t="s">
        <v>79</v>
      </c>
      <c r="F2222" s="18" t="s">
        <v>100</v>
      </c>
      <c r="G2222" s="18" t="s">
        <v>47</v>
      </c>
      <c r="H2222" s="18" t="s">
        <v>103</v>
      </c>
      <c r="I2222" s="18" t="s">
        <v>60</v>
      </c>
      <c r="J2222" s="18" t="s">
        <v>82</v>
      </c>
      <c r="K2222" s="18">
        <v>11</v>
      </c>
      <c r="L2222" s="20">
        <v>3234.7</v>
      </c>
      <c r="M2222" s="21">
        <v>0.1</v>
      </c>
      <c r="N2222" s="21">
        <v>0.72974273723654404</v>
      </c>
      <c r="O2222" s="20">
        <f t="shared" si="136"/>
        <v>32023.53</v>
      </c>
      <c r="P2222" s="20">
        <f t="shared" si="137"/>
        <v>23368.938438176585</v>
      </c>
      <c r="Q2222" s="20">
        <f t="shared" si="138"/>
        <v>8654.5915618234139</v>
      </c>
      <c r="R2222" s="22">
        <f t="shared" si="139"/>
        <v>0.27025726276345596</v>
      </c>
    </row>
    <row r="2223" spans="1:18">
      <c r="A2223" s="18">
        <v>3222</v>
      </c>
      <c r="B2223" s="19" t="s">
        <v>753</v>
      </c>
      <c r="C2223" s="18">
        <v>2025</v>
      </c>
      <c r="D2223" s="18" t="s">
        <v>61</v>
      </c>
      <c r="E2223" s="18" t="s">
        <v>85</v>
      </c>
      <c r="F2223" s="18" t="s">
        <v>86</v>
      </c>
      <c r="G2223" s="18" t="s">
        <v>47</v>
      </c>
      <c r="H2223" s="18" t="s">
        <v>103</v>
      </c>
      <c r="I2223" s="18" t="s">
        <v>60</v>
      </c>
      <c r="J2223" s="18" t="s">
        <v>91</v>
      </c>
      <c r="K2223" s="18">
        <v>5</v>
      </c>
      <c r="L2223" s="20">
        <v>3336.14</v>
      </c>
      <c r="M2223" s="21">
        <v>0</v>
      </c>
      <c r="N2223" s="21">
        <v>0.70798151234667905</v>
      </c>
      <c r="O2223" s="20">
        <f t="shared" si="136"/>
        <v>16680.7</v>
      </c>
      <c r="P2223" s="20">
        <f t="shared" si="137"/>
        <v>11809.627213001249</v>
      </c>
      <c r="Q2223" s="20">
        <f t="shared" si="138"/>
        <v>4871.0727869987513</v>
      </c>
      <c r="R2223" s="22">
        <f t="shared" si="139"/>
        <v>0.29201848765332095</v>
      </c>
    </row>
    <row r="2224" spans="1:18">
      <c r="A2224" s="18">
        <v>3223</v>
      </c>
      <c r="B2224" s="19" t="s">
        <v>753</v>
      </c>
      <c r="C2224" s="18">
        <v>2025</v>
      </c>
      <c r="D2224" s="18" t="s">
        <v>61</v>
      </c>
      <c r="E2224" s="18" t="s">
        <v>88</v>
      </c>
      <c r="F2224" s="18" t="s">
        <v>89</v>
      </c>
      <c r="G2224" s="18" t="s">
        <v>50</v>
      </c>
      <c r="H2224" s="18" t="s">
        <v>83</v>
      </c>
      <c r="I2224" s="18" t="s">
        <v>60</v>
      </c>
      <c r="J2224" s="18" t="s">
        <v>91</v>
      </c>
      <c r="K2224" s="18">
        <v>9</v>
      </c>
      <c r="L2224" s="20">
        <v>3361.68</v>
      </c>
      <c r="M2224" s="21">
        <v>0</v>
      </c>
      <c r="N2224" s="21">
        <v>0.69522389056926603</v>
      </c>
      <c r="O2224" s="20">
        <f t="shared" si="136"/>
        <v>30255.119999999999</v>
      </c>
      <c r="P2224" s="20">
        <f t="shared" si="137"/>
        <v>21034.082236040013</v>
      </c>
      <c r="Q2224" s="20">
        <f t="shared" si="138"/>
        <v>9221.0377639599865</v>
      </c>
      <c r="R2224" s="22">
        <f t="shared" si="139"/>
        <v>0.30477610943073391</v>
      </c>
    </row>
    <row r="2225" spans="1:18">
      <c r="A2225" s="18">
        <v>3224</v>
      </c>
      <c r="B2225" s="19" t="s">
        <v>754</v>
      </c>
      <c r="C2225" s="18">
        <v>2025</v>
      </c>
      <c r="D2225" s="18" t="s">
        <v>61</v>
      </c>
      <c r="E2225" s="18" t="s">
        <v>88</v>
      </c>
      <c r="F2225" s="18" t="s">
        <v>93</v>
      </c>
      <c r="G2225" s="18" t="s">
        <v>47</v>
      </c>
      <c r="H2225" s="18" t="s">
        <v>107</v>
      </c>
      <c r="I2225" s="18" t="s">
        <v>60</v>
      </c>
      <c r="J2225" s="18" t="s">
        <v>82</v>
      </c>
      <c r="K2225" s="18">
        <v>2</v>
      </c>
      <c r="L2225" s="20">
        <v>2217.19</v>
      </c>
      <c r="M2225" s="21">
        <v>0.15</v>
      </c>
      <c r="N2225" s="21">
        <v>0.74721429941928397</v>
      </c>
      <c r="O2225" s="20">
        <f t="shared" si="136"/>
        <v>3769.223</v>
      </c>
      <c r="P2225" s="20">
        <f t="shared" si="137"/>
        <v>2816.4173233000515</v>
      </c>
      <c r="Q2225" s="20">
        <f t="shared" si="138"/>
        <v>952.80567669994844</v>
      </c>
      <c r="R2225" s="22">
        <f t="shared" si="139"/>
        <v>0.25278570058071609</v>
      </c>
    </row>
    <row r="2226" spans="1:18">
      <c r="A2226" s="18">
        <v>3225</v>
      </c>
      <c r="B2226" s="19" t="s">
        <v>754</v>
      </c>
      <c r="C2226" s="18">
        <v>2025</v>
      </c>
      <c r="D2226" s="18" t="s">
        <v>61</v>
      </c>
      <c r="E2226" s="18" t="s">
        <v>85</v>
      </c>
      <c r="F2226" s="18" t="s">
        <v>94</v>
      </c>
      <c r="G2226" s="18" t="s">
        <v>41</v>
      </c>
      <c r="H2226" s="18" t="s">
        <v>106</v>
      </c>
      <c r="I2226" s="18" t="s">
        <v>54</v>
      </c>
      <c r="J2226" s="18" t="s">
        <v>102</v>
      </c>
      <c r="K2226" s="18">
        <v>1</v>
      </c>
      <c r="L2226" s="20">
        <v>2596.88</v>
      </c>
      <c r="M2226" s="21">
        <v>0</v>
      </c>
      <c r="N2226" s="21">
        <v>0.69757769971329997</v>
      </c>
      <c r="O2226" s="20">
        <f t="shared" si="136"/>
        <v>2596.88</v>
      </c>
      <c r="P2226" s="20">
        <f t="shared" si="137"/>
        <v>1811.5255768314746</v>
      </c>
      <c r="Q2226" s="20">
        <f t="shared" si="138"/>
        <v>785.3544231685255</v>
      </c>
      <c r="R2226" s="22">
        <f t="shared" si="139"/>
        <v>0.30242230028669997</v>
      </c>
    </row>
    <row r="2227" spans="1:18">
      <c r="A2227" s="18">
        <v>3226</v>
      </c>
      <c r="B2227" s="19" t="s">
        <v>755</v>
      </c>
      <c r="C2227" s="18">
        <v>2025</v>
      </c>
      <c r="D2227" s="18" t="s">
        <v>61</v>
      </c>
      <c r="E2227" s="18" t="s">
        <v>79</v>
      </c>
      <c r="F2227" s="18" t="s">
        <v>105</v>
      </c>
      <c r="G2227" s="18" t="s">
        <v>50</v>
      </c>
      <c r="H2227" s="18" t="s">
        <v>87</v>
      </c>
      <c r="I2227" s="18" t="s">
        <v>40</v>
      </c>
      <c r="J2227" s="18" t="s">
        <v>91</v>
      </c>
      <c r="K2227" s="18">
        <v>6</v>
      </c>
      <c r="L2227" s="20">
        <v>9165.42</v>
      </c>
      <c r="M2227" s="21">
        <v>0.1</v>
      </c>
      <c r="N2227" s="21">
        <v>0.73492233369195203</v>
      </c>
      <c r="O2227" s="20">
        <f t="shared" si="136"/>
        <v>49493.268000000004</v>
      </c>
      <c r="P2227" s="20">
        <f t="shared" si="137"/>
        <v>36373.708020601211</v>
      </c>
      <c r="Q2227" s="20">
        <f t="shared" si="138"/>
        <v>13119.559979398793</v>
      </c>
      <c r="R2227" s="22">
        <f t="shared" si="139"/>
        <v>0.26507766630804802</v>
      </c>
    </row>
    <row r="2228" spans="1:18">
      <c r="A2228" s="18">
        <v>3227</v>
      </c>
      <c r="B2228" s="19" t="s">
        <v>755</v>
      </c>
      <c r="C2228" s="18">
        <v>2025</v>
      </c>
      <c r="D2228" s="18" t="s">
        <v>61</v>
      </c>
      <c r="E2228" s="18" t="s">
        <v>88</v>
      </c>
      <c r="F2228" s="18" t="s">
        <v>110</v>
      </c>
      <c r="G2228" s="18" t="s">
        <v>47</v>
      </c>
      <c r="H2228" s="18" t="s">
        <v>81</v>
      </c>
      <c r="I2228" s="18" t="s">
        <v>54</v>
      </c>
      <c r="J2228" s="18" t="s">
        <v>102</v>
      </c>
      <c r="K2228" s="18">
        <v>9</v>
      </c>
      <c r="L2228" s="20">
        <v>803.08</v>
      </c>
      <c r="M2228" s="21">
        <v>0</v>
      </c>
      <c r="N2228" s="21">
        <v>0.700908833327759</v>
      </c>
      <c r="O2228" s="20">
        <f t="shared" si="136"/>
        <v>7227.72</v>
      </c>
      <c r="P2228" s="20">
        <f t="shared" si="137"/>
        <v>5065.9727928197108</v>
      </c>
      <c r="Q2228" s="20">
        <f t="shared" si="138"/>
        <v>2161.7472071802895</v>
      </c>
      <c r="R2228" s="22">
        <f t="shared" si="139"/>
        <v>0.29909116667224095</v>
      </c>
    </row>
    <row r="2229" spans="1:18">
      <c r="A2229" s="18">
        <v>3228</v>
      </c>
      <c r="B2229" s="19" t="s">
        <v>755</v>
      </c>
      <c r="C2229" s="18">
        <v>2025</v>
      </c>
      <c r="D2229" s="18" t="s">
        <v>61</v>
      </c>
      <c r="E2229" s="18" t="s">
        <v>85</v>
      </c>
      <c r="F2229" s="18" t="s">
        <v>94</v>
      </c>
      <c r="G2229" s="18" t="s">
        <v>41</v>
      </c>
      <c r="H2229" s="18" t="s">
        <v>106</v>
      </c>
      <c r="I2229" s="18" t="s">
        <v>49</v>
      </c>
      <c r="J2229" s="18" t="s">
        <v>82</v>
      </c>
      <c r="K2229" s="18">
        <v>11</v>
      </c>
      <c r="L2229" s="20">
        <v>2473.64</v>
      </c>
      <c r="M2229" s="21">
        <v>0.2</v>
      </c>
      <c r="N2229" s="21">
        <v>0.69888264107933296</v>
      </c>
      <c r="O2229" s="20">
        <f t="shared" si="136"/>
        <v>21768.031999999999</v>
      </c>
      <c r="P2229" s="20">
        <f t="shared" si="137"/>
        <v>15213.299695259433</v>
      </c>
      <c r="Q2229" s="20">
        <f t="shared" si="138"/>
        <v>6554.7323047405662</v>
      </c>
      <c r="R2229" s="22">
        <f t="shared" si="139"/>
        <v>0.3011173589206671</v>
      </c>
    </row>
    <row r="2230" spans="1:18">
      <c r="A2230" s="18">
        <v>3229</v>
      </c>
      <c r="B2230" s="19" t="s">
        <v>756</v>
      </c>
      <c r="C2230" s="18">
        <v>2025</v>
      </c>
      <c r="D2230" s="18" t="s">
        <v>61</v>
      </c>
      <c r="E2230" s="18" t="s">
        <v>88</v>
      </c>
      <c r="F2230" s="18" t="s">
        <v>93</v>
      </c>
      <c r="G2230" s="18" t="s">
        <v>41</v>
      </c>
      <c r="H2230" s="18" t="s">
        <v>90</v>
      </c>
      <c r="I2230" s="18" t="s">
        <v>49</v>
      </c>
      <c r="J2230" s="18" t="s">
        <v>102</v>
      </c>
      <c r="K2230" s="18">
        <v>3</v>
      </c>
      <c r="L2230" s="20">
        <v>18635.099999999999</v>
      </c>
      <c r="M2230" s="21">
        <v>0.1</v>
      </c>
      <c r="N2230" s="21">
        <v>0.61147475411653696</v>
      </c>
      <c r="O2230" s="20">
        <f t="shared" si="136"/>
        <v>50314.77</v>
      </c>
      <c r="P2230" s="20">
        <f t="shared" si="137"/>
        <v>30766.211614180109</v>
      </c>
      <c r="Q2230" s="20">
        <f t="shared" si="138"/>
        <v>19548.558385819888</v>
      </c>
      <c r="R2230" s="22">
        <f t="shared" si="139"/>
        <v>0.38852524588346304</v>
      </c>
    </row>
    <row r="2231" spans="1:18">
      <c r="A2231" s="18">
        <v>3230</v>
      </c>
      <c r="B2231" s="19" t="s">
        <v>756</v>
      </c>
      <c r="C2231" s="18">
        <v>2025</v>
      </c>
      <c r="D2231" s="18" t="s">
        <v>61</v>
      </c>
      <c r="E2231" s="18" t="s">
        <v>98</v>
      </c>
      <c r="F2231" s="18" t="s">
        <v>109</v>
      </c>
      <c r="G2231" s="18" t="s">
        <v>41</v>
      </c>
      <c r="H2231" s="18" t="s">
        <v>101</v>
      </c>
      <c r="I2231" s="18" t="s">
        <v>56</v>
      </c>
      <c r="J2231" s="18" t="s">
        <v>82</v>
      </c>
      <c r="K2231" s="18">
        <v>10</v>
      </c>
      <c r="L2231" s="20">
        <v>52574.89</v>
      </c>
      <c r="M2231" s="21">
        <v>0.15</v>
      </c>
      <c r="N2231" s="21">
        <v>0.61561802003734101</v>
      </c>
      <c r="O2231" s="20">
        <f t="shared" si="136"/>
        <v>446886.565</v>
      </c>
      <c r="P2231" s="20">
        <f t="shared" si="137"/>
        <v>275111.42232658848</v>
      </c>
      <c r="Q2231" s="20">
        <f t="shared" si="138"/>
        <v>171775.14267341152</v>
      </c>
      <c r="R2231" s="22">
        <f t="shared" si="139"/>
        <v>0.38438197996265905</v>
      </c>
    </row>
    <row r="2232" spans="1:18">
      <c r="A2232" s="18">
        <v>3231</v>
      </c>
      <c r="B2232" s="19" t="s">
        <v>757</v>
      </c>
      <c r="C2232" s="18">
        <v>2025</v>
      </c>
      <c r="D2232" s="18" t="s">
        <v>61</v>
      </c>
      <c r="E2232" s="18" t="s">
        <v>79</v>
      </c>
      <c r="F2232" s="18" t="s">
        <v>100</v>
      </c>
      <c r="G2232" s="18" t="s">
        <v>47</v>
      </c>
      <c r="H2232" s="18" t="s">
        <v>107</v>
      </c>
      <c r="I2232" s="18" t="s">
        <v>40</v>
      </c>
      <c r="J2232" s="18" t="s">
        <v>82</v>
      </c>
      <c r="K2232" s="18">
        <v>5</v>
      </c>
      <c r="L2232" s="20">
        <v>2136.6799999999998</v>
      </c>
      <c r="M2232" s="21">
        <v>0.1</v>
      </c>
      <c r="N2232" s="21">
        <v>0.59131681531736402</v>
      </c>
      <c r="O2232" s="20">
        <f t="shared" si="136"/>
        <v>9615.06</v>
      </c>
      <c r="P2232" s="20">
        <f t="shared" si="137"/>
        <v>5685.5466582853742</v>
      </c>
      <c r="Q2232" s="20">
        <f t="shared" si="138"/>
        <v>3929.5133417146253</v>
      </c>
      <c r="R2232" s="22">
        <f t="shared" si="139"/>
        <v>0.40868318468263592</v>
      </c>
    </row>
    <row r="2233" spans="1:18">
      <c r="A2233" s="18">
        <v>3232</v>
      </c>
      <c r="B2233" s="19" t="s">
        <v>757</v>
      </c>
      <c r="C2233" s="18">
        <v>2025</v>
      </c>
      <c r="D2233" s="18" t="s">
        <v>61</v>
      </c>
      <c r="E2233" s="18" t="s">
        <v>79</v>
      </c>
      <c r="F2233" s="18" t="s">
        <v>105</v>
      </c>
      <c r="G2233" s="18" t="s">
        <v>50</v>
      </c>
      <c r="H2233" s="18" t="s">
        <v>83</v>
      </c>
      <c r="I2233" s="18" t="s">
        <v>56</v>
      </c>
      <c r="J2233" s="18" t="s">
        <v>91</v>
      </c>
      <c r="K2233" s="18">
        <v>3</v>
      </c>
      <c r="L2233" s="20">
        <v>3645.25</v>
      </c>
      <c r="M2233" s="21">
        <v>0</v>
      </c>
      <c r="N2233" s="21">
        <v>0.59340659184784805</v>
      </c>
      <c r="O2233" s="20">
        <f t="shared" si="136"/>
        <v>10935.75</v>
      </c>
      <c r="P2233" s="20">
        <f t="shared" si="137"/>
        <v>6489.3461368001044</v>
      </c>
      <c r="Q2233" s="20">
        <f t="shared" si="138"/>
        <v>4446.4038631998956</v>
      </c>
      <c r="R2233" s="22">
        <f t="shared" si="139"/>
        <v>0.40659340815215195</v>
      </c>
    </row>
    <row r="2234" spans="1:18">
      <c r="A2234" s="18">
        <v>3233</v>
      </c>
      <c r="B2234" s="19" t="s">
        <v>758</v>
      </c>
      <c r="C2234" s="18">
        <v>2025</v>
      </c>
      <c r="D2234" s="18" t="s">
        <v>61</v>
      </c>
      <c r="E2234" s="18" t="s">
        <v>85</v>
      </c>
      <c r="F2234" s="18" t="s">
        <v>94</v>
      </c>
      <c r="G2234" s="18" t="s">
        <v>44</v>
      </c>
      <c r="H2234" s="18" t="s">
        <v>119</v>
      </c>
      <c r="I2234" s="18" t="s">
        <v>54</v>
      </c>
      <c r="J2234" s="18" t="s">
        <v>82</v>
      </c>
      <c r="K2234" s="18">
        <v>10</v>
      </c>
      <c r="L2234" s="20">
        <v>6692.25</v>
      </c>
      <c r="M2234" s="21">
        <v>0</v>
      </c>
      <c r="N2234" s="21">
        <v>0.67532626589218303</v>
      </c>
      <c r="O2234" s="20">
        <f t="shared" si="136"/>
        <v>66922.5</v>
      </c>
      <c r="P2234" s="20">
        <f t="shared" si="137"/>
        <v>45194.522029169617</v>
      </c>
      <c r="Q2234" s="20">
        <f t="shared" si="138"/>
        <v>21727.977970830383</v>
      </c>
      <c r="R2234" s="22">
        <f t="shared" si="139"/>
        <v>0.32467373410781702</v>
      </c>
    </row>
    <row r="2235" spans="1:18">
      <c r="A2235" s="18">
        <v>3234</v>
      </c>
      <c r="B2235" s="19" t="s">
        <v>758</v>
      </c>
      <c r="C2235" s="18">
        <v>2025</v>
      </c>
      <c r="D2235" s="18" t="s">
        <v>61</v>
      </c>
      <c r="E2235" s="18" t="s">
        <v>98</v>
      </c>
      <c r="F2235" s="18" t="s">
        <v>109</v>
      </c>
      <c r="G2235" s="18" t="s">
        <v>41</v>
      </c>
      <c r="H2235" s="18" t="s">
        <v>106</v>
      </c>
      <c r="I2235" s="18" t="s">
        <v>52</v>
      </c>
      <c r="J2235" s="18" t="s">
        <v>91</v>
      </c>
      <c r="K2235" s="18">
        <v>11</v>
      </c>
      <c r="L2235" s="20">
        <v>2436.58</v>
      </c>
      <c r="M2235" s="21">
        <v>0.2</v>
      </c>
      <c r="N2235" s="21">
        <v>0.61686245033260301</v>
      </c>
      <c r="O2235" s="20">
        <f t="shared" si="136"/>
        <v>21441.903999999999</v>
      </c>
      <c r="P2235" s="20">
        <f t="shared" si="137"/>
        <v>13226.705441236441</v>
      </c>
      <c r="Q2235" s="20">
        <f t="shared" si="138"/>
        <v>8215.1985587635572</v>
      </c>
      <c r="R2235" s="22">
        <f t="shared" si="139"/>
        <v>0.38313754966739699</v>
      </c>
    </row>
    <row r="2236" spans="1:18">
      <c r="A2236" s="18">
        <v>3235</v>
      </c>
      <c r="B2236" s="19" t="s">
        <v>758</v>
      </c>
      <c r="C2236" s="18">
        <v>2025</v>
      </c>
      <c r="D2236" s="18" t="s">
        <v>61</v>
      </c>
      <c r="E2236" s="18" t="s">
        <v>85</v>
      </c>
      <c r="F2236" s="18" t="s">
        <v>121</v>
      </c>
      <c r="G2236" s="18" t="s">
        <v>44</v>
      </c>
      <c r="H2236" s="18" t="s">
        <v>95</v>
      </c>
      <c r="I2236" s="18" t="s">
        <v>58</v>
      </c>
      <c r="J2236" s="18" t="s">
        <v>102</v>
      </c>
      <c r="K2236" s="18">
        <v>3</v>
      </c>
      <c r="L2236" s="20">
        <v>4435.68</v>
      </c>
      <c r="M2236" s="21">
        <v>0</v>
      </c>
      <c r="N2236" s="21">
        <v>0.57025239822243301</v>
      </c>
      <c r="O2236" s="20">
        <f t="shared" si="136"/>
        <v>13307.04</v>
      </c>
      <c r="P2236" s="20">
        <f t="shared" si="137"/>
        <v>7588.3714732418457</v>
      </c>
      <c r="Q2236" s="20">
        <f t="shared" si="138"/>
        <v>5718.6685267581552</v>
      </c>
      <c r="R2236" s="22">
        <f t="shared" si="139"/>
        <v>0.42974760177756699</v>
      </c>
    </row>
    <row r="2237" spans="1:18">
      <c r="A2237" s="18">
        <v>3236</v>
      </c>
      <c r="B2237" s="19" t="s">
        <v>758</v>
      </c>
      <c r="C2237" s="18">
        <v>2025</v>
      </c>
      <c r="D2237" s="18" t="s">
        <v>61</v>
      </c>
      <c r="E2237" s="18" t="s">
        <v>98</v>
      </c>
      <c r="F2237" s="18" t="s">
        <v>117</v>
      </c>
      <c r="G2237" s="18" t="s">
        <v>50</v>
      </c>
      <c r="H2237" s="18" t="s">
        <v>87</v>
      </c>
      <c r="I2237" s="18" t="s">
        <v>62</v>
      </c>
      <c r="J2237" s="18" t="s">
        <v>82</v>
      </c>
      <c r="K2237" s="18">
        <v>11</v>
      </c>
      <c r="L2237" s="20">
        <v>9152.32</v>
      </c>
      <c r="M2237" s="21">
        <v>0.15</v>
      </c>
      <c r="N2237" s="21">
        <v>0.73220271056888098</v>
      </c>
      <c r="O2237" s="20">
        <f t="shared" si="136"/>
        <v>85574.191999999995</v>
      </c>
      <c r="P2237" s="20">
        <f t="shared" si="137"/>
        <v>62657.655337141849</v>
      </c>
      <c r="Q2237" s="20">
        <f t="shared" si="138"/>
        <v>22916.536662858147</v>
      </c>
      <c r="R2237" s="22">
        <f t="shared" si="139"/>
        <v>0.26779728943111902</v>
      </c>
    </row>
    <row r="2238" spans="1:18">
      <c r="A2238" s="18">
        <v>3237</v>
      </c>
      <c r="B2238" s="19" t="s">
        <v>759</v>
      </c>
      <c r="C2238" s="18">
        <v>2025</v>
      </c>
      <c r="D2238" s="18" t="s">
        <v>61</v>
      </c>
      <c r="E2238" s="18" t="s">
        <v>85</v>
      </c>
      <c r="F2238" s="18" t="s">
        <v>86</v>
      </c>
      <c r="G2238" s="18" t="s">
        <v>50</v>
      </c>
      <c r="H2238" s="18" t="s">
        <v>83</v>
      </c>
      <c r="I2238" s="18" t="s">
        <v>46</v>
      </c>
      <c r="J2238" s="18" t="s">
        <v>102</v>
      </c>
      <c r="K2238" s="18">
        <v>10</v>
      </c>
      <c r="L2238" s="20">
        <v>3472.64</v>
      </c>
      <c r="M2238" s="21">
        <v>0.2</v>
      </c>
      <c r="N2238" s="21">
        <v>0.625642063334374</v>
      </c>
      <c r="O2238" s="20">
        <f t="shared" si="136"/>
        <v>27781.120000000003</v>
      </c>
      <c r="P2238" s="20">
        <f t="shared" si="137"/>
        <v>17381.037238539844</v>
      </c>
      <c r="Q2238" s="20">
        <f t="shared" si="138"/>
        <v>10400.082761460159</v>
      </c>
      <c r="R2238" s="22">
        <f t="shared" si="139"/>
        <v>0.37435793666562606</v>
      </c>
    </row>
    <row r="2239" spans="1:18">
      <c r="A2239" s="18">
        <v>3238</v>
      </c>
      <c r="B2239" s="19" t="s">
        <v>759</v>
      </c>
      <c r="C2239" s="18">
        <v>2025</v>
      </c>
      <c r="D2239" s="18" t="s">
        <v>61</v>
      </c>
      <c r="E2239" s="18" t="s">
        <v>79</v>
      </c>
      <c r="F2239" s="18" t="s">
        <v>105</v>
      </c>
      <c r="G2239" s="18" t="s">
        <v>44</v>
      </c>
      <c r="H2239" s="18" t="s">
        <v>114</v>
      </c>
      <c r="I2239" s="18" t="s">
        <v>46</v>
      </c>
      <c r="J2239" s="18" t="s">
        <v>102</v>
      </c>
      <c r="K2239" s="18">
        <v>2</v>
      </c>
      <c r="L2239" s="20">
        <v>8889.94</v>
      </c>
      <c r="M2239" s="21">
        <v>0.05</v>
      </c>
      <c r="N2239" s="21">
        <v>0.60128494958384004</v>
      </c>
      <c r="O2239" s="20">
        <f t="shared" si="136"/>
        <v>16890.885999999999</v>
      </c>
      <c r="P2239" s="20">
        <f t="shared" si="137"/>
        <v>10156.235536936389</v>
      </c>
      <c r="Q2239" s="20">
        <f t="shared" si="138"/>
        <v>6734.65046306361</v>
      </c>
      <c r="R2239" s="22">
        <f t="shared" si="139"/>
        <v>0.39871505041615996</v>
      </c>
    </row>
    <row r="2240" spans="1:18">
      <c r="A2240" s="18">
        <v>3239</v>
      </c>
      <c r="B2240" s="19" t="s">
        <v>759</v>
      </c>
      <c r="C2240" s="18">
        <v>2025</v>
      </c>
      <c r="D2240" s="18" t="s">
        <v>61</v>
      </c>
      <c r="E2240" s="18" t="s">
        <v>85</v>
      </c>
      <c r="F2240" s="18" t="s">
        <v>86</v>
      </c>
      <c r="G2240" s="18" t="s">
        <v>41</v>
      </c>
      <c r="H2240" s="18" t="s">
        <v>90</v>
      </c>
      <c r="I2240" s="18" t="s">
        <v>62</v>
      </c>
      <c r="J2240" s="18" t="s">
        <v>102</v>
      </c>
      <c r="K2240" s="18">
        <v>8</v>
      </c>
      <c r="L2240" s="20">
        <v>18826.02</v>
      </c>
      <c r="M2240" s="21">
        <v>0.05</v>
      </c>
      <c r="N2240" s="21">
        <v>0.67692119910067905</v>
      </c>
      <c r="O2240" s="20">
        <f t="shared" si="136"/>
        <v>143077.75200000001</v>
      </c>
      <c r="P2240" s="20">
        <f t="shared" si="137"/>
        <v>96852.363448469579</v>
      </c>
      <c r="Q2240" s="20">
        <f t="shared" si="138"/>
        <v>46225.388551530428</v>
      </c>
      <c r="R2240" s="22">
        <f t="shared" si="139"/>
        <v>0.32307880089932101</v>
      </c>
    </row>
    <row r="2241" spans="1:18">
      <c r="A2241" s="18">
        <v>3240</v>
      </c>
      <c r="B2241" s="19" t="s">
        <v>759</v>
      </c>
      <c r="C2241" s="18">
        <v>2025</v>
      </c>
      <c r="D2241" s="18" t="s">
        <v>61</v>
      </c>
      <c r="E2241" s="18" t="s">
        <v>88</v>
      </c>
      <c r="F2241" s="18" t="s">
        <v>89</v>
      </c>
      <c r="G2241" s="18" t="s">
        <v>47</v>
      </c>
      <c r="H2241" s="18" t="s">
        <v>107</v>
      </c>
      <c r="I2241" s="18" t="s">
        <v>52</v>
      </c>
      <c r="J2241" s="18" t="s">
        <v>82</v>
      </c>
      <c r="K2241" s="18">
        <v>6</v>
      </c>
      <c r="L2241" s="20">
        <v>2301.9299999999998</v>
      </c>
      <c r="M2241" s="21">
        <v>0</v>
      </c>
      <c r="N2241" s="21">
        <v>0.58778187583279395</v>
      </c>
      <c r="O2241" s="20">
        <f t="shared" si="136"/>
        <v>13811.579999999998</v>
      </c>
      <c r="P2241" s="20">
        <f t="shared" si="137"/>
        <v>8118.1964006146991</v>
      </c>
      <c r="Q2241" s="20">
        <f t="shared" si="138"/>
        <v>5693.383599385299</v>
      </c>
      <c r="R2241" s="22">
        <f t="shared" si="139"/>
        <v>0.41221812416720605</v>
      </c>
    </row>
    <row r="2242" spans="1:18">
      <c r="A2242" s="18">
        <v>3241</v>
      </c>
      <c r="B2242" s="19" t="s">
        <v>759</v>
      </c>
      <c r="C2242" s="18">
        <v>2025</v>
      </c>
      <c r="D2242" s="18" t="s">
        <v>61</v>
      </c>
      <c r="E2242" s="18" t="s">
        <v>79</v>
      </c>
      <c r="F2242" s="18" t="s">
        <v>100</v>
      </c>
      <c r="G2242" s="18" t="s">
        <v>50</v>
      </c>
      <c r="H2242" s="18" t="s">
        <v>83</v>
      </c>
      <c r="I2242" s="18" t="s">
        <v>40</v>
      </c>
      <c r="J2242" s="18" t="s">
        <v>91</v>
      </c>
      <c r="K2242" s="18">
        <v>3</v>
      </c>
      <c r="L2242" s="20">
        <v>3495.31</v>
      </c>
      <c r="M2242" s="21">
        <v>0</v>
      </c>
      <c r="N2242" s="21">
        <v>0.63444413562762902</v>
      </c>
      <c r="O2242" s="20">
        <f t="shared" ref="O2242:O2305" si="140">K2242*L2242*(1-M2242)</f>
        <v>10485.93</v>
      </c>
      <c r="P2242" s="20">
        <f t="shared" ref="P2242:P2305" si="141">O2242*N2242</f>
        <v>6652.7367951018241</v>
      </c>
      <c r="Q2242" s="20">
        <f t="shared" ref="Q2242:Q2305" si="142">O2242-P2242</f>
        <v>3833.1932048981762</v>
      </c>
      <c r="R2242" s="22">
        <f t="shared" ref="R2242:R2305" si="143">IF(O2242=0,0,Q2242/O2242)</f>
        <v>0.36555586437237098</v>
      </c>
    </row>
    <row r="2243" spans="1:18">
      <c r="A2243" s="18">
        <v>3242</v>
      </c>
      <c r="B2243" s="19" t="s">
        <v>760</v>
      </c>
      <c r="C2243" s="18">
        <v>2025</v>
      </c>
      <c r="D2243" s="18" t="s">
        <v>61</v>
      </c>
      <c r="E2243" s="18" t="s">
        <v>98</v>
      </c>
      <c r="F2243" s="18" t="s">
        <v>99</v>
      </c>
      <c r="G2243" s="18" t="s">
        <v>47</v>
      </c>
      <c r="H2243" s="18" t="s">
        <v>103</v>
      </c>
      <c r="I2243" s="18" t="s">
        <v>52</v>
      </c>
      <c r="J2243" s="18" t="s">
        <v>91</v>
      </c>
      <c r="K2243" s="18">
        <v>2</v>
      </c>
      <c r="L2243" s="20">
        <v>3209.24</v>
      </c>
      <c r="M2243" s="21">
        <v>0.15</v>
      </c>
      <c r="N2243" s="21">
        <v>0.595983346688714</v>
      </c>
      <c r="O2243" s="20">
        <f t="shared" si="140"/>
        <v>5455.7079999999996</v>
      </c>
      <c r="P2243" s="20">
        <f t="shared" si="141"/>
        <v>3251.5111123963902</v>
      </c>
      <c r="Q2243" s="20">
        <f t="shared" si="142"/>
        <v>2204.1968876036094</v>
      </c>
      <c r="R2243" s="22">
        <f t="shared" si="143"/>
        <v>0.404016653311286</v>
      </c>
    </row>
    <row r="2244" spans="1:18">
      <c r="A2244" s="18">
        <v>3243</v>
      </c>
      <c r="B2244" s="19" t="s">
        <v>760</v>
      </c>
      <c r="C2244" s="18">
        <v>2025</v>
      </c>
      <c r="D2244" s="18" t="s">
        <v>61</v>
      </c>
      <c r="E2244" s="18" t="s">
        <v>98</v>
      </c>
      <c r="F2244" s="18" t="s">
        <v>117</v>
      </c>
      <c r="G2244" s="18" t="s">
        <v>41</v>
      </c>
      <c r="H2244" s="18" t="s">
        <v>112</v>
      </c>
      <c r="I2244" s="18" t="s">
        <v>62</v>
      </c>
      <c r="J2244" s="18" t="s">
        <v>82</v>
      </c>
      <c r="K2244" s="18">
        <v>7</v>
      </c>
      <c r="L2244" s="20">
        <v>5997.18</v>
      </c>
      <c r="M2244" s="21">
        <v>0.05</v>
      </c>
      <c r="N2244" s="21">
        <v>0.68903450482513195</v>
      </c>
      <c r="O2244" s="20">
        <f t="shared" si="140"/>
        <v>39881.247000000003</v>
      </c>
      <c r="P2244" s="20">
        <f t="shared" si="141"/>
        <v>27479.555278453783</v>
      </c>
      <c r="Q2244" s="20">
        <f t="shared" si="142"/>
        <v>12401.69172154622</v>
      </c>
      <c r="R2244" s="22">
        <f t="shared" si="143"/>
        <v>0.31096549517486799</v>
      </c>
    </row>
    <row r="2245" spans="1:18">
      <c r="A2245" s="18">
        <v>3244</v>
      </c>
      <c r="B2245" s="19" t="s">
        <v>761</v>
      </c>
      <c r="C2245" s="18">
        <v>2025</v>
      </c>
      <c r="D2245" s="18" t="s">
        <v>61</v>
      </c>
      <c r="E2245" s="18" t="s">
        <v>88</v>
      </c>
      <c r="F2245" s="18" t="s">
        <v>110</v>
      </c>
      <c r="G2245" s="18" t="s">
        <v>47</v>
      </c>
      <c r="H2245" s="18" t="s">
        <v>103</v>
      </c>
      <c r="I2245" s="18" t="s">
        <v>60</v>
      </c>
      <c r="J2245" s="18" t="s">
        <v>91</v>
      </c>
      <c r="K2245" s="18">
        <v>5</v>
      </c>
      <c r="L2245" s="20">
        <v>3318.77</v>
      </c>
      <c r="M2245" s="21">
        <v>0.05</v>
      </c>
      <c r="N2245" s="21">
        <v>0.57237716593694499</v>
      </c>
      <c r="O2245" s="20">
        <f t="shared" si="140"/>
        <v>15764.157499999998</v>
      </c>
      <c r="P2245" s="20">
        <f t="shared" si="141"/>
        <v>9023.0437932336336</v>
      </c>
      <c r="Q2245" s="20">
        <f t="shared" si="142"/>
        <v>6741.113706766364</v>
      </c>
      <c r="R2245" s="22">
        <f t="shared" si="143"/>
        <v>0.42762283406305507</v>
      </c>
    </row>
    <row r="2246" spans="1:18">
      <c r="A2246" s="18">
        <v>3245</v>
      </c>
      <c r="B2246" s="19" t="s">
        <v>761</v>
      </c>
      <c r="C2246" s="18">
        <v>2025</v>
      </c>
      <c r="D2246" s="18" t="s">
        <v>61</v>
      </c>
      <c r="E2246" s="18" t="s">
        <v>88</v>
      </c>
      <c r="F2246" s="18" t="s">
        <v>89</v>
      </c>
      <c r="G2246" s="18" t="s">
        <v>50</v>
      </c>
      <c r="H2246" s="18" t="s">
        <v>83</v>
      </c>
      <c r="I2246" s="18" t="s">
        <v>58</v>
      </c>
      <c r="J2246" s="18" t="s">
        <v>82</v>
      </c>
      <c r="K2246" s="18">
        <v>8</v>
      </c>
      <c r="L2246" s="20">
        <v>3418.06</v>
      </c>
      <c r="M2246" s="21">
        <v>0</v>
      </c>
      <c r="N2246" s="21">
        <v>0.55425459689170598</v>
      </c>
      <c r="O2246" s="20">
        <f t="shared" si="140"/>
        <v>27344.48</v>
      </c>
      <c r="P2246" s="20">
        <f t="shared" si="141"/>
        <v>15155.803739613317</v>
      </c>
      <c r="Q2246" s="20">
        <f t="shared" si="142"/>
        <v>12188.676260386683</v>
      </c>
      <c r="R2246" s="22">
        <f t="shared" si="143"/>
        <v>0.44574540310829397</v>
      </c>
    </row>
    <row r="2247" spans="1:18">
      <c r="A2247" s="18">
        <v>3246</v>
      </c>
      <c r="B2247" s="19" t="s">
        <v>762</v>
      </c>
      <c r="C2247" s="18">
        <v>2025</v>
      </c>
      <c r="D2247" s="18" t="s">
        <v>61</v>
      </c>
      <c r="E2247" s="18" t="s">
        <v>79</v>
      </c>
      <c r="F2247" s="18" t="s">
        <v>100</v>
      </c>
      <c r="G2247" s="18" t="s">
        <v>50</v>
      </c>
      <c r="H2247" s="18" t="s">
        <v>97</v>
      </c>
      <c r="I2247" s="18" t="s">
        <v>40</v>
      </c>
      <c r="J2247" s="18" t="s">
        <v>82</v>
      </c>
      <c r="K2247" s="18">
        <v>5</v>
      </c>
      <c r="L2247" s="20">
        <v>12536.53</v>
      </c>
      <c r="M2247" s="21">
        <v>0.15</v>
      </c>
      <c r="N2247" s="21">
        <v>0.65077535921336205</v>
      </c>
      <c r="O2247" s="20">
        <f t="shared" si="140"/>
        <v>53280.252500000002</v>
      </c>
      <c r="P2247" s="20">
        <f t="shared" si="141"/>
        <v>34673.47545966613</v>
      </c>
      <c r="Q2247" s="20">
        <f t="shared" si="142"/>
        <v>18606.777040333873</v>
      </c>
      <c r="R2247" s="22">
        <f t="shared" si="143"/>
        <v>0.34922464078663801</v>
      </c>
    </row>
    <row r="2248" spans="1:18">
      <c r="A2248" s="18">
        <v>3247</v>
      </c>
      <c r="B2248" s="19" t="s">
        <v>762</v>
      </c>
      <c r="C2248" s="18">
        <v>2025</v>
      </c>
      <c r="D2248" s="18" t="s">
        <v>61</v>
      </c>
      <c r="E2248" s="18" t="s">
        <v>79</v>
      </c>
      <c r="F2248" s="18" t="s">
        <v>80</v>
      </c>
      <c r="G2248" s="18" t="s">
        <v>50</v>
      </c>
      <c r="H2248" s="18" t="s">
        <v>83</v>
      </c>
      <c r="I2248" s="18" t="s">
        <v>60</v>
      </c>
      <c r="J2248" s="18" t="s">
        <v>91</v>
      </c>
      <c r="K2248" s="18">
        <v>8</v>
      </c>
      <c r="L2248" s="20">
        <v>3553.16</v>
      </c>
      <c r="M2248" s="21">
        <v>0.05</v>
      </c>
      <c r="N2248" s="21">
        <v>0.74236011581416295</v>
      </c>
      <c r="O2248" s="20">
        <f t="shared" si="140"/>
        <v>27004.015999999996</v>
      </c>
      <c r="P2248" s="20">
        <f t="shared" si="141"/>
        <v>20046.704445207506</v>
      </c>
      <c r="Q2248" s="20">
        <f t="shared" si="142"/>
        <v>6957.3115547924899</v>
      </c>
      <c r="R2248" s="22">
        <f t="shared" si="143"/>
        <v>0.25763988418583705</v>
      </c>
    </row>
    <row r="2249" spans="1:18">
      <c r="A2249" s="18">
        <v>3248</v>
      </c>
      <c r="B2249" s="19" t="s">
        <v>762</v>
      </c>
      <c r="C2249" s="18">
        <v>2025</v>
      </c>
      <c r="D2249" s="18" t="s">
        <v>61</v>
      </c>
      <c r="E2249" s="18" t="s">
        <v>88</v>
      </c>
      <c r="F2249" s="18" t="s">
        <v>93</v>
      </c>
      <c r="G2249" s="18" t="s">
        <v>44</v>
      </c>
      <c r="H2249" s="18" t="s">
        <v>119</v>
      </c>
      <c r="I2249" s="18" t="s">
        <v>56</v>
      </c>
      <c r="J2249" s="18" t="s">
        <v>91</v>
      </c>
      <c r="K2249" s="18">
        <v>8</v>
      </c>
      <c r="L2249" s="20">
        <v>6964.65</v>
      </c>
      <c r="M2249" s="21">
        <v>0.05</v>
      </c>
      <c r="N2249" s="21">
        <v>0.56885861789069803</v>
      </c>
      <c r="O2249" s="20">
        <f t="shared" si="140"/>
        <v>52931.34</v>
      </c>
      <c r="P2249" s="20">
        <f t="shared" si="141"/>
        <v>30110.448915502617</v>
      </c>
      <c r="Q2249" s="20">
        <f t="shared" si="142"/>
        <v>22820.89108449738</v>
      </c>
      <c r="R2249" s="22">
        <f t="shared" si="143"/>
        <v>0.43114138210930197</v>
      </c>
    </row>
    <row r="2250" spans="1:18">
      <c r="A2250" s="18">
        <v>3249</v>
      </c>
      <c r="B2250" s="19" t="s">
        <v>762</v>
      </c>
      <c r="C2250" s="18">
        <v>2025</v>
      </c>
      <c r="D2250" s="18" t="s">
        <v>61</v>
      </c>
      <c r="E2250" s="18" t="s">
        <v>79</v>
      </c>
      <c r="F2250" s="18" t="s">
        <v>80</v>
      </c>
      <c r="G2250" s="18" t="s">
        <v>41</v>
      </c>
      <c r="H2250" s="18" t="s">
        <v>90</v>
      </c>
      <c r="I2250" s="18" t="s">
        <v>54</v>
      </c>
      <c r="J2250" s="18" t="s">
        <v>82</v>
      </c>
      <c r="K2250" s="18">
        <v>9</v>
      </c>
      <c r="L2250" s="20">
        <v>18586.63</v>
      </c>
      <c r="M2250" s="21">
        <v>0.1</v>
      </c>
      <c r="N2250" s="21">
        <v>0.74386492524026604</v>
      </c>
      <c r="O2250" s="20">
        <f t="shared" si="140"/>
        <v>150551.70300000001</v>
      </c>
      <c r="P2250" s="20">
        <f t="shared" si="141"/>
        <v>111990.13129688974</v>
      </c>
      <c r="Q2250" s="20">
        <f t="shared" si="142"/>
        <v>38561.571703110269</v>
      </c>
      <c r="R2250" s="22">
        <f t="shared" si="143"/>
        <v>0.25613507475973396</v>
      </c>
    </row>
    <row r="2251" spans="1:18">
      <c r="A2251" s="18">
        <v>3250</v>
      </c>
      <c r="B2251" s="19" t="s">
        <v>762</v>
      </c>
      <c r="C2251" s="18">
        <v>2025</v>
      </c>
      <c r="D2251" s="18" t="s">
        <v>61</v>
      </c>
      <c r="E2251" s="18" t="s">
        <v>88</v>
      </c>
      <c r="F2251" s="18" t="s">
        <v>93</v>
      </c>
      <c r="G2251" s="18" t="s">
        <v>44</v>
      </c>
      <c r="H2251" s="18" t="s">
        <v>114</v>
      </c>
      <c r="I2251" s="18" t="s">
        <v>46</v>
      </c>
      <c r="J2251" s="18" t="s">
        <v>91</v>
      </c>
      <c r="K2251" s="18">
        <v>5</v>
      </c>
      <c r="L2251" s="20">
        <v>9258.77</v>
      </c>
      <c r="M2251" s="21">
        <v>0</v>
      </c>
      <c r="N2251" s="21">
        <v>0.73476593980486105</v>
      </c>
      <c r="O2251" s="20">
        <f t="shared" si="140"/>
        <v>46293.850000000006</v>
      </c>
      <c r="P2251" s="20">
        <f t="shared" si="141"/>
        <v>34015.144202435273</v>
      </c>
      <c r="Q2251" s="20">
        <f t="shared" si="142"/>
        <v>12278.705797564733</v>
      </c>
      <c r="R2251" s="22">
        <f t="shared" si="143"/>
        <v>0.2652340601951389</v>
      </c>
    </row>
    <row r="2252" spans="1:18">
      <c r="A2252" s="18">
        <v>3251</v>
      </c>
      <c r="B2252" s="19" t="s">
        <v>763</v>
      </c>
      <c r="C2252" s="18">
        <v>2025</v>
      </c>
      <c r="D2252" s="18" t="s">
        <v>61</v>
      </c>
      <c r="E2252" s="18" t="s">
        <v>88</v>
      </c>
      <c r="F2252" s="18" t="s">
        <v>110</v>
      </c>
      <c r="G2252" s="18" t="s">
        <v>41</v>
      </c>
      <c r="H2252" s="18" t="s">
        <v>90</v>
      </c>
      <c r="I2252" s="18" t="s">
        <v>54</v>
      </c>
      <c r="J2252" s="18" t="s">
        <v>91</v>
      </c>
      <c r="K2252" s="18">
        <v>8</v>
      </c>
      <c r="L2252" s="20">
        <v>17341.11</v>
      </c>
      <c r="M2252" s="21">
        <v>0.05</v>
      </c>
      <c r="N2252" s="21">
        <v>0.70159238320514306</v>
      </c>
      <c r="O2252" s="20">
        <f t="shared" si="140"/>
        <v>131792.43599999999</v>
      </c>
      <c r="P2252" s="20">
        <f t="shared" si="141"/>
        <v>92464.569261651282</v>
      </c>
      <c r="Q2252" s="20">
        <f t="shared" si="142"/>
        <v>39327.866738348705</v>
      </c>
      <c r="R2252" s="22">
        <f t="shared" si="143"/>
        <v>0.29840761679485694</v>
      </c>
    </row>
    <row r="2253" spans="1:18">
      <c r="A2253" s="18">
        <v>3252</v>
      </c>
      <c r="B2253" s="19" t="s">
        <v>763</v>
      </c>
      <c r="C2253" s="18">
        <v>2025</v>
      </c>
      <c r="D2253" s="18" t="s">
        <v>61</v>
      </c>
      <c r="E2253" s="18" t="s">
        <v>79</v>
      </c>
      <c r="F2253" s="18" t="s">
        <v>100</v>
      </c>
      <c r="G2253" s="18" t="s">
        <v>41</v>
      </c>
      <c r="H2253" s="18" t="s">
        <v>112</v>
      </c>
      <c r="I2253" s="18" t="s">
        <v>62</v>
      </c>
      <c r="J2253" s="18" t="s">
        <v>102</v>
      </c>
      <c r="K2253" s="18">
        <v>5</v>
      </c>
      <c r="L2253" s="20">
        <v>5759.82</v>
      </c>
      <c r="M2253" s="21">
        <v>0</v>
      </c>
      <c r="N2253" s="21">
        <v>0.58191220651674702</v>
      </c>
      <c r="O2253" s="20">
        <f t="shared" si="140"/>
        <v>28799.1</v>
      </c>
      <c r="P2253" s="20">
        <f t="shared" si="141"/>
        <v>16758.547826696449</v>
      </c>
      <c r="Q2253" s="20">
        <f t="shared" si="142"/>
        <v>12040.552173303549</v>
      </c>
      <c r="R2253" s="22">
        <f t="shared" si="143"/>
        <v>0.41808779348325292</v>
      </c>
    </row>
    <row r="2254" spans="1:18">
      <c r="A2254" s="18">
        <v>3253</v>
      </c>
      <c r="B2254" s="19" t="s">
        <v>764</v>
      </c>
      <c r="C2254" s="18">
        <v>2025</v>
      </c>
      <c r="D2254" s="18" t="s">
        <v>61</v>
      </c>
      <c r="E2254" s="18" t="s">
        <v>88</v>
      </c>
      <c r="F2254" s="18" t="s">
        <v>93</v>
      </c>
      <c r="G2254" s="18" t="s">
        <v>41</v>
      </c>
      <c r="H2254" s="18" t="s">
        <v>90</v>
      </c>
      <c r="I2254" s="18" t="s">
        <v>62</v>
      </c>
      <c r="J2254" s="18" t="s">
        <v>91</v>
      </c>
      <c r="K2254" s="18">
        <v>12</v>
      </c>
      <c r="L2254" s="20">
        <v>18209.03</v>
      </c>
      <c r="M2254" s="21">
        <v>0</v>
      </c>
      <c r="N2254" s="21">
        <v>0.74095029925449496</v>
      </c>
      <c r="O2254" s="20">
        <f t="shared" si="140"/>
        <v>218508.36</v>
      </c>
      <c r="P2254" s="20">
        <f t="shared" si="141"/>
        <v>161903.83473160892</v>
      </c>
      <c r="Q2254" s="20">
        <f t="shared" si="142"/>
        <v>56604.525268391066</v>
      </c>
      <c r="R2254" s="22">
        <f t="shared" si="143"/>
        <v>0.25904970074550498</v>
      </c>
    </row>
    <row r="2255" spans="1:18">
      <c r="A2255" s="18">
        <v>3254</v>
      </c>
      <c r="B2255" s="19" t="s">
        <v>764</v>
      </c>
      <c r="C2255" s="18">
        <v>2025</v>
      </c>
      <c r="D2255" s="18" t="s">
        <v>61</v>
      </c>
      <c r="E2255" s="18" t="s">
        <v>88</v>
      </c>
      <c r="F2255" s="18" t="s">
        <v>110</v>
      </c>
      <c r="G2255" s="18" t="s">
        <v>47</v>
      </c>
      <c r="H2255" s="18" t="s">
        <v>103</v>
      </c>
      <c r="I2255" s="18" t="s">
        <v>58</v>
      </c>
      <c r="J2255" s="18" t="s">
        <v>82</v>
      </c>
      <c r="K2255" s="18">
        <v>10</v>
      </c>
      <c r="L2255" s="20">
        <v>3273.66</v>
      </c>
      <c r="M2255" s="21">
        <v>0.15</v>
      </c>
      <c r="N2255" s="21">
        <v>0.64493388854119704</v>
      </c>
      <c r="O2255" s="20">
        <f t="shared" si="140"/>
        <v>27826.109999999997</v>
      </c>
      <c r="P2255" s="20">
        <f t="shared" si="141"/>
        <v>17946.001325275087</v>
      </c>
      <c r="Q2255" s="20">
        <f t="shared" si="142"/>
        <v>9880.1086747249101</v>
      </c>
      <c r="R2255" s="22">
        <f t="shared" si="143"/>
        <v>0.35506611145880296</v>
      </c>
    </row>
    <row r="2256" spans="1:18">
      <c r="A2256" s="18">
        <v>3255</v>
      </c>
      <c r="B2256" s="19" t="s">
        <v>764</v>
      </c>
      <c r="C2256" s="18">
        <v>2025</v>
      </c>
      <c r="D2256" s="18" t="s">
        <v>61</v>
      </c>
      <c r="E2256" s="18" t="s">
        <v>85</v>
      </c>
      <c r="F2256" s="18" t="s">
        <v>121</v>
      </c>
      <c r="G2256" s="18" t="s">
        <v>50</v>
      </c>
      <c r="H2256" s="18" t="s">
        <v>83</v>
      </c>
      <c r="I2256" s="18" t="s">
        <v>46</v>
      </c>
      <c r="J2256" s="18" t="s">
        <v>82</v>
      </c>
      <c r="K2256" s="18">
        <v>6</v>
      </c>
      <c r="L2256" s="20">
        <v>3352.35</v>
      </c>
      <c r="M2256" s="21">
        <v>0.1</v>
      </c>
      <c r="N2256" s="21">
        <v>0.71839638098857905</v>
      </c>
      <c r="O2256" s="20">
        <f t="shared" si="140"/>
        <v>18102.689999999999</v>
      </c>
      <c r="P2256" s="20">
        <f t="shared" si="141"/>
        <v>13004.90698215814</v>
      </c>
      <c r="Q2256" s="20">
        <f t="shared" si="142"/>
        <v>5097.783017841859</v>
      </c>
      <c r="R2256" s="22">
        <f t="shared" si="143"/>
        <v>0.28160361901142089</v>
      </c>
    </row>
    <row r="2257" spans="1:18">
      <c r="A2257" s="18">
        <v>3256</v>
      </c>
      <c r="B2257" s="19" t="s">
        <v>764</v>
      </c>
      <c r="C2257" s="18">
        <v>2025</v>
      </c>
      <c r="D2257" s="18" t="s">
        <v>61</v>
      </c>
      <c r="E2257" s="18" t="s">
        <v>88</v>
      </c>
      <c r="F2257" s="18" t="s">
        <v>110</v>
      </c>
      <c r="G2257" s="18" t="s">
        <v>47</v>
      </c>
      <c r="H2257" s="18" t="s">
        <v>81</v>
      </c>
      <c r="I2257" s="18" t="s">
        <v>52</v>
      </c>
      <c r="J2257" s="18" t="s">
        <v>102</v>
      </c>
      <c r="K2257" s="18">
        <v>11</v>
      </c>
      <c r="L2257" s="20">
        <v>813.88</v>
      </c>
      <c r="M2257" s="21">
        <v>0</v>
      </c>
      <c r="N2257" s="21">
        <v>0.63384320303749897</v>
      </c>
      <c r="O2257" s="20">
        <f t="shared" si="140"/>
        <v>8952.68</v>
      </c>
      <c r="P2257" s="20">
        <f t="shared" si="141"/>
        <v>5674.5953669697565</v>
      </c>
      <c r="Q2257" s="20">
        <f t="shared" si="142"/>
        <v>3278.0846330302438</v>
      </c>
      <c r="R2257" s="22">
        <f t="shared" si="143"/>
        <v>0.36615679696250103</v>
      </c>
    </row>
    <row r="2258" spans="1:18">
      <c r="A2258" s="18">
        <v>3257</v>
      </c>
      <c r="B2258" s="19" t="s">
        <v>765</v>
      </c>
      <c r="C2258" s="18">
        <v>2025</v>
      </c>
      <c r="D2258" s="18" t="s">
        <v>61</v>
      </c>
      <c r="E2258" s="18" t="s">
        <v>79</v>
      </c>
      <c r="F2258" s="18" t="s">
        <v>100</v>
      </c>
      <c r="G2258" s="18" t="s">
        <v>44</v>
      </c>
      <c r="H2258" s="18" t="s">
        <v>114</v>
      </c>
      <c r="I2258" s="18" t="s">
        <v>56</v>
      </c>
      <c r="J2258" s="18" t="s">
        <v>102</v>
      </c>
      <c r="K2258" s="18">
        <v>7</v>
      </c>
      <c r="L2258" s="20">
        <v>8639.2999999999993</v>
      </c>
      <c r="M2258" s="21">
        <v>0.1</v>
      </c>
      <c r="N2258" s="21">
        <v>0.59302244640925605</v>
      </c>
      <c r="O2258" s="20">
        <f t="shared" si="140"/>
        <v>54427.59</v>
      </c>
      <c r="P2258" s="20">
        <f t="shared" si="141"/>
        <v>32276.782573959958</v>
      </c>
      <c r="Q2258" s="20">
        <f t="shared" si="142"/>
        <v>22150.807426040039</v>
      </c>
      <c r="R2258" s="22">
        <f t="shared" si="143"/>
        <v>0.40697755359074395</v>
      </c>
    </row>
    <row r="2259" spans="1:18">
      <c r="A2259" s="18">
        <v>3258</v>
      </c>
      <c r="B2259" s="19" t="s">
        <v>765</v>
      </c>
      <c r="C2259" s="18">
        <v>2025</v>
      </c>
      <c r="D2259" s="18" t="s">
        <v>61</v>
      </c>
      <c r="E2259" s="18" t="s">
        <v>85</v>
      </c>
      <c r="F2259" s="18" t="s">
        <v>86</v>
      </c>
      <c r="G2259" s="18" t="s">
        <v>44</v>
      </c>
      <c r="H2259" s="18" t="s">
        <v>95</v>
      </c>
      <c r="I2259" s="18" t="s">
        <v>56</v>
      </c>
      <c r="J2259" s="18" t="s">
        <v>91</v>
      </c>
      <c r="K2259" s="18">
        <v>12</v>
      </c>
      <c r="L2259" s="20">
        <v>4568.76</v>
      </c>
      <c r="M2259" s="21">
        <v>0</v>
      </c>
      <c r="N2259" s="21">
        <v>0.73685002316529602</v>
      </c>
      <c r="O2259" s="20">
        <f t="shared" si="140"/>
        <v>54825.120000000003</v>
      </c>
      <c r="P2259" s="20">
        <f t="shared" si="141"/>
        <v>40397.89094204014</v>
      </c>
      <c r="Q2259" s="20">
        <f t="shared" si="142"/>
        <v>14427.229057959863</v>
      </c>
      <c r="R2259" s="22">
        <f t="shared" si="143"/>
        <v>0.26314997683470392</v>
      </c>
    </row>
    <row r="2260" spans="1:18">
      <c r="A2260" s="18">
        <v>3259</v>
      </c>
      <c r="B2260" s="19" t="s">
        <v>766</v>
      </c>
      <c r="C2260" s="18">
        <v>2025</v>
      </c>
      <c r="D2260" s="18" t="s">
        <v>61</v>
      </c>
      <c r="E2260" s="18" t="s">
        <v>79</v>
      </c>
      <c r="F2260" s="18" t="s">
        <v>100</v>
      </c>
      <c r="G2260" s="18" t="s">
        <v>47</v>
      </c>
      <c r="H2260" s="18" t="s">
        <v>81</v>
      </c>
      <c r="I2260" s="18" t="s">
        <v>56</v>
      </c>
      <c r="J2260" s="18" t="s">
        <v>91</v>
      </c>
      <c r="K2260" s="18">
        <v>12</v>
      </c>
      <c r="L2260" s="20">
        <v>770.84</v>
      </c>
      <c r="M2260" s="21">
        <v>0.15</v>
      </c>
      <c r="N2260" s="21">
        <v>0.62207819401710296</v>
      </c>
      <c r="O2260" s="20">
        <f t="shared" si="140"/>
        <v>7862.5679999999993</v>
      </c>
      <c r="P2260" s="20">
        <f t="shared" si="141"/>
        <v>4891.132101776665</v>
      </c>
      <c r="Q2260" s="20">
        <f t="shared" si="142"/>
        <v>2971.4358982233343</v>
      </c>
      <c r="R2260" s="22">
        <f t="shared" si="143"/>
        <v>0.37792180598289699</v>
      </c>
    </row>
    <row r="2261" spans="1:18">
      <c r="A2261" s="18">
        <v>3260</v>
      </c>
      <c r="B2261" s="19" t="s">
        <v>766</v>
      </c>
      <c r="C2261" s="18">
        <v>2025</v>
      </c>
      <c r="D2261" s="18" t="s">
        <v>61</v>
      </c>
      <c r="E2261" s="18" t="s">
        <v>85</v>
      </c>
      <c r="F2261" s="18" t="s">
        <v>94</v>
      </c>
      <c r="G2261" s="18" t="s">
        <v>41</v>
      </c>
      <c r="H2261" s="18" t="s">
        <v>90</v>
      </c>
      <c r="I2261" s="18" t="s">
        <v>54</v>
      </c>
      <c r="J2261" s="18" t="s">
        <v>91</v>
      </c>
      <c r="K2261" s="18">
        <v>8</v>
      </c>
      <c r="L2261" s="20">
        <v>18188.849999999999</v>
      </c>
      <c r="M2261" s="21">
        <v>0</v>
      </c>
      <c r="N2261" s="21">
        <v>0.56198649867740202</v>
      </c>
      <c r="O2261" s="20">
        <f t="shared" si="140"/>
        <v>145510.79999999999</v>
      </c>
      <c r="P2261" s="20">
        <f t="shared" si="141"/>
        <v>81775.105011747699</v>
      </c>
      <c r="Q2261" s="20">
        <f t="shared" si="142"/>
        <v>63735.694988252289</v>
      </c>
      <c r="R2261" s="22">
        <f t="shared" si="143"/>
        <v>0.43801350132259803</v>
      </c>
    </row>
    <row r="2262" spans="1:18">
      <c r="A2262" s="18">
        <v>3261</v>
      </c>
      <c r="B2262" s="19" t="s">
        <v>766</v>
      </c>
      <c r="C2262" s="18">
        <v>2025</v>
      </c>
      <c r="D2262" s="18" t="s">
        <v>61</v>
      </c>
      <c r="E2262" s="18" t="s">
        <v>85</v>
      </c>
      <c r="F2262" s="18" t="s">
        <v>86</v>
      </c>
      <c r="G2262" s="18" t="s">
        <v>44</v>
      </c>
      <c r="H2262" s="18" t="s">
        <v>114</v>
      </c>
      <c r="I2262" s="18" t="s">
        <v>62</v>
      </c>
      <c r="J2262" s="18" t="s">
        <v>82</v>
      </c>
      <c r="K2262" s="18">
        <v>1</v>
      </c>
      <c r="L2262" s="20">
        <v>9268.68</v>
      </c>
      <c r="M2262" s="21">
        <v>0</v>
      </c>
      <c r="N2262" s="21">
        <v>0.673067187460481</v>
      </c>
      <c r="O2262" s="20">
        <f t="shared" si="140"/>
        <v>9268.68</v>
      </c>
      <c r="P2262" s="20">
        <f t="shared" si="141"/>
        <v>6238.4443790712112</v>
      </c>
      <c r="Q2262" s="20">
        <f t="shared" si="142"/>
        <v>3030.2356209287891</v>
      </c>
      <c r="R2262" s="22">
        <f t="shared" si="143"/>
        <v>0.326932812539519</v>
      </c>
    </row>
    <row r="2263" spans="1:18">
      <c r="A2263" s="18">
        <v>3262</v>
      </c>
      <c r="B2263" s="19" t="s">
        <v>767</v>
      </c>
      <c r="C2263" s="18">
        <v>2025</v>
      </c>
      <c r="D2263" s="18" t="s">
        <v>61</v>
      </c>
      <c r="E2263" s="18" t="s">
        <v>88</v>
      </c>
      <c r="F2263" s="18" t="s">
        <v>110</v>
      </c>
      <c r="G2263" s="18" t="s">
        <v>50</v>
      </c>
      <c r="H2263" s="18" t="s">
        <v>83</v>
      </c>
      <c r="I2263" s="18" t="s">
        <v>46</v>
      </c>
      <c r="J2263" s="18" t="s">
        <v>82</v>
      </c>
      <c r="K2263" s="18">
        <v>2</v>
      </c>
      <c r="L2263" s="20">
        <v>3396.47</v>
      </c>
      <c r="M2263" s="21">
        <v>0.1</v>
      </c>
      <c r="N2263" s="21">
        <v>0.66327432549187004</v>
      </c>
      <c r="O2263" s="20">
        <f t="shared" si="140"/>
        <v>6113.6459999999997</v>
      </c>
      <c r="P2263" s="20">
        <f t="shared" si="141"/>
        <v>4055.0244269460691</v>
      </c>
      <c r="Q2263" s="20">
        <f t="shared" si="142"/>
        <v>2058.6215730539307</v>
      </c>
      <c r="R2263" s="22">
        <f t="shared" si="143"/>
        <v>0.33672567450812996</v>
      </c>
    </row>
    <row r="2264" spans="1:18">
      <c r="A2264" s="18">
        <v>3263</v>
      </c>
      <c r="B2264" s="19" t="s">
        <v>767</v>
      </c>
      <c r="C2264" s="18">
        <v>2025</v>
      </c>
      <c r="D2264" s="18" t="s">
        <v>61</v>
      </c>
      <c r="E2264" s="18" t="s">
        <v>85</v>
      </c>
      <c r="F2264" s="18" t="s">
        <v>86</v>
      </c>
      <c r="G2264" s="18" t="s">
        <v>50</v>
      </c>
      <c r="H2264" s="18" t="s">
        <v>97</v>
      </c>
      <c r="I2264" s="18" t="s">
        <v>46</v>
      </c>
      <c r="J2264" s="18" t="s">
        <v>82</v>
      </c>
      <c r="K2264" s="18">
        <v>2</v>
      </c>
      <c r="L2264" s="20">
        <v>11429.94</v>
      </c>
      <c r="M2264" s="21">
        <v>0.05</v>
      </c>
      <c r="N2264" s="21">
        <v>0.61324267070016103</v>
      </c>
      <c r="O2264" s="20">
        <f t="shared" si="140"/>
        <v>21716.885999999999</v>
      </c>
      <c r="P2264" s="20">
        <f t="shared" si="141"/>
        <v>13317.721169930937</v>
      </c>
      <c r="Q2264" s="20">
        <f t="shared" si="142"/>
        <v>8399.1648300690613</v>
      </c>
      <c r="R2264" s="22">
        <f t="shared" si="143"/>
        <v>0.38675732929983891</v>
      </c>
    </row>
    <row r="2265" spans="1:18">
      <c r="A2265" s="18">
        <v>3264</v>
      </c>
      <c r="B2265" s="19" t="s">
        <v>768</v>
      </c>
      <c r="C2265" s="18">
        <v>2025</v>
      </c>
      <c r="D2265" s="18" t="s">
        <v>61</v>
      </c>
      <c r="E2265" s="18" t="s">
        <v>85</v>
      </c>
      <c r="F2265" s="18" t="s">
        <v>86</v>
      </c>
      <c r="G2265" s="18" t="s">
        <v>50</v>
      </c>
      <c r="H2265" s="18" t="s">
        <v>83</v>
      </c>
      <c r="I2265" s="18" t="s">
        <v>62</v>
      </c>
      <c r="J2265" s="18" t="s">
        <v>82</v>
      </c>
      <c r="K2265" s="18">
        <v>9</v>
      </c>
      <c r="L2265" s="20">
        <v>3607.71</v>
      </c>
      <c r="M2265" s="21">
        <v>0</v>
      </c>
      <c r="N2265" s="21">
        <v>0.64479219888781703</v>
      </c>
      <c r="O2265" s="20">
        <f t="shared" si="140"/>
        <v>32469.39</v>
      </c>
      <c r="P2265" s="20">
        <f t="shared" si="141"/>
        <v>20936.009374646095</v>
      </c>
      <c r="Q2265" s="20">
        <f t="shared" si="142"/>
        <v>11533.380625353904</v>
      </c>
      <c r="R2265" s="22">
        <f t="shared" si="143"/>
        <v>0.35520780111218303</v>
      </c>
    </row>
    <row r="2266" spans="1:18">
      <c r="A2266" s="18">
        <v>3265</v>
      </c>
      <c r="B2266" s="19" t="s">
        <v>768</v>
      </c>
      <c r="C2266" s="18">
        <v>2025</v>
      </c>
      <c r="D2266" s="18" t="s">
        <v>61</v>
      </c>
      <c r="E2266" s="18" t="s">
        <v>79</v>
      </c>
      <c r="F2266" s="18" t="s">
        <v>105</v>
      </c>
      <c r="G2266" s="18" t="s">
        <v>47</v>
      </c>
      <c r="H2266" s="18" t="s">
        <v>107</v>
      </c>
      <c r="I2266" s="18" t="s">
        <v>49</v>
      </c>
      <c r="J2266" s="18" t="s">
        <v>91</v>
      </c>
      <c r="K2266" s="18">
        <v>1</v>
      </c>
      <c r="L2266" s="20">
        <v>2306.3200000000002</v>
      </c>
      <c r="M2266" s="21">
        <v>0</v>
      </c>
      <c r="N2266" s="21">
        <v>0.71501051221129697</v>
      </c>
      <c r="O2266" s="20">
        <f t="shared" si="140"/>
        <v>2306.3200000000002</v>
      </c>
      <c r="P2266" s="20">
        <f t="shared" si="141"/>
        <v>1649.0430445231586</v>
      </c>
      <c r="Q2266" s="20">
        <f t="shared" si="142"/>
        <v>657.27695547684152</v>
      </c>
      <c r="R2266" s="22">
        <f t="shared" si="143"/>
        <v>0.28498948778870298</v>
      </c>
    </row>
    <row r="2267" spans="1:18">
      <c r="A2267" s="18">
        <v>3266</v>
      </c>
      <c r="B2267" s="19" t="s">
        <v>768</v>
      </c>
      <c r="C2267" s="18">
        <v>2025</v>
      </c>
      <c r="D2267" s="18" t="s">
        <v>61</v>
      </c>
      <c r="E2267" s="18" t="s">
        <v>98</v>
      </c>
      <c r="F2267" s="18" t="s">
        <v>109</v>
      </c>
      <c r="G2267" s="18" t="s">
        <v>44</v>
      </c>
      <c r="H2267" s="18" t="s">
        <v>119</v>
      </c>
      <c r="I2267" s="18" t="s">
        <v>54</v>
      </c>
      <c r="J2267" s="18" t="s">
        <v>82</v>
      </c>
      <c r="K2267" s="18">
        <v>2</v>
      </c>
      <c r="L2267" s="20">
        <v>7103.56</v>
      </c>
      <c r="M2267" s="21">
        <v>0</v>
      </c>
      <c r="N2267" s="21">
        <v>0.57881414643275897</v>
      </c>
      <c r="O2267" s="20">
        <f t="shared" si="140"/>
        <v>14207.12</v>
      </c>
      <c r="P2267" s="20">
        <f t="shared" si="141"/>
        <v>8223.2820360677797</v>
      </c>
      <c r="Q2267" s="20">
        <f t="shared" si="142"/>
        <v>5983.8379639322211</v>
      </c>
      <c r="R2267" s="22">
        <f t="shared" si="143"/>
        <v>0.42118585356724098</v>
      </c>
    </row>
    <row r="2268" spans="1:18">
      <c r="A2268" s="18">
        <v>3267</v>
      </c>
      <c r="B2268" s="19" t="s">
        <v>768</v>
      </c>
      <c r="C2268" s="18">
        <v>2025</v>
      </c>
      <c r="D2268" s="18" t="s">
        <v>61</v>
      </c>
      <c r="E2268" s="18" t="s">
        <v>88</v>
      </c>
      <c r="F2268" s="18" t="s">
        <v>110</v>
      </c>
      <c r="G2268" s="18" t="s">
        <v>47</v>
      </c>
      <c r="H2268" s="18" t="s">
        <v>81</v>
      </c>
      <c r="I2268" s="18" t="s">
        <v>46</v>
      </c>
      <c r="J2268" s="18" t="s">
        <v>102</v>
      </c>
      <c r="K2268" s="18">
        <v>11</v>
      </c>
      <c r="L2268" s="20">
        <v>818.43</v>
      </c>
      <c r="M2268" s="21">
        <v>0.15</v>
      </c>
      <c r="N2268" s="21">
        <v>0.604319435812668</v>
      </c>
      <c r="O2268" s="20">
        <f t="shared" si="140"/>
        <v>7652.3204999999998</v>
      </c>
      <c r="P2268" s="20">
        <f t="shared" si="141"/>
        <v>4624.4460072177135</v>
      </c>
      <c r="Q2268" s="20">
        <f t="shared" si="142"/>
        <v>3027.8744927822863</v>
      </c>
      <c r="R2268" s="22">
        <f t="shared" si="143"/>
        <v>0.395680564187332</v>
      </c>
    </row>
    <row r="2269" spans="1:18">
      <c r="A2269" s="18">
        <v>3268</v>
      </c>
      <c r="B2269" s="19" t="s">
        <v>769</v>
      </c>
      <c r="C2269" s="18">
        <v>2025</v>
      </c>
      <c r="D2269" s="18" t="s">
        <v>61</v>
      </c>
      <c r="E2269" s="18" t="s">
        <v>85</v>
      </c>
      <c r="F2269" s="18" t="s">
        <v>86</v>
      </c>
      <c r="G2269" s="18" t="s">
        <v>50</v>
      </c>
      <c r="H2269" s="18" t="s">
        <v>87</v>
      </c>
      <c r="I2269" s="18" t="s">
        <v>40</v>
      </c>
      <c r="J2269" s="18" t="s">
        <v>82</v>
      </c>
      <c r="K2269" s="18">
        <v>11</v>
      </c>
      <c r="L2269" s="20">
        <v>9198.5</v>
      </c>
      <c r="M2269" s="21">
        <v>0.2</v>
      </c>
      <c r="N2269" s="21">
        <v>0.67510198407340405</v>
      </c>
      <c r="O2269" s="20">
        <f t="shared" si="140"/>
        <v>80946.8</v>
      </c>
      <c r="P2269" s="20">
        <f t="shared" si="141"/>
        <v>54647.345284393028</v>
      </c>
      <c r="Q2269" s="20">
        <f t="shared" si="142"/>
        <v>26299.454715606975</v>
      </c>
      <c r="R2269" s="22">
        <f t="shared" si="143"/>
        <v>0.3248980159265959</v>
      </c>
    </row>
    <row r="2270" spans="1:18">
      <c r="A2270" s="18">
        <v>3269</v>
      </c>
      <c r="B2270" s="19" t="s">
        <v>769</v>
      </c>
      <c r="C2270" s="18">
        <v>2025</v>
      </c>
      <c r="D2270" s="18" t="s">
        <v>61</v>
      </c>
      <c r="E2270" s="18" t="s">
        <v>98</v>
      </c>
      <c r="F2270" s="18" t="s">
        <v>117</v>
      </c>
      <c r="G2270" s="18" t="s">
        <v>44</v>
      </c>
      <c r="H2270" s="18" t="s">
        <v>119</v>
      </c>
      <c r="I2270" s="18" t="s">
        <v>58</v>
      </c>
      <c r="J2270" s="18" t="s">
        <v>91</v>
      </c>
      <c r="K2270" s="18">
        <v>2</v>
      </c>
      <c r="L2270" s="20">
        <v>7106.08</v>
      </c>
      <c r="M2270" s="21">
        <v>0.15</v>
      </c>
      <c r="N2270" s="21">
        <v>0.71366823658363199</v>
      </c>
      <c r="O2270" s="20">
        <f t="shared" si="140"/>
        <v>12080.335999999999</v>
      </c>
      <c r="P2270" s="20">
        <f t="shared" si="141"/>
        <v>8621.3520904577654</v>
      </c>
      <c r="Q2270" s="20">
        <f t="shared" si="142"/>
        <v>3458.983909542234</v>
      </c>
      <c r="R2270" s="22">
        <f t="shared" si="143"/>
        <v>0.28633176341636807</v>
      </c>
    </row>
    <row r="2271" spans="1:18">
      <c r="A2271" s="18">
        <v>3270</v>
      </c>
      <c r="B2271" s="19" t="s">
        <v>769</v>
      </c>
      <c r="C2271" s="18">
        <v>2025</v>
      </c>
      <c r="D2271" s="18" t="s">
        <v>61</v>
      </c>
      <c r="E2271" s="18" t="s">
        <v>79</v>
      </c>
      <c r="F2271" s="18" t="s">
        <v>80</v>
      </c>
      <c r="G2271" s="18" t="s">
        <v>44</v>
      </c>
      <c r="H2271" s="18" t="s">
        <v>114</v>
      </c>
      <c r="I2271" s="18" t="s">
        <v>54</v>
      </c>
      <c r="J2271" s="18" t="s">
        <v>102</v>
      </c>
      <c r="K2271" s="18">
        <v>6</v>
      </c>
      <c r="L2271" s="20">
        <v>9075.91</v>
      </c>
      <c r="M2271" s="21">
        <v>0.05</v>
      </c>
      <c r="N2271" s="21">
        <v>0.57238935140112801</v>
      </c>
      <c r="O2271" s="20">
        <f t="shared" si="140"/>
        <v>51732.686999999998</v>
      </c>
      <c r="P2271" s="20">
        <f t="shared" si="141"/>
        <v>29611.239158167566</v>
      </c>
      <c r="Q2271" s="20">
        <f t="shared" si="142"/>
        <v>22121.447841832432</v>
      </c>
      <c r="R2271" s="22">
        <f t="shared" si="143"/>
        <v>0.42761064859887199</v>
      </c>
    </row>
    <row r="2272" spans="1:18">
      <c r="A2272" s="18">
        <v>3271</v>
      </c>
      <c r="B2272" s="19" t="s">
        <v>769</v>
      </c>
      <c r="C2272" s="18">
        <v>2025</v>
      </c>
      <c r="D2272" s="18" t="s">
        <v>61</v>
      </c>
      <c r="E2272" s="18" t="s">
        <v>79</v>
      </c>
      <c r="F2272" s="18" t="s">
        <v>100</v>
      </c>
      <c r="G2272" s="18" t="s">
        <v>41</v>
      </c>
      <c r="H2272" s="18" t="s">
        <v>90</v>
      </c>
      <c r="I2272" s="18" t="s">
        <v>62</v>
      </c>
      <c r="J2272" s="18" t="s">
        <v>102</v>
      </c>
      <c r="K2272" s="18">
        <v>2</v>
      </c>
      <c r="L2272" s="20">
        <v>17675.400000000001</v>
      </c>
      <c r="M2272" s="21">
        <v>0.15</v>
      </c>
      <c r="N2272" s="21">
        <v>0.66628843683330297</v>
      </c>
      <c r="O2272" s="20">
        <f t="shared" si="140"/>
        <v>30048.18</v>
      </c>
      <c r="P2272" s="20">
        <f t="shared" si="141"/>
        <v>20020.754881885718</v>
      </c>
      <c r="Q2272" s="20">
        <f t="shared" si="142"/>
        <v>10027.425118114283</v>
      </c>
      <c r="R2272" s="22">
        <f t="shared" si="143"/>
        <v>0.33371156316669703</v>
      </c>
    </row>
    <row r="2273" spans="1:18">
      <c r="A2273" s="18">
        <v>3272</v>
      </c>
      <c r="B2273" s="19" t="s">
        <v>769</v>
      </c>
      <c r="C2273" s="18">
        <v>2025</v>
      </c>
      <c r="D2273" s="18" t="s">
        <v>61</v>
      </c>
      <c r="E2273" s="18" t="s">
        <v>79</v>
      </c>
      <c r="F2273" s="18" t="s">
        <v>100</v>
      </c>
      <c r="G2273" s="18" t="s">
        <v>50</v>
      </c>
      <c r="H2273" s="18" t="s">
        <v>87</v>
      </c>
      <c r="I2273" s="18" t="s">
        <v>56</v>
      </c>
      <c r="J2273" s="18" t="s">
        <v>102</v>
      </c>
      <c r="K2273" s="18">
        <v>5</v>
      </c>
      <c r="L2273" s="20">
        <v>9720.8799999999992</v>
      </c>
      <c r="M2273" s="21">
        <v>0.15</v>
      </c>
      <c r="N2273" s="21">
        <v>0.72697922947052696</v>
      </c>
      <c r="O2273" s="20">
        <f t="shared" si="140"/>
        <v>41313.739999999991</v>
      </c>
      <c r="P2273" s="20">
        <f t="shared" si="141"/>
        <v>30034.23087174568</v>
      </c>
      <c r="Q2273" s="20">
        <f t="shared" si="142"/>
        <v>11279.509128254311</v>
      </c>
      <c r="R2273" s="22">
        <f t="shared" si="143"/>
        <v>0.2730207705294731</v>
      </c>
    </row>
    <row r="2274" spans="1:18">
      <c r="A2274" s="18">
        <v>3273</v>
      </c>
      <c r="B2274" s="19" t="s">
        <v>770</v>
      </c>
      <c r="C2274" s="18">
        <v>2025</v>
      </c>
      <c r="D2274" s="18" t="s">
        <v>61</v>
      </c>
      <c r="E2274" s="18" t="s">
        <v>85</v>
      </c>
      <c r="F2274" s="18" t="s">
        <v>94</v>
      </c>
      <c r="G2274" s="18" t="s">
        <v>50</v>
      </c>
      <c r="H2274" s="18" t="s">
        <v>87</v>
      </c>
      <c r="I2274" s="18" t="s">
        <v>56</v>
      </c>
      <c r="J2274" s="18" t="s">
        <v>82</v>
      </c>
      <c r="K2274" s="18">
        <v>4</v>
      </c>
      <c r="L2274" s="20">
        <v>9465.43</v>
      </c>
      <c r="M2274" s="21">
        <v>0</v>
      </c>
      <c r="N2274" s="21">
        <v>0.73157092036257898</v>
      </c>
      <c r="O2274" s="20">
        <f t="shared" si="140"/>
        <v>37861.72</v>
      </c>
      <c r="P2274" s="20">
        <f t="shared" si="141"/>
        <v>27698.533346910266</v>
      </c>
      <c r="Q2274" s="20">
        <f t="shared" si="142"/>
        <v>10163.186653089735</v>
      </c>
      <c r="R2274" s="22">
        <f t="shared" si="143"/>
        <v>0.26842907963742096</v>
      </c>
    </row>
    <row r="2275" spans="1:18">
      <c r="A2275" s="18">
        <v>3274</v>
      </c>
      <c r="B2275" s="19" t="s">
        <v>770</v>
      </c>
      <c r="C2275" s="18">
        <v>2025</v>
      </c>
      <c r="D2275" s="18" t="s">
        <v>61</v>
      </c>
      <c r="E2275" s="18" t="s">
        <v>98</v>
      </c>
      <c r="F2275" s="18" t="s">
        <v>109</v>
      </c>
      <c r="G2275" s="18" t="s">
        <v>50</v>
      </c>
      <c r="H2275" s="18" t="s">
        <v>97</v>
      </c>
      <c r="I2275" s="18" t="s">
        <v>40</v>
      </c>
      <c r="J2275" s="18" t="s">
        <v>102</v>
      </c>
      <c r="K2275" s="18">
        <v>12</v>
      </c>
      <c r="L2275" s="20">
        <v>11676.87</v>
      </c>
      <c r="M2275" s="21">
        <v>0.2</v>
      </c>
      <c r="N2275" s="21">
        <v>0.66149804886642305</v>
      </c>
      <c r="O2275" s="20">
        <f t="shared" si="140"/>
        <v>112097.952</v>
      </c>
      <c r="P2275" s="20">
        <f t="shared" si="141"/>
        <v>74152.576529921949</v>
      </c>
      <c r="Q2275" s="20">
        <f t="shared" si="142"/>
        <v>37945.375470078056</v>
      </c>
      <c r="R2275" s="22">
        <f t="shared" si="143"/>
        <v>0.33850195113357695</v>
      </c>
    </row>
    <row r="2276" spans="1:18">
      <c r="A2276" s="18">
        <v>3275</v>
      </c>
      <c r="B2276" s="19" t="s">
        <v>770</v>
      </c>
      <c r="C2276" s="18">
        <v>2025</v>
      </c>
      <c r="D2276" s="18" t="s">
        <v>61</v>
      </c>
      <c r="E2276" s="18" t="s">
        <v>79</v>
      </c>
      <c r="F2276" s="18" t="s">
        <v>80</v>
      </c>
      <c r="G2276" s="18" t="s">
        <v>41</v>
      </c>
      <c r="H2276" s="18" t="s">
        <v>90</v>
      </c>
      <c r="I2276" s="18" t="s">
        <v>58</v>
      </c>
      <c r="J2276" s="18" t="s">
        <v>91</v>
      </c>
      <c r="K2276" s="18">
        <v>10</v>
      </c>
      <c r="L2276" s="20">
        <v>18623.47</v>
      </c>
      <c r="M2276" s="21">
        <v>0</v>
      </c>
      <c r="N2276" s="21">
        <v>0.567150806542014</v>
      </c>
      <c r="O2276" s="20">
        <f t="shared" si="140"/>
        <v>186234.7</v>
      </c>
      <c r="P2276" s="20">
        <f t="shared" si="141"/>
        <v>105623.16031111003</v>
      </c>
      <c r="Q2276" s="20">
        <f t="shared" si="142"/>
        <v>80611.539688889985</v>
      </c>
      <c r="R2276" s="22">
        <f t="shared" si="143"/>
        <v>0.43284919345798595</v>
      </c>
    </row>
    <row r="2277" spans="1:18">
      <c r="A2277" s="18">
        <v>3276</v>
      </c>
      <c r="B2277" s="19" t="s">
        <v>770</v>
      </c>
      <c r="C2277" s="18">
        <v>2025</v>
      </c>
      <c r="D2277" s="18" t="s">
        <v>61</v>
      </c>
      <c r="E2277" s="18" t="s">
        <v>98</v>
      </c>
      <c r="F2277" s="18" t="s">
        <v>117</v>
      </c>
      <c r="G2277" s="18" t="s">
        <v>41</v>
      </c>
      <c r="H2277" s="18" t="s">
        <v>112</v>
      </c>
      <c r="I2277" s="18" t="s">
        <v>62</v>
      </c>
      <c r="J2277" s="18" t="s">
        <v>102</v>
      </c>
      <c r="K2277" s="18">
        <v>12</v>
      </c>
      <c r="L2277" s="20">
        <v>6158.45</v>
      </c>
      <c r="M2277" s="21">
        <v>0</v>
      </c>
      <c r="N2277" s="21">
        <v>0.62860762418497995</v>
      </c>
      <c r="O2277" s="20">
        <f t="shared" si="140"/>
        <v>73901.399999999994</v>
      </c>
      <c r="P2277" s="20">
        <f t="shared" si="141"/>
        <v>46454.983477943875</v>
      </c>
      <c r="Q2277" s="20">
        <f t="shared" si="142"/>
        <v>27446.416522056119</v>
      </c>
      <c r="R2277" s="22">
        <f t="shared" si="143"/>
        <v>0.37139237581502005</v>
      </c>
    </row>
    <row r="2278" spans="1:18">
      <c r="A2278" s="18">
        <v>3277</v>
      </c>
      <c r="B2278" s="19" t="s">
        <v>771</v>
      </c>
      <c r="C2278" s="18">
        <v>2025</v>
      </c>
      <c r="D2278" s="18" t="s">
        <v>61</v>
      </c>
      <c r="E2278" s="18" t="s">
        <v>88</v>
      </c>
      <c r="F2278" s="18" t="s">
        <v>89</v>
      </c>
      <c r="G2278" s="18" t="s">
        <v>44</v>
      </c>
      <c r="H2278" s="18" t="s">
        <v>114</v>
      </c>
      <c r="I2278" s="18" t="s">
        <v>60</v>
      </c>
      <c r="J2278" s="18" t="s">
        <v>91</v>
      </c>
      <c r="K2278" s="18">
        <v>9</v>
      </c>
      <c r="L2278" s="20">
        <v>8943.34</v>
      </c>
      <c r="M2278" s="21">
        <v>0.1</v>
      </c>
      <c r="N2278" s="21">
        <v>0.73890978239563698</v>
      </c>
      <c r="O2278" s="20">
        <f t="shared" si="140"/>
        <v>72441.054000000004</v>
      </c>
      <c r="P2278" s="20">
        <f t="shared" si="141"/>
        <v>53527.403447650591</v>
      </c>
      <c r="Q2278" s="20">
        <f t="shared" si="142"/>
        <v>18913.650552349412</v>
      </c>
      <c r="R2278" s="22">
        <f t="shared" si="143"/>
        <v>0.26109021760436302</v>
      </c>
    </row>
    <row r="2279" spans="1:18">
      <c r="A2279" s="18">
        <v>3278</v>
      </c>
      <c r="B2279" s="19" t="s">
        <v>771</v>
      </c>
      <c r="C2279" s="18">
        <v>2025</v>
      </c>
      <c r="D2279" s="18" t="s">
        <v>61</v>
      </c>
      <c r="E2279" s="18" t="s">
        <v>79</v>
      </c>
      <c r="F2279" s="18" t="s">
        <v>80</v>
      </c>
      <c r="G2279" s="18" t="s">
        <v>44</v>
      </c>
      <c r="H2279" s="18" t="s">
        <v>119</v>
      </c>
      <c r="I2279" s="18" t="s">
        <v>49</v>
      </c>
      <c r="J2279" s="18" t="s">
        <v>102</v>
      </c>
      <c r="K2279" s="18">
        <v>9</v>
      </c>
      <c r="L2279" s="20">
        <v>6937.15</v>
      </c>
      <c r="M2279" s="21">
        <v>0.05</v>
      </c>
      <c r="N2279" s="21">
        <v>0.63633869169278701</v>
      </c>
      <c r="O2279" s="20">
        <f t="shared" si="140"/>
        <v>59312.632499999992</v>
      </c>
      <c r="P2279" s="20">
        <f t="shared" si="141"/>
        <v>37742.922965905076</v>
      </c>
      <c r="Q2279" s="20">
        <f t="shared" si="142"/>
        <v>21569.709534094916</v>
      </c>
      <c r="R2279" s="22">
        <f t="shared" si="143"/>
        <v>0.36366130830721294</v>
      </c>
    </row>
    <row r="2280" spans="1:18">
      <c r="A2280" s="18">
        <v>3279</v>
      </c>
      <c r="B2280" s="19" t="s">
        <v>771</v>
      </c>
      <c r="C2280" s="18">
        <v>2025</v>
      </c>
      <c r="D2280" s="18" t="s">
        <v>61</v>
      </c>
      <c r="E2280" s="18" t="s">
        <v>88</v>
      </c>
      <c r="F2280" s="18" t="s">
        <v>93</v>
      </c>
      <c r="G2280" s="18" t="s">
        <v>41</v>
      </c>
      <c r="H2280" s="18" t="s">
        <v>101</v>
      </c>
      <c r="I2280" s="18" t="s">
        <v>43</v>
      </c>
      <c r="J2280" s="18" t="s">
        <v>82</v>
      </c>
      <c r="K2280" s="18">
        <v>4</v>
      </c>
      <c r="L2280" s="20">
        <v>56339.14</v>
      </c>
      <c r="M2280" s="21">
        <v>0.1</v>
      </c>
      <c r="N2280" s="21">
        <v>0.68726384630620496</v>
      </c>
      <c r="O2280" s="20">
        <f t="shared" si="140"/>
        <v>202820.90400000001</v>
      </c>
      <c r="P2280" s="20">
        <f t="shared" si="141"/>
        <v>139391.47459434156</v>
      </c>
      <c r="Q2280" s="20">
        <f t="shared" si="142"/>
        <v>63429.429405658448</v>
      </c>
      <c r="R2280" s="22">
        <f t="shared" si="143"/>
        <v>0.31273615369379504</v>
      </c>
    </row>
    <row r="2281" spans="1:18">
      <c r="A2281" s="18">
        <v>3280</v>
      </c>
      <c r="B2281" s="19" t="s">
        <v>772</v>
      </c>
      <c r="C2281" s="18">
        <v>2025</v>
      </c>
      <c r="D2281" s="18" t="s">
        <v>61</v>
      </c>
      <c r="E2281" s="18" t="s">
        <v>79</v>
      </c>
      <c r="F2281" s="18" t="s">
        <v>105</v>
      </c>
      <c r="G2281" s="18" t="s">
        <v>47</v>
      </c>
      <c r="H2281" s="18" t="s">
        <v>81</v>
      </c>
      <c r="I2281" s="18" t="s">
        <v>49</v>
      </c>
      <c r="J2281" s="18" t="s">
        <v>82</v>
      </c>
      <c r="K2281" s="18">
        <v>1</v>
      </c>
      <c r="L2281" s="20">
        <v>764.88</v>
      </c>
      <c r="M2281" s="21">
        <v>0</v>
      </c>
      <c r="N2281" s="21">
        <v>0.65970874804108903</v>
      </c>
      <c r="O2281" s="20">
        <f t="shared" si="140"/>
        <v>764.88</v>
      </c>
      <c r="P2281" s="20">
        <f t="shared" si="141"/>
        <v>504.59802720166817</v>
      </c>
      <c r="Q2281" s="20">
        <f t="shared" si="142"/>
        <v>260.28197279833182</v>
      </c>
      <c r="R2281" s="22">
        <f t="shared" si="143"/>
        <v>0.34029125195891097</v>
      </c>
    </row>
    <row r="2282" spans="1:18">
      <c r="A2282" s="18">
        <v>3281</v>
      </c>
      <c r="B2282" s="19" t="s">
        <v>772</v>
      </c>
      <c r="C2282" s="18">
        <v>2025</v>
      </c>
      <c r="D2282" s="18" t="s">
        <v>61</v>
      </c>
      <c r="E2282" s="18" t="s">
        <v>85</v>
      </c>
      <c r="F2282" s="18" t="s">
        <v>86</v>
      </c>
      <c r="G2282" s="18" t="s">
        <v>47</v>
      </c>
      <c r="H2282" s="18" t="s">
        <v>103</v>
      </c>
      <c r="I2282" s="18" t="s">
        <v>56</v>
      </c>
      <c r="J2282" s="18" t="s">
        <v>91</v>
      </c>
      <c r="K2282" s="18">
        <v>4</v>
      </c>
      <c r="L2282" s="20">
        <v>3230</v>
      </c>
      <c r="M2282" s="21">
        <v>0.15</v>
      </c>
      <c r="N2282" s="21">
        <v>0.55096585006022303</v>
      </c>
      <c r="O2282" s="20">
        <f t="shared" si="140"/>
        <v>10982</v>
      </c>
      <c r="P2282" s="20">
        <f t="shared" si="141"/>
        <v>6050.7069653613689</v>
      </c>
      <c r="Q2282" s="20">
        <f t="shared" si="142"/>
        <v>4931.2930346386311</v>
      </c>
      <c r="R2282" s="22">
        <f t="shared" si="143"/>
        <v>0.44903414993977703</v>
      </c>
    </row>
    <row r="2283" spans="1:18">
      <c r="A2283" s="18">
        <v>3282</v>
      </c>
      <c r="B2283" s="19" t="s">
        <v>772</v>
      </c>
      <c r="C2283" s="18">
        <v>2025</v>
      </c>
      <c r="D2283" s="18" t="s">
        <v>61</v>
      </c>
      <c r="E2283" s="18" t="s">
        <v>79</v>
      </c>
      <c r="F2283" s="18" t="s">
        <v>100</v>
      </c>
      <c r="G2283" s="18" t="s">
        <v>47</v>
      </c>
      <c r="H2283" s="18" t="s">
        <v>81</v>
      </c>
      <c r="I2283" s="18" t="s">
        <v>56</v>
      </c>
      <c r="J2283" s="18" t="s">
        <v>82</v>
      </c>
      <c r="K2283" s="18">
        <v>1</v>
      </c>
      <c r="L2283" s="20">
        <v>806.37</v>
      </c>
      <c r="M2283" s="21">
        <v>0</v>
      </c>
      <c r="N2283" s="21">
        <v>0.62689661915260197</v>
      </c>
      <c r="O2283" s="20">
        <f t="shared" si="140"/>
        <v>806.37</v>
      </c>
      <c r="P2283" s="20">
        <f t="shared" si="141"/>
        <v>505.51062678608366</v>
      </c>
      <c r="Q2283" s="20">
        <f t="shared" si="142"/>
        <v>300.85937321391634</v>
      </c>
      <c r="R2283" s="22">
        <f t="shared" si="143"/>
        <v>0.37310338084739803</v>
      </c>
    </row>
    <row r="2284" spans="1:18">
      <c r="A2284" s="18">
        <v>3283</v>
      </c>
      <c r="B2284" s="19" t="s">
        <v>773</v>
      </c>
      <c r="C2284" s="18">
        <v>2025</v>
      </c>
      <c r="D2284" s="18" t="s">
        <v>61</v>
      </c>
      <c r="E2284" s="18" t="s">
        <v>88</v>
      </c>
      <c r="F2284" s="18" t="s">
        <v>110</v>
      </c>
      <c r="G2284" s="18" t="s">
        <v>50</v>
      </c>
      <c r="H2284" s="18" t="s">
        <v>83</v>
      </c>
      <c r="I2284" s="18" t="s">
        <v>58</v>
      </c>
      <c r="J2284" s="18" t="s">
        <v>102</v>
      </c>
      <c r="K2284" s="18">
        <v>10</v>
      </c>
      <c r="L2284" s="20">
        <v>3560.64</v>
      </c>
      <c r="M2284" s="21">
        <v>0.15</v>
      </c>
      <c r="N2284" s="21">
        <v>0.69535113790606096</v>
      </c>
      <c r="O2284" s="20">
        <f t="shared" si="140"/>
        <v>30265.439999999999</v>
      </c>
      <c r="P2284" s="20">
        <f t="shared" si="141"/>
        <v>21045.108143227611</v>
      </c>
      <c r="Q2284" s="20">
        <f t="shared" si="142"/>
        <v>9220.3318567723873</v>
      </c>
      <c r="R2284" s="22">
        <f t="shared" si="143"/>
        <v>0.3046488620939391</v>
      </c>
    </row>
    <row r="2285" spans="1:18">
      <c r="A2285" s="18">
        <v>3284</v>
      </c>
      <c r="B2285" s="19" t="s">
        <v>773</v>
      </c>
      <c r="C2285" s="18">
        <v>2025</v>
      </c>
      <c r="D2285" s="18" t="s">
        <v>61</v>
      </c>
      <c r="E2285" s="18" t="s">
        <v>79</v>
      </c>
      <c r="F2285" s="18" t="s">
        <v>105</v>
      </c>
      <c r="G2285" s="18" t="s">
        <v>41</v>
      </c>
      <c r="H2285" s="18" t="s">
        <v>106</v>
      </c>
      <c r="I2285" s="18" t="s">
        <v>52</v>
      </c>
      <c r="J2285" s="18" t="s">
        <v>102</v>
      </c>
      <c r="K2285" s="18">
        <v>2</v>
      </c>
      <c r="L2285" s="20">
        <v>2610.6999999999998</v>
      </c>
      <c r="M2285" s="21">
        <v>0.15</v>
      </c>
      <c r="N2285" s="21">
        <v>0.63505148065094497</v>
      </c>
      <c r="O2285" s="20">
        <f t="shared" si="140"/>
        <v>4438.1899999999996</v>
      </c>
      <c r="P2285" s="20">
        <f t="shared" si="141"/>
        <v>2818.479130910217</v>
      </c>
      <c r="Q2285" s="20">
        <f t="shared" si="142"/>
        <v>1619.7108690897826</v>
      </c>
      <c r="R2285" s="22">
        <f t="shared" si="143"/>
        <v>0.36494851934905509</v>
      </c>
    </row>
    <row r="2286" spans="1:18">
      <c r="A2286" s="18">
        <v>3285</v>
      </c>
      <c r="B2286" s="19" t="s">
        <v>773</v>
      </c>
      <c r="C2286" s="18">
        <v>2025</v>
      </c>
      <c r="D2286" s="18" t="s">
        <v>61</v>
      </c>
      <c r="E2286" s="18" t="s">
        <v>98</v>
      </c>
      <c r="F2286" s="18" t="s">
        <v>109</v>
      </c>
      <c r="G2286" s="18" t="s">
        <v>44</v>
      </c>
      <c r="H2286" s="18" t="s">
        <v>119</v>
      </c>
      <c r="I2286" s="18" t="s">
        <v>40</v>
      </c>
      <c r="J2286" s="18" t="s">
        <v>82</v>
      </c>
      <c r="K2286" s="18">
        <v>10</v>
      </c>
      <c r="L2286" s="20">
        <v>7221.15</v>
      </c>
      <c r="M2286" s="21">
        <v>0.15</v>
      </c>
      <c r="N2286" s="21">
        <v>0.65300999772150803</v>
      </c>
      <c r="O2286" s="20">
        <f t="shared" si="140"/>
        <v>61379.775000000001</v>
      </c>
      <c r="P2286" s="20">
        <f t="shared" si="141"/>
        <v>40081.606732896675</v>
      </c>
      <c r="Q2286" s="20">
        <f t="shared" si="142"/>
        <v>21298.168267103327</v>
      </c>
      <c r="R2286" s="22">
        <f t="shared" si="143"/>
        <v>0.34699000227849203</v>
      </c>
    </row>
    <row r="2287" spans="1:18">
      <c r="A2287" s="18">
        <v>3286</v>
      </c>
      <c r="B2287" s="19" t="s">
        <v>774</v>
      </c>
      <c r="C2287" s="18">
        <v>2025</v>
      </c>
      <c r="D2287" s="18" t="s">
        <v>61</v>
      </c>
      <c r="E2287" s="18" t="s">
        <v>88</v>
      </c>
      <c r="F2287" s="18" t="s">
        <v>89</v>
      </c>
      <c r="G2287" s="18" t="s">
        <v>41</v>
      </c>
      <c r="H2287" s="18" t="s">
        <v>90</v>
      </c>
      <c r="I2287" s="18" t="s">
        <v>49</v>
      </c>
      <c r="J2287" s="18" t="s">
        <v>91</v>
      </c>
      <c r="K2287" s="18">
        <v>2</v>
      </c>
      <c r="L2287" s="20">
        <v>18773.22</v>
      </c>
      <c r="M2287" s="21">
        <v>0.15</v>
      </c>
      <c r="N2287" s="21">
        <v>0.72647609425360404</v>
      </c>
      <c r="O2287" s="20">
        <f t="shared" si="140"/>
        <v>31914.474000000002</v>
      </c>
      <c r="P2287" s="20">
        <f t="shared" si="141"/>
        <v>23185.102421678199</v>
      </c>
      <c r="Q2287" s="20">
        <f t="shared" si="142"/>
        <v>8729.3715783218031</v>
      </c>
      <c r="R2287" s="22">
        <f t="shared" si="143"/>
        <v>0.2735239057463959</v>
      </c>
    </row>
    <row r="2288" spans="1:18">
      <c r="A2288" s="18">
        <v>3287</v>
      </c>
      <c r="B2288" s="19" t="s">
        <v>774</v>
      </c>
      <c r="C2288" s="18">
        <v>2025</v>
      </c>
      <c r="D2288" s="18" t="s">
        <v>61</v>
      </c>
      <c r="E2288" s="18" t="s">
        <v>98</v>
      </c>
      <c r="F2288" s="18" t="s">
        <v>117</v>
      </c>
      <c r="G2288" s="18" t="s">
        <v>47</v>
      </c>
      <c r="H2288" s="18" t="s">
        <v>103</v>
      </c>
      <c r="I2288" s="18" t="s">
        <v>52</v>
      </c>
      <c r="J2288" s="18" t="s">
        <v>91</v>
      </c>
      <c r="K2288" s="18">
        <v>9</v>
      </c>
      <c r="L2288" s="20">
        <v>3085.29</v>
      </c>
      <c r="M2288" s="21">
        <v>0.15</v>
      </c>
      <c r="N2288" s="21">
        <v>0.74257055044897802</v>
      </c>
      <c r="O2288" s="20">
        <f t="shared" si="140"/>
        <v>23602.468499999999</v>
      </c>
      <c r="P2288" s="20">
        <f t="shared" si="141"/>
        <v>17526.498025999663</v>
      </c>
      <c r="Q2288" s="20">
        <f t="shared" si="142"/>
        <v>6075.9704740003363</v>
      </c>
      <c r="R2288" s="22">
        <f t="shared" si="143"/>
        <v>0.25742944955102204</v>
      </c>
    </row>
    <row r="2289" spans="1:18">
      <c r="A2289" s="18">
        <v>3288</v>
      </c>
      <c r="B2289" s="19" t="s">
        <v>774</v>
      </c>
      <c r="C2289" s="18">
        <v>2025</v>
      </c>
      <c r="D2289" s="18" t="s">
        <v>61</v>
      </c>
      <c r="E2289" s="18" t="s">
        <v>98</v>
      </c>
      <c r="F2289" s="18" t="s">
        <v>117</v>
      </c>
      <c r="G2289" s="18" t="s">
        <v>41</v>
      </c>
      <c r="H2289" s="18" t="s">
        <v>101</v>
      </c>
      <c r="I2289" s="18" t="s">
        <v>52</v>
      </c>
      <c r="J2289" s="18" t="s">
        <v>102</v>
      </c>
      <c r="K2289" s="18">
        <v>1</v>
      </c>
      <c r="L2289" s="20">
        <v>52626.27</v>
      </c>
      <c r="M2289" s="21">
        <v>0</v>
      </c>
      <c r="N2289" s="21">
        <v>0.61478838736212105</v>
      </c>
      <c r="O2289" s="20">
        <f t="shared" si="140"/>
        <v>52626.27</v>
      </c>
      <c r="P2289" s="20">
        <f t="shared" si="141"/>
        <v>32354.019666183569</v>
      </c>
      <c r="Q2289" s="20">
        <f t="shared" si="142"/>
        <v>20272.250333816428</v>
      </c>
      <c r="R2289" s="22">
        <f t="shared" si="143"/>
        <v>0.38521161263787895</v>
      </c>
    </row>
    <row r="2290" spans="1:18">
      <c r="A2290" s="18">
        <v>3289</v>
      </c>
      <c r="B2290" s="19" t="s">
        <v>775</v>
      </c>
      <c r="C2290" s="18">
        <v>2025</v>
      </c>
      <c r="D2290" s="18" t="s">
        <v>61</v>
      </c>
      <c r="E2290" s="18" t="s">
        <v>98</v>
      </c>
      <c r="F2290" s="18" t="s">
        <v>109</v>
      </c>
      <c r="G2290" s="18" t="s">
        <v>50</v>
      </c>
      <c r="H2290" s="18" t="s">
        <v>83</v>
      </c>
      <c r="I2290" s="18" t="s">
        <v>58</v>
      </c>
      <c r="J2290" s="18" t="s">
        <v>91</v>
      </c>
      <c r="K2290" s="18">
        <v>7</v>
      </c>
      <c r="L2290" s="20">
        <v>3655.21</v>
      </c>
      <c r="M2290" s="21">
        <v>0.15</v>
      </c>
      <c r="N2290" s="21">
        <v>0.66944608874676104</v>
      </c>
      <c r="O2290" s="20">
        <f t="shared" si="140"/>
        <v>21748.499500000002</v>
      </c>
      <c r="P2290" s="20">
        <f t="shared" si="141"/>
        <v>14559.447926385888</v>
      </c>
      <c r="Q2290" s="20">
        <f t="shared" si="142"/>
        <v>7189.0515736141133</v>
      </c>
      <c r="R2290" s="22">
        <f t="shared" si="143"/>
        <v>0.33055391125323902</v>
      </c>
    </row>
    <row r="2291" spans="1:18">
      <c r="A2291" s="18">
        <v>3290</v>
      </c>
      <c r="B2291" s="19" t="s">
        <v>775</v>
      </c>
      <c r="C2291" s="18">
        <v>2025</v>
      </c>
      <c r="D2291" s="18" t="s">
        <v>61</v>
      </c>
      <c r="E2291" s="18" t="s">
        <v>98</v>
      </c>
      <c r="F2291" s="18" t="s">
        <v>99</v>
      </c>
      <c r="G2291" s="18" t="s">
        <v>47</v>
      </c>
      <c r="H2291" s="18" t="s">
        <v>107</v>
      </c>
      <c r="I2291" s="18" t="s">
        <v>56</v>
      </c>
      <c r="J2291" s="18" t="s">
        <v>91</v>
      </c>
      <c r="K2291" s="18">
        <v>3</v>
      </c>
      <c r="L2291" s="20">
        <v>2247.5500000000002</v>
      </c>
      <c r="M2291" s="21">
        <v>0</v>
      </c>
      <c r="N2291" s="21">
        <v>0.56171203784724499</v>
      </c>
      <c r="O2291" s="20">
        <f t="shared" si="140"/>
        <v>6742.6500000000005</v>
      </c>
      <c r="P2291" s="20">
        <f t="shared" si="141"/>
        <v>3787.4276719907266</v>
      </c>
      <c r="Q2291" s="20">
        <f t="shared" si="142"/>
        <v>2955.222328009274</v>
      </c>
      <c r="R2291" s="22">
        <f t="shared" si="143"/>
        <v>0.43828796215275501</v>
      </c>
    </row>
    <row r="2292" spans="1:18">
      <c r="A2292" s="18">
        <v>3291</v>
      </c>
      <c r="B2292" s="19" t="s">
        <v>775</v>
      </c>
      <c r="C2292" s="18">
        <v>2025</v>
      </c>
      <c r="D2292" s="18" t="s">
        <v>61</v>
      </c>
      <c r="E2292" s="18" t="s">
        <v>88</v>
      </c>
      <c r="F2292" s="18" t="s">
        <v>89</v>
      </c>
      <c r="G2292" s="18" t="s">
        <v>41</v>
      </c>
      <c r="H2292" s="18" t="s">
        <v>101</v>
      </c>
      <c r="I2292" s="18" t="s">
        <v>60</v>
      </c>
      <c r="J2292" s="18" t="s">
        <v>82</v>
      </c>
      <c r="K2292" s="18">
        <v>12</v>
      </c>
      <c r="L2292" s="20">
        <v>55038.48</v>
      </c>
      <c r="M2292" s="21">
        <v>0</v>
      </c>
      <c r="N2292" s="21">
        <v>0.68052365216984201</v>
      </c>
      <c r="O2292" s="20">
        <f t="shared" si="140"/>
        <v>660461.76</v>
      </c>
      <c r="P2292" s="20">
        <f t="shared" si="141"/>
        <v>449459.84903372166</v>
      </c>
      <c r="Q2292" s="20">
        <f t="shared" si="142"/>
        <v>211001.91096627834</v>
      </c>
      <c r="R2292" s="22">
        <f t="shared" si="143"/>
        <v>0.31947634783015799</v>
      </c>
    </row>
    <row r="2293" spans="1:18">
      <c r="A2293" s="18">
        <v>3292</v>
      </c>
      <c r="B2293" s="19" t="s">
        <v>776</v>
      </c>
      <c r="C2293" s="18">
        <v>2025</v>
      </c>
      <c r="D2293" s="18" t="s">
        <v>61</v>
      </c>
      <c r="E2293" s="18" t="s">
        <v>98</v>
      </c>
      <c r="F2293" s="18" t="s">
        <v>117</v>
      </c>
      <c r="G2293" s="18" t="s">
        <v>44</v>
      </c>
      <c r="H2293" s="18" t="s">
        <v>114</v>
      </c>
      <c r="I2293" s="18" t="s">
        <v>46</v>
      </c>
      <c r="J2293" s="18" t="s">
        <v>82</v>
      </c>
      <c r="K2293" s="18">
        <v>9</v>
      </c>
      <c r="L2293" s="20">
        <v>8861.99</v>
      </c>
      <c r="M2293" s="21">
        <v>0</v>
      </c>
      <c r="N2293" s="21">
        <v>0.649376131984711</v>
      </c>
      <c r="O2293" s="20">
        <f t="shared" si="140"/>
        <v>79757.91</v>
      </c>
      <c r="P2293" s="20">
        <f t="shared" si="141"/>
        <v>51792.883090984702</v>
      </c>
      <c r="Q2293" s="20">
        <f t="shared" si="142"/>
        <v>27965.026909015301</v>
      </c>
      <c r="R2293" s="22">
        <f t="shared" si="143"/>
        <v>0.350623868015289</v>
      </c>
    </row>
    <row r="2294" spans="1:18">
      <c r="A2294" s="18">
        <v>3293</v>
      </c>
      <c r="B2294" s="19" t="s">
        <v>776</v>
      </c>
      <c r="C2294" s="18">
        <v>2025</v>
      </c>
      <c r="D2294" s="18" t="s">
        <v>61</v>
      </c>
      <c r="E2294" s="18" t="s">
        <v>98</v>
      </c>
      <c r="F2294" s="18" t="s">
        <v>117</v>
      </c>
      <c r="G2294" s="18" t="s">
        <v>50</v>
      </c>
      <c r="H2294" s="18" t="s">
        <v>83</v>
      </c>
      <c r="I2294" s="18" t="s">
        <v>54</v>
      </c>
      <c r="J2294" s="18" t="s">
        <v>102</v>
      </c>
      <c r="K2294" s="18">
        <v>4</v>
      </c>
      <c r="L2294" s="20">
        <v>3469.06</v>
      </c>
      <c r="M2294" s="21">
        <v>0</v>
      </c>
      <c r="N2294" s="21">
        <v>0.74020699401282097</v>
      </c>
      <c r="O2294" s="20">
        <f t="shared" si="140"/>
        <v>13876.24</v>
      </c>
      <c r="P2294" s="20">
        <f t="shared" si="141"/>
        <v>10271.289898600467</v>
      </c>
      <c r="Q2294" s="20">
        <f t="shared" si="142"/>
        <v>3604.9501013995323</v>
      </c>
      <c r="R2294" s="22">
        <f t="shared" si="143"/>
        <v>0.25979300598717897</v>
      </c>
    </row>
    <row r="2295" spans="1:18">
      <c r="A2295" s="18">
        <v>3294</v>
      </c>
      <c r="B2295" s="19" t="s">
        <v>776</v>
      </c>
      <c r="C2295" s="18">
        <v>2025</v>
      </c>
      <c r="D2295" s="18" t="s">
        <v>61</v>
      </c>
      <c r="E2295" s="18" t="s">
        <v>88</v>
      </c>
      <c r="F2295" s="18" t="s">
        <v>89</v>
      </c>
      <c r="G2295" s="18" t="s">
        <v>50</v>
      </c>
      <c r="H2295" s="18" t="s">
        <v>83</v>
      </c>
      <c r="I2295" s="18" t="s">
        <v>40</v>
      </c>
      <c r="J2295" s="18" t="s">
        <v>91</v>
      </c>
      <c r="K2295" s="18">
        <v>2</v>
      </c>
      <c r="L2295" s="20">
        <v>3380.81</v>
      </c>
      <c r="M2295" s="21">
        <v>0</v>
      </c>
      <c r="N2295" s="21">
        <v>0.74849807138977897</v>
      </c>
      <c r="O2295" s="20">
        <f t="shared" si="140"/>
        <v>6761.62</v>
      </c>
      <c r="P2295" s="20">
        <f t="shared" si="141"/>
        <v>5061.0595294705572</v>
      </c>
      <c r="Q2295" s="20">
        <f t="shared" si="142"/>
        <v>1700.5604705294427</v>
      </c>
      <c r="R2295" s="22">
        <f t="shared" si="143"/>
        <v>0.25150192861022103</v>
      </c>
    </row>
    <row r="2296" spans="1:18">
      <c r="A2296" s="18">
        <v>3295</v>
      </c>
      <c r="B2296" s="19" t="s">
        <v>776</v>
      </c>
      <c r="C2296" s="18">
        <v>2025</v>
      </c>
      <c r="D2296" s="18" t="s">
        <v>61</v>
      </c>
      <c r="E2296" s="18" t="s">
        <v>88</v>
      </c>
      <c r="F2296" s="18" t="s">
        <v>93</v>
      </c>
      <c r="G2296" s="18" t="s">
        <v>47</v>
      </c>
      <c r="H2296" s="18" t="s">
        <v>81</v>
      </c>
      <c r="I2296" s="18" t="s">
        <v>60</v>
      </c>
      <c r="J2296" s="18" t="s">
        <v>82</v>
      </c>
      <c r="K2296" s="18">
        <v>11</v>
      </c>
      <c r="L2296" s="20">
        <v>793.49</v>
      </c>
      <c r="M2296" s="21">
        <v>0</v>
      </c>
      <c r="N2296" s="21">
        <v>0.67566835757596699</v>
      </c>
      <c r="O2296" s="20">
        <f t="shared" si="140"/>
        <v>8728.39</v>
      </c>
      <c r="P2296" s="20">
        <f t="shared" si="141"/>
        <v>5897.4969355824942</v>
      </c>
      <c r="Q2296" s="20">
        <f t="shared" si="142"/>
        <v>2830.8930644175052</v>
      </c>
      <c r="R2296" s="22">
        <f t="shared" si="143"/>
        <v>0.32433164242403301</v>
      </c>
    </row>
    <row r="2297" spans="1:18">
      <c r="A2297" s="18">
        <v>3296</v>
      </c>
      <c r="B2297" s="19" t="s">
        <v>776</v>
      </c>
      <c r="C2297" s="18">
        <v>2025</v>
      </c>
      <c r="D2297" s="18" t="s">
        <v>61</v>
      </c>
      <c r="E2297" s="18" t="s">
        <v>98</v>
      </c>
      <c r="F2297" s="18" t="s">
        <v>109</v>
      </c>
      <c r="G2297" s="18" t="s">
        <v>41</v>
      </c>
      <c r="H2297" s="18" t="s">
        <v>106</v>
      </c>
      <c r="I2297" s="18" t="s">
        <v>56</v>
      </c>
      <c r="J2297" s="18" t="s">
        <v>82</v>
      </c>
      <c r="K2297" s="18">
        <v>1</v>
      </c>
      <c r="L2297" s="20">
        <v>2390.21</v>
      </c>
      <c r="M2297" s="21">
        <v>0.15</v>
      </c>
      <c r="N2297" s="21">
        <v>0.58457860830286601</v>
      </c>
      <c r="O2297" s="20">
        <f t="shared" si="140"/>
        <v>2031.6785</v>
      </c>
      <c r="P2297" s="20">
        <f t="shared" si="141"/>
        <v>1187.6757900488544</v>
      </c>
      <c r="Q2297" s="20">
        <f t="shared" si="142"/>
        <v>844.00270995114556</v>
      </c>
      <c r="R2297" s="22">
        <f t="shared" si="143"/>
        <v>0.41542139169713393</v>
      </c>
    </row>
    <row r="2298" spans="1:18">
      <c r="A2298" s="18">
        <v>3297</v>
      </c>
      <c r="B2298" s="19" t="s">
        <v>777</v>
      </c>
      <c r="C2298" s="18">
        <v>2025</v>
      </c>
      <c r="D2298" s="18" t="s">
        <v>61</v>
      </c>
      <c r="E2298" s="18" t="s">
        <v>98</v>
      </c>
      <c r="F2298" s="18" t="s">
        <v>109</v>
      </c>
      <c r="G2298" s="18" t="s">
        <v>50</v>
      </c>
      <c r="H2298" s="18" t="s">
        <v>83</v>
      </c>
      <c r="I2298" s="18" t="s">
        <v>40</v>
      </c>
      <c r="J2298" s="18" t="s">
        <v>82</v>
      </c>
      <c r="K2298" s="18">
        <v>3</v>
      </c>
      <c r="L2298" s="20">
        <v>3521.55</v>
      </c>
      <c r="M2298" s="21">
        <v>0.15</v>
      </c>
      <c r="N2298" s="21">
        <v>0.57866485336166795</v>
      </c>
      <c r="O2298" s="20">
        <f t="shared" si="140"/>
        <v>8979.9525000000012</v>
      </c>
      <c r="P2298" s="20">
        <f t="shared" si="141"/>
        <v>5196.3828966072442</v>
      </c>
      <c r="Q2298" s="20">
        <f t="shared" si="142"/>
        <v>3783.569603392757</v>
      </c>
      <c r="R2298" s="22">
        <f t="shared" si="143"/>
        <v>0.42133514663833205</v>
      </c>
    </row>
    <row r="2299" spans="1:18">
      <c r="A2299" s="18">
        <v>3298</v>
      </c>
      <c r="B2299" s="19" t="s">
        <v>777</v>
      </c>
      <c r="C2299" s="18">
        <v>2025</v>
      </c>
      <c r="D2299" s="18" t="s">
        <v>61</v>
      </c>
      <c r="E2299" s="18" t="s">
        <v>79</v>
      </c>
      <c r="F2299" s="18" t="s">
        <v>100</v>
      </c>
      <c r="G2299" s="18" t="s">
        <v>41</v>
      </c>
      <c r="H2299" s="18" t="s">
        <v>101</v>
      </c>
      <c r="I2299" s="18" t="s">
        <v>49</v>
      </c>
      <c r="J2299" s="18" t="s">
        <v>82</v>
      </c>
      <c r="K2299" s="18">
        <v>10</v>
      </c>
      <c r="L2299" s="20">
        <v>56292.54</v>
      </c>
      <c r="M2299" s="21">
        <v>0.2</v>
      </c>
      <c r="N2299" s="21">
        <v>0.63544313917852002</v>
      </c>
      <c r="O2299" s="20">
        <f t="shared" si="140"/>
        <v>450340.32000000007</v>
      </c>
      <c r="P2299" s="20">
        <f t="shared" si="141"/>
        <v>286165.66663945926</v>
      </c>
      <c r="Q2299" s="20">
        <f t="shared" si="142"/>
        <v>164174.6533605408</v>
      </c>
      <c r="R2299" s="22">
        <f t="shared" si="143"/>
        <v>0.36455686082148003</v>
      </c>
    </row>
    <row r="2300" spans="1:18">
      <c r="A2300" s="18">
        <v>3299</v>
      </c>
      <c r="B2300" s="19" t="s">
        <v>778</v>
      </c>
      <c r="C2300" s="18">
        <v>2025</v>
      </c>
      <c r="D2300" s="18" t="s">
        <v>61</v>
      </c>
      <c r="E2300" s="18" t="s">
        <v>79</v>
      </c>
      <c r="F2300" s="18" t="s">
        <v>100</v>
      </c>
      <c r="G2300" s="18" t="s">
        <v>41</v>
      </c>
      <c r="H2300" s="18" t="s">
        <v>106</v>
      </c>
      <c r="I2300" s="18" t="s">
        <v>60</v>
      </c>
      <c r="J2300" s="18" t="s">
        <v>102</v>
      </c>
      <c r="K2300" s="18">
        <v>6</v>
      </c>
      <c r="L2300" s="20">
        <v>2377.88</v>
      </c>
      <c r="M2300" s="21">
        <v>0.2</v>
      </c>
      <c r="N2300" s="21">
        <v>0.63587664430622204</v>
      </c>
      <c r="O2300" s="20">
        <f t="shared" si="140"/>
        <v>11413.824000000001</v>
      </c>
      <c r="P2300" s="20">
        <f t="shared" si="141"/>
        <v>7257.7841038218212</v>
      </c>
      <c r="Q2300" s="20">
        <f t="shared" si="142"/>
        <v>4156.0398961781793</v>
      </c>
      <c r="R2300" s="22">
        <f t="shared" si="143"/>
        <v>0.36412335569377791</v>
      </c>
    </row>
    <row r="2301" spans="1:18">
      <c r="A2301" s="18">
        <v>3300</v>
      </c>
      <c r="B2301" s="19" t="s">
        <v>778</v>
      </c>
      <c r="C2301" s="18">
        <v>2025</v>
      </c>
      <c r="D2301" s="18" t="s">
        <v>61</v>
      </c>
      <c r="E2301" s="18" t="s">
        <v>98</v>
      </c>
      <c r="F2301" s="18" t="s">
        <v>117</v>
      </c>
      <c r="G2301" s="18" t="s">
        <v>47</v>
      </c>
      <c r="H2301" s="18" t="s">
        <v>107</v>
      </c>
      <c r="I2301" s="18" t="s">
        <v>56</v>
      </c>
      <c r="J2301" s="18" t="s">
        <v>102</v>
      </c>
      <c r="K2301" s="18">
        <v>1</v>
      </c>
      <c r="L2301" s="20">
        <v>2303.54</v>
      </c>
      <c r="M2301" s="21">
        <v>0.05</v>
      </c>
      <c r="N2301" s="21">
        <v>0.68101831254020995</v>
      </c>
      <c r="O2301" s="20">
        <f t="shared" si="140"/>
        <v>2188.3629999999998</v>
      </c>
      <c r="P2301" s="20">
        <f t="shared" si="141"/>
        <v>1490.3152774854314</v>
      </c>
      <c r="Q2301" s="20">
        <f t="shared" si="142"/>
        <v>698.04772251456848</v>
      </c>
      <c r="R2301" s="22">
        <f t="shared" si="143"/>
        <v>0.31898168745979005</v>
      </c>
    </row>
    <row r="2302" spans="1:18">
      <c r="A2302" s="18">
        <v>3301</v>
      </c>
      <c r="B2302" s="19" t="s">
        <v>778</v>
      </c>
      <c r="C2302" s="18">
        <v>2025</v>
      </c>
      <c r="D2302" s="18" t="s">
        <v>61</v>
      </c>
      <c r="E2302" s="18" t="s">
        <v>88</v>
      </c>
      <c r="F2302" s="18" t="s">
        <v>89</v>
      </c>
      <c r="G2302" s="18" t="s">
        <v>50</v>
      </c>
      <c r="H2302" s="18" t="s">
        <v>83</v>
      </c>
      <c r="I2302" s="18" t="s">
        <v>52</v>
      </c>
      <c r="J2302" s="18" t="s">
        <v>91</v>
      </c>
      <c r="K2302" s="18">
        <v>1</v>
      </c>
      <c r="L2302" s="20">
        <v>3362.47</v>
      </c>
      <c r="M2302" s="21">
        <v>0</v>
      </c>
      <c r="N2302" s="21">
        <v>0.61657925879448305</v>
      </c>
      <c r="O2302" s="20">
        <f t="shared" si="140"/>
        <v>3362.47</v>
      </c>
      <c r="P2302" s="20">
        <f t="shared" si="141"/>
        <v>2073.2292603186852</v>
      </c>
      <c r="Q2302" s="20">
        <f t="shared" si="142"/>
        <v>1289.2407396813146</v>
      </c>
      <c r="R2302" s="22">
        <f t="shared" si="143"/>
        <v>0.383420741205517</v>
      </c>
    </row>
    <row r="2303" spans="1:18">
      <c r="A2303" s="18">
        <v>3302</v>
      </c>
      <c r="B2303" s="19" t="s">
        <v>778</v>
      </c>
      <c r="C2303" s="18">
        <v>2025</v>
      </c>
      <c r="D2303" s="18" t="s">
        <v>61</v>
      </c>
      <c r="E2303" s="18" t="s">
        <v>79</v>
      </c>
      <c r="F2303" s="18" t="s">
        <v>105</v>
      </c>
      <c r="G2303" s="18" t="s">
        <v>50</v>
      </c>
      <c r="H2303" s="18" t="s">
        <v>87</v>
      </c>
      <c r="I2303" s="18" t="s">
        <v>49</v>
      </c>
      <c r="J2303" s="18" t="s">
        <v>102</v>
      </c>
      <c r="K2303" s="18">
        <v>5</v>
      </c>
      <c r="L2303" s="20">
        <v>9492.23</v>
      </c>
      <c r="M2303" s="21">
        <v>0</v>
      </c>
      <c r="N2303" s="21">
        <v>0.60189459656905897</v>
      </c>
      <c r="O2303" s="20">
        <f t="shared" si="140"/>
        <v>47461.149999999994</v>
      </c>
      <c r="P2303" s="20">
        <f t="shared" si="141"/>
        <v>28566.609731953591</v>
      </c>
      <c r="Q2303" s="20">
        <f t="shared" si="142"/>
        <v>18894.540268046403</v>
      </c>
      <c r="R2303" s="22">
        <f t="shared" si="143"/>
        <v>0.39810540343094097</v>
      </c>
    </row>
    <row r="2304" spans="1:18">
      <c r="A2304" s="18">
        <v>3303</v>
      </c>
      <c r="B2304" s="19" t="s">
        <v>779</v>
      </c>
      <c r="C2304" s="18">
        <v>2025</v>
      </c>
      <c r="D2304" s="18" t="s">
        <v>61</v>
      </c>
      <c r="E2304" s="18" t="s">
        <v>85</v>
      </c>
      <c r="F2304" s="18" t="s">
        <v>86</v>
      </c>
      <c r="G2304" s="18" t="s">
        <v>50</v>
      </c>
      <c r="H2304" s="18" t="s">
        <v>97</v>
      </c>
      <c r="I2304" s="18" t="s">
        <v>60</v>
      </c>
      <c r="J2304" s="18" t="s">
        <v>82</v>
      </c>
      <c r="K2304" s="18">
        <v>3</v>
      </c>
      <c r="L2304" s="20">
        <v>12528.24</v>
      </c>
      <c r="M2304" s="21">
        <v>0</v>
      </c>
      <c r="N2304" s="21">
        <v>0.69989065033106401</v>
      </c>
      <c r="O2304" s="20">
        <f t="shared" si="140"/>
        <v>37584.720000000001</v>
      </c>
      <c r="P2304" s="20">
        <f t="shared" si="141"/>
        <v>26305.19412331095</v>
      </c>
      <c r="Q2304" s="20">
        <f t="shared" si="142"/>
        <v>11279.525876689051</v>
      </c>
      <c r="R2304" s="22">
        <f t="shared" si="143"/>
        <v>0.30010934966893593</v>
      </c>
    </row>
    <row r="2305" spans="1:18">
      <c r="A2305" s="18">
        <v>3304</v>
      </c>
      <c r="B2305" s="19" t="s">
        <v>779</v>
      </c>
      <c r="C2305" s="18">
        <v>2025</v>
      </c>
      <c r="D2305" s="18" t="s">
        <v>61</v>
      </c>
      <c r="E2305" s="18" t="s">
        <v>88</v>
      </c>
      <c r="F2305" s="18" t="s">
        <v>89</v>
      </c>
      <c r="G2305" s="18" t="s">
        <v>44</v>
      </c>
      <c r="H2305" s="18" t="s">
        <v>114</v>
      </c>
      <c r="I2305" s="18" t="s">
        <v>58</v>
      </c>
      <c r="J2305" s="18" t="s">
        <v>82</v>
      </c>
      <c r="K2305" s="18">
        <v>9</v>
      </c>
      <c r="L2305" s="20">
        <v>8902.7900000000009</v>
      </c>
      <c r="M2305" s="21">
        <v>0.1</v>
      </c>
      <c r="N2305" s="21">
        <v>0.69071847469991399</v>
      </c>
      <c r="O2305" s="20">
        <f t="shared" si="140"/>
        <v>72112.599000000017</v>
      </c>
      <c r="P2305" s="20">
        <f t="shared" si="141"/>
        <v>49809.504387926558</v>
      </c>
      <c r="Q2305" s="20">
        <f t="shared" si="142"/>
        <v>22303.094612073459</v>
      </c>
      <c r="R2305" s="22">
        <f t="shared" si="143"/>
        <v>0.30928152530008596</v>
      </c>
    </row>
    <row r="2306" spans="1:18">
      <c r="A2306" s="18">
        <v>3305</v>
      </c>
      <c r="B2306" s="19" t="s">
        <v>779</v>
      </c>
      <c r="C2306" s="18">
        <v>2025</v>
      </c>
      <c r="D2306" s="18" t="s">
        <v>61</v>
      </c>
      <c r="E2306" s="18" t="s">
        <v>85</v>
      </c>
      <c r="F2306" s="18" t="s">
        <v>121</v>
      </c>
      <c r="G2306" s="18" t="s">
        <v>50</v>
      </c>
      <c r="H2306" s="18" t="s">
        <v>83</v>
      </c>
      <c r="I2306" s="18" t="s">
        <v>46</v>
      </c>
      <c r="J2306" s="18" t="s">
        <v>91</v>
      </c>
      <c r="K2306" s="18">
        <v>2</v>
      </c>
      <c r="L2306" s="20">
        <v>3659.74</v>
      </c>
      <c r="M2306" s="21">
        <v>0.15</v>
      </c>
      <c r="N2306" s="21">
        <v>0.72586421138335699</v>
      </c>
      <c r="O2306" s="20">
        <f t="shared" ref="O2306:O2369" si="144">K2306*L2306*(1-M2306)</f>
        <v>6221.5579999999991</v>
      </c>
      <c r="P2306" s="20">
        <f t="shared" ref="P2306:P2369" si="145">O2306*N2306</f>
        <v>4516.0062912458152</v>
      </c>
      <c r="Q2306" s="20">
        <f t="shared" ref="Q2306:Q2369" si="146">O2306-P2306</f>
        <v>1705.5517087541839</v>
      </c>
      <c r="R2306" s="22">
        <f t="shared" ref="R2306:R2369" si="147">IF(O2306=0,0,Q2306/O2306)</f>
        <v>0.27413578861664301</v>
      </c>
    </row>
    <row r="2307" spans="1:18">
      <c r="A2307" s="18">
        <v>3306</v>
      </c>
      <c r="B2307" s="19" t="s">
        <v>779</v>
      </c>
      <c r="C2307" s="18">
        <v>2025</v>
      </c>
      <c r="D2307" s="18" t="s">
        <v>61</v>
      </c>
      <c r="E2307" s="18" t="s">
        <v>85</v>
      </c>
      <c r="F2307" s="18" t="s">
        <v>94</v>
      </c>
      <c r="G2307" s="18" t="s">
        <v>50</v>
      </c>
      <c r="H2307" s="18" t="s">
        <v>87</v>
      </c>
      <c r="I2307" s="18" t="s">
        <v>52</v>
      </c>
      <c r="J2307" s="18" t="s">
        <v>102</v>
      </c>
      <c r="K2307" s="18">
        <v>5</v>
      </c>
      <c r="L2307" s="20">
        <v>9474.64</v>
      </c>
      <c r="M2307" s="21">
        <v>0</v>
      </c>
      <c r="N2307" s="21">
        <v>0.68247829252428405</v>
      </c>
      <c r="O2307" s="20">
        <f t="shared" si="144"/>
        <v>47373.2</v>
      </c>
      <c r="P2307" s="20">
        <f t="shared" si="145"/>
        <v>32331.180647411413</v>
      </c>
      <c r="Q2307" s="20">
        <f t="shared" si="146"/>
        <v>15042.019352588584</v>
      </c>
      <c r="R2307" s="22">
        <f t="shared" si="147"/>
        <v>0.3175217074757159</v>
      </c>
    </row>
    <row r="2308" spans="1:18">
      <c r="A2308" s="18">
        <v>3307</v>
      </c>
      <c r="B2308" s="19" t="s">
        <v>780</v>
      </c>
      <c r="C2308" s="18">
        <v>2025</v>
      </c>
      <c r="D2308" s="18" t="s">
        <v>63</v>
      </c>
      <c r="E2308" s="18" t="s">
        <v>88</v>
      </c>
      <c r="F2308" s="18" t="s">
        <v>89</v>
      </c>
      <c r="G2308" s="18" t="s">
        <v>41</v>
      </c>
      <c r="H2308" s="18" t="s">
        <v>90</v>
      </c>
      <c r="I2308" s="18" t="s">
        <v>56</v>
      </c>
      <c r="J2308" s="18" t="s">
        <v>82</v>
      </c>
      <c r="K2308" s="18">
        <v>9</v>
      </c>
      <c r="L2308" s="20">
        <v>17645.95</v>
      </c>
      <c r="M2308" s="21">
        <v>0.15</v>
      </c>
      <c r="N2308" s="21">
        <v>0.64667452572796003</v>
      </c>
      <c r="O2308" s="20">
        <f t="shared" si="144"/>
        <v>134991.51750000002</v>
      </c>
      <c r="P2308" s="20">
        <f t="shared" si="145"/>
        <v>87295.575556610129</v>
      </c>
      <c r="Q2308" s="20">
        <f t="shared" si="146"/>
        <v>47695.941943389887</v>
      </c>
      <c r="R2308" s="22">
        <f t="shared" si="147"/>
        <v>0.35332547427203997</v>
      </c>
    </row>
    <row r="2309" spans="1:18">
      <c r="A2309" s="18">
        <v>3308</v>
      </c>
      <c r="B2309" s="19" t="s">
        <v>780</v>
      </c>
      <c r="C2309" s="18">
        <v>2025</v>
      </c>
      <c r="D2309" s="18" t="s">
        <v>63</v>
      </c>
      <c r="E2309" s="18" t="s">
        <v>98</v>
      </c>
      <c r="F2309" s="18" t="s">
        <v>117</v>
      </c>
      <c r="G2309" s="18" t="s">
        <v>44</v>
      </c>
      <c r="H2309" s="18" t="s">
        <v>119</v>
      </c>
      <c r="I2309" s="18" t="s">
        <v>54</v>
      </c>
      <c r="J2309" s="18" t="s">
        <v>91</v>
      </c>
      <c r="K2309" s="18">
        <v>4</v>
      </c>
      <c r="L2309" s="20">
        <v>6865.32</v>
      </c>
      <c r="M2309" s="21">
        <v>0.05</v>
      </c>
      <c r="N2309" s="21">
        <v>0.69521164062511298</v>
      </c>
      <c r="O2309" s="20">
        <f t="shared" si="144"/>
        <v>26088.215999999997</v>
      </c>
      <c r="P2309" s="20">
        <f t="shared" si="145"/>
        <v>18136.831446342319</v>
      </c>
      <c r="Q2309" s="20">
        <f t="shared" si="146"/>
        <v>7951.3845536576773</v>
      </c>
      <c r="R2309" s="22">
        <f t="shared" si="147"/>
        <v>0.30478835937488707</v>
      </c>
    </row>
    <row r="2310" spans="1:18">
      <c r="A2310" s="18">
        <v>3309</v>
      </c>
      <c r="B2310" s="19" t="s">
        <v>781</v>
      </c>
      <c r="C2310" s="18">
        <v>2025</v>
      </c>
      <c r="D2310" s="18" t="s">
        <v>63</v>
      </c>
      <c r="E2310" s="18" t="s">
        <v>88</v>
      </c>
      <c r="F2310" s="18" t="s">
        <v>110</v>
      </c>
      <c r="G2310" s="18" t="s">
        <v>44</v>
      </c>
      <c r="H2310" s="18" t="s">
        <v>119</v>
      </c>
      <c r="I2310" s="18" t="s">
        <v>54</v>
      </c>
      <c r="J2310" s="18" t="s">
        <v>102</v>
      </c>
      <c r="K2310" s="18">
        <v>7</v>
      </c>
      <c r="L2310" s="20">
        <v>7240.43</v>
      </c>
      <c r="M2310" s="21">
        <v>0.15</v>
      </c>
      <c r="N2310" s="21">
        <v>0.69765095822693401</v>
      </c>
      <c r="O2310" s="20">
        <f t="shared" si="144"/>
        <v>43080.558499999999</v>
      </c>
      <c r="P2310" s="20">
        <f t="shared" si="145"/>
        <v>30055.192918476485</v>
      </c>
      <c r="Q2310" s="20">
        <f t="shared" si="146"/>
        <v>13025.365581523514</v>
      </c>
      <c r="R2310" s="22">
        <f t="shared" si="147"/>
        <v>0.30234904177306604</v>
      </c>
    </row>
    <row r="2311" spans="1:18">
      <c r="A2311" s="18">
        <v>3310</v>
      </c>
      <c r="B2311" s="19" t="s">
        <v>781</v>
      </c>
      <c r="C2311" s="18">
        <v>2025</v>
      </c>
      <c r="D2311" s="18" t="s">
        <v>63</v>
      </c>
      <c r="E2311" s="18" t="s">
        <v>98</v>
      </c>
      <c r="F2311" s="18" t="s">
        <v>117</v>
      </c>
      <c r="G2311" s="18" t="s">
        <v>47</v>
      </c>
      <c r="H2311" s="18" t="s">
        <v>107</v>
      </c>
      <c r="I2311" s="18" t="s">
        <v>62</v>
      </c>
      <c r="J2311" s="18" t="s">
        <v>82</v>
      </c>
      <c r="K2311" s="18">
        <v>1</v>
      </c>
      <c r="L2311" s="20">
        <v>2303.38</v>
      </c>
      <c r="M2311" s="21">
        <v>0.2</v>
      </c>
      <c r="N2311" s="21">
        <v>0.688191275710482</v>
      </c>
      <c r="O2311" s="20">
        <f t="shared" si="144"/>
        <v>1842.7040000000002</v>
      </c>
      <c r="P2311" s="20">
        <f t="shared" si="145"/>
        <v>1268.1328165168081</v>
      </c>
      <c r="Q2311" s="20">
        <f t="shared" si="146"/>
        <v>574.57118348319204</v>
      </c>
      <c r="R2311" s="22">
        <f t="shared" si="147"/>
        <v>0.311808724289518</v>
      </c>
    </row>
    <row r="2312" spans="1:18">
      <c r="A2312" s="18">
        <v>3311</v>
      </c>
      <c r="B2312" s="19" t="s">
        <v>781</v>
      </c>
      <c r="C2312" s="18">
        <v>2025</v>
      </c>
      <c r="D2312" s="18" t="s">
        <v>63</v>
      </c>
      <c r="E2312" s="18" t="s">
        <v>98</v>
      </c>
      <c r="F2312" s="18" t="s">
        <v>99</v>
      </c>
      <c r="G2312" s="18" t="s">
        <v>41</v>
      </c>
      <c r="H2312" s="18" t="s">
        <v>90</v>
      </c>
      <c r="I2312" s="18" t="s">
        <v>43</v>
      </c>
      <c r="J2312" s="18" t="s">
        <v>102</v>
      </c>
      <c r="K2312" s="18">
        <v>12</v>
      </c>
      <c r="L2312" s="20">
        <v>18202.43</v>
      </c>
      <c r="M2312" s="21">
        <v>0</v>
      </c>
      <c r="N2312" s="21">
        <v>0.65934039585356596</v>
      </c>
      <c r="O2312" s="20">
        <f t="shared" si="144"/>
        <v>218429.16</v>
      </c>
      <c r="P2312" s="20">
        <f t="shared" si="145"/>
        <v>144019.1688203619</v>
      </c>
      <c r="Q2312" s="20">
        <f t="shared" si="146"/>
        <v>74409.991179638106</v>
      </c>
      <c r="R2312" s="22">
        <f t="shared" si="147"/>
        <v>0.34065960414643404</v>
      </c>
    </row>
    <row r="2313" spans="1:18">
      <c r="A2313" s="18">
        <v>3312</v>
      </c>
      <c r="B2313" s="19" t="s">
        <v>781</v>
      </c>
      <c r="C2313" s="18">
        <v>2025</v>
      </c>
      <c r="D2313" s="18" t="s">
        <v>63</v>
      </c>
      <c r="E2313" s="18" t="s">
        <v>79</v>
      </c>
      <c r="F2313" s="18" t="s">
        <v>80</v>
      </c>
      <c r="G2313" s="18" t="s">
        <v>44</v>
      </c>
      <c r="H2313" s="18" t="s">
        <v>114</v>
      </c>
      <c r="I2313" s="18" t="s">
        <v>49</v>
      </c>
      <c r="J2313" s="18" t="s">
        <v>82</v>
      </c>
      <c r="K2313" s="18">
        <v>11</v>
      </c>
      <c r="L2313" s="20">
        <v>8936.1299999999992</v>
      </c>
      <c r="M2313" s="21">
        <v>0.05</v>
      </c>
      <c r="N2313" s="21">
        <v>0.59506946107352299</v>
      </c>
      <c r="O2313" s="20">
        <f t="shared" si="144"/>
        <v>93382.558499999985</v>
      </c>
      <c r="P2313" s="20">
        <f t="shared" si="145"/>
        <v>55569.108760261726</v>
      </c>
      <c r="Q2313" s="20">
        <f t="shared" si="146"/>
        <v>37813.449739738258</v>
      </c>
      <c r="R2313" s="22">
        <f t="shared" si="147"/>
        <v>0.40493053892647701</v>
      </c>
    </row>
    <row r="2314" spans="1:18">
      <c r="A2314" s="18">
        <v>3313</v>
      </c>
      <c r="B2314" s="19" t="s">
        <v>781</v>
      </c>
      <c r="C2314" s="18">
        <v>2025</v>
      </c>
      <c r="D2314" s="18" t="s">
        <v>63</v>
      </c>
      <c r="E2314" s="18" t="s">
        <v>98</v>
      </c>
      <c r="F2314" s="18" t="s">
        <v>99</v>
      </c>
      <c r="G2314" s="18" t="s">
        <v>44</v>
      </c>
      <c r="H2314" s="18" t="s">
        <v>95</v>
      </c>
      <c r="I2314" s="18" t="s">
        <v>43</v>
      </c>
      <c r="J2314" s="18" t="s">
        <v>102</v>
      </c>
      <c r="K2314" s="18">
        <v>9</v>
      </c>
      <c r="L2314" s="20">
        <v>4399.75</v>
      </c>
      <c r="M2314" s="21">
        <v>0.1</v>
      </c>
      <c r="N2314" s="21">
        <v>0.65736806843161499</v>
      </c>
      <c r="O2314" s="20">
        <f t="shared" si="144"/>
        <v>35637.974999999999</v>
      </c>
      <c r="P2314" s="20">
        <f t="shared" si="145"/>
        <v>23427.266788564182</v>
      </c>
      <c r="Q2314" s="20">
        <f t="shared" si="146"/>
        <v>12210.708211435816</v>
      </c>
      <c r="R2314" s="22">
        <f t="shared" si="147"/>
        <v>0.34263193156838506</v>
      </c>
    </row>
    <row r="2315" spans="1:18">
      <c r="A2315" s="18">
        <v>3314</v>
      </c>
      <c r="B2315" s="19" t="s">
        <v>782</v>
      </c>
      <c r="C2315" s="18">
        <v>2025</v>
      </c>
      <c r="D2315" s="18" t="s">
        <v>63</v>
      </c>
      <c r="E2315" s="18" t="s">
        <v>85</v>
      </c>
      <c r="F2315" s="18" t="s">
        <v>121</v>
      </c>
      <c r="G2315" s="18" t="s">
        <v>41</v>
      </c>
      <c r="H2315" s="18" t="s">
        <v>106</v>
      </c>
      <c r="I2315" s="18" t="s">
        <v>43</v>
      </c>
      <c r="J2315" s="18" t="s">
        <v>82</v>
      </c>
      <c r="K2315" s="18">
        <v>1</v>
      </c>
      <c r="L2315" s="20">
        <v>2420.44</v>
      </c>
      <c r="M2315" s="21">
        <v>0</v>
      </c>
      <c r="N2315" s="21">
        <v>0.71303550731861998</v>
      </c>
      <c r="O2315" s="20">
        <f t="shared" si="144"/>
        <v>2420.44</v>
      </c>
      <c r="P2315" s="20">
        <f t="shared" si="145"/>
        <v>1725.8596633342806</v>
      </c>
      <c r="Q2315" s="20">
        <f t="shared" si="146"/>
        <v>694.58033666571941</v>
      </c>
      <c r="R2315" s="22">
        <f t="shared" si="147"/>
        <v>0.28696449268138002</v>
      </c>
    </row>
    <row r="2316" spans="1:18">
      <c r="A2316" s="18">
        <v>3315</v>
      </c>
      <c r="B2316" s="19" t="s">
        <v>782</v>
      </c>
      <c r="C2316" s="18">
        <v>2025</v>
      </c>
      <c r="D2316" s="18" t="s">
        <v>63</v>
      </c>
      <c r="E2316" s="18" t="s">
        <v>98</v>
      </c>
      <c r="F2316" s="18" t="s">
        <v>109</v>
      </c>
      <c r="G2316" s="18" t="s">
        <v>44</v>
      </c>
      <c r="H2316" s="18" t="s">
        <v>95</v>
      </c>
      <c r="I2316" s="18" t="s">
        <v>52</v>
      </c>
      <c r="J2316" s="18" t="s">
        <v>82</v>
      </c>
      <c r="K2316" s="18">
        <v>12</v>
      </c>
      <c r="L2316" s="20">
        <v>4358.92</v>
      </c>
      <c r="M2316" s="21">
        <v>0</v>
      </c>
      <c r="N2316" s="21">
        <v>0.57369277284776099</v>
      </c>
      <c r="O2316" s="20">
        <f t="shared" si="144"/>
        <v>52307.040000000001</v>
      </c>
      <c r="P2316" s="20">
        <f t="shared" si="145"/>
        <v>30008.170817058748</v>
      </c>
      <c r="Q2316" s="20">
        <f t="shared" si="146"/>
        <v>22298.869182941253</v>
      </c>
      <c r="R2316" s="22">
        <f t="shared" si="147"/>
        <v>0.42630722715223901</v>
      </c>
    </row>
    <row r="2317" spans="1:18">
      <c r="A2317" s="18">
        <v>3316</v>
      </c>
      <c r="B2317" s="19" t="s">
        <v>782</v>
      </c>
      <c r="C2317" s="18">
        <v>2025</v>
      </c>
      <c r="D2317" s="18" t="s">
        <v>63</v>
      </c>
      <c r="E2317" s="18" t="s">
        <v>85</v>
      </c>
      <c r="F2317" s="18" t="s">
        <v>86</v>
      </c>
      <c r="G2317" s="18" t="s">
        <v>47</v>
      </c>
      <c r="H2317" s="18" t="s">
        <v>103</v>
      </c>
      <c r="I2317" s="18" t="s">
        <v>60</v>
      </c>
      <c r="J2317" s="18" t="s">
        <v>91</v>
      </c>
      <c r="K2317" s="18">
        <v>1</v>
      </c>
      <c r="L2317" s="20">
        <v>3303.61</v>
      </c>
      <c r="M2317" s="21">
        <v>0</v>
      </c>
      <c r="N2317" s="21">
        <v>0.64933425209265605</v>
      </c>
      <c r="O2317" s="20">
        <f t="shared" si="144"/>
        <v>3303.61</v>
      </c>
      <c r="P2317" s="20">
        <f t="shared" si="145"/>
        <v>2145.1471285558196</v>
      </c>
      <c r="Q2317" s="20">
        <f t="shared" si="146"/>
        <v>1158.4628714441806</v>
      </c>
      <c r="R2317" s="22">
        <f t="shared" si="147"/>
        <v>0.35066574790734395</v>
      </c>
    </row>
    <row r="2318" spans="1:18">
      <c r="A2318" s="18">
        <v>3317</v>
      </c>
      <c r="B2318" s="19" t="s">
        <v>782</v>
      </c>
      <c r="C2318" s="18">
        <v>2025</v>
      </c>
      <c r="D2318" s="18" t="s">
        <v>63</v>
      </c>
      <c r="E2318" s="18" t="s">
        <v>79</v>
      </c>
      <c r="F2318" s="18" t="s">
        <v>80</v>
      </c>
      <c r="G2318" s="18" t="s">
        <v>50</v>
      </c>
      <c r="H2318" s="18" t="s">
        <v>83</v>
      </c>
      <c r="I2318" s="18" t="s">
        <v>40</v>
      </c>
      <c r="J2318" s="18" t="s">
        <v>82</v>
      </c>
      <c r="K2318" s="18">
        <v>3</v>
      </c>
      <c r="L2318" s="20">
        <v>3346.87</v>
      </c>
      <c r="M2318" s="21">
        <v>0.2</v>
      </c>
      <c r="N2318" s="21">
        <v>0.59032888577138598</v>
      </c>
      <c r="O2318" s="20">
        <f t="shared" si="144"/>
        <v>8032.4880000000012</v>
      </c>
      <c r="P2318" s="20">
        <f t="shared" si="145"/>
        <v>4741.8096910120294</v>
      </c>
      <c r="Q2318" s="20">
        <f t="shared" si="146"/>
        <v>3290.6783089879718</v>
      </c>
      <c r="R2318" s="22">
        <f t="shared" si="147"/>
        <v>0.40967111422861402</v>
      </c>
    </row>
    <row r="2319" spans="1:18">
      <c r="A2319" s="18">
        <v>3318</v>
      </c>
      <c r="B2319" s="19" t="s">
        <v>782</v>
      </c>
      <c r="C2319" s="18">
        <v>2025</v>
      </c>
      <c r="D2319" s="18" t="s">
        <v>63</v>
      </c>
      <c r="E2319" s="18" t="s">
        <v>85</v>
      </c>
      <c r="F2319" s="18" t="s">
        <v>94</v>
      </c>
      <c r="G2319" s="18" t="s">
        <v>41</v>
      </c>
      <c r="H2319" s="18" t="s">
        <v>90</v>
      </c>
      <c r="I2319" s="18" t="s">
        <v>43</v>
      </c>
      <c r="J2319" s="18" t="s">
        <v>91</v>
      </c>
      <c r="K2319" s="18">
        <v>1</v>
      </c>
      <c r="L2319" s="20">
        <v>18789.05</v>
      </c>
      <c r="M2319" s="21">
        <v>0</v>
      </c>
      <c r="N2319" s="21">
        <v>0.60956280517426698</v>
      </c>
      <c r="O2319" s="20">
        <f t="shared" si="144"/>
        <v>18789.05</v>
      </c>
      <c r="P2319" s="20">
        <f t="shared" si="145"/>
        <v>11453.10602455956</v>
      </c>
      <c r="Q2319" s="20">
        <f t="shared" si="146"/>
        <v>7335.9439754404393</v>
      </c>
      <c r="R2319" s="22">
        <f t="shared" si="147"/>
        <v>0.39043719482573302</v>
      </c>
    </row>
    <row r="2320" spans="1:18">
      <c r="A2320" s="18">
        <v>3319</v>
      </c>
      <c r="B2320" s="19" t="s">
        <v>783</v>
      </c>
      <c r="C2320" s="18">
        <v>2025</v>
      </c>
      <c r="D2320" s="18" t="s">
        <v>63</v>
      </c>
      <c r="E2320" s="18" t="s">
        <v>79</v>
      </c>
      <c r="F2320" s="18" t="s">
        <v>100</v>
      </c>
      <c r="G2320" s="18" t="s">
        <v>41</v>
      </c>
      <c r="H2320" s="18" t="s">
        <v>112</v>
      </c>
      <c r="I2320" s="18" t="s">
        <v>43</v>
      </c>
      <c r="J2320" s="18" t="s">
        <v>102</v>
      </c>
      <c r="K2320" s="18">
        <v>8</v>
      </c>
      <c r="L2320" s="20">
        <v>6157.16</v>
      </c>
      <c r="M2320" s="21">
        <v>0.15</v>
      </c>
      <c r="N2320" s="21">
        <v>0.63298817581770905</v>
      </c>
      <c r="O2320" s="20">
        <f t="shared" si="144"/>
        <v>41868.687999999995</v>
      </c>
      <c r="P2320" s="20">
        <f t="shared" si="145"/>
        <v>26502.384441000802</v>
      </c>
      <c r="Q2320" s="20">
        <f t="shared" si="146"/>
        <v>15366.303558999192</v>
      </c>
      <c r="R2320" s="22">
        <f t="shared" si="147"/>
        <v>0.36701182418229095</v>
      </c>
    </row>
    <row r="2321" spans="1:18">
      <c r="A2321" s="18">
        <v>3320</v>
      </c>
      <c r="B2321" s="19" t="s">
        <v>783</v>
      </c>
      <c r="C2321" s="18">
        <v>2025</v>
      </c>
      <c r="D2321" s="18" t="s">
        <v>63</v>
      </c>
      <c r="E2321" s="18" t="s">
        <v>79</v>
      </c>
      <c r="F2321" s="18" t="s">
        <v>80</v>
      </c>
      <c r="G2321" s="18" t="s">
        <v>50</v>
      </c>
      <c r="H2321" s="18" t="s">
        <v>83</v>
      </c>
      <c r="I2321" s="18" t="s">
        <v>54</v>
      </c>
      <c r="J2321" s="18" t="s">
        <v>102</v>
      </c>
      <c r="K2321" s="18">
        <v>12</v>
      </c>
      <c r="L2321" s="20">
        <v>3540.89</v>
      </c>
      <c r="M2321" s="21">
        <v>0</v>
      </c>
      <c r="N2321" s="21">
        <v>0.69435170815486702</v>
      </c>
      <c r="O2321" s="20">
        <f t="shared" si="144"/>
        <v>42490.68</v>
      </c>
      <c r="P2321" s="20">
        <f t="shared" si="145"/>
        <v>29503.476238661846</v>
      </c>
      <c r="Q2321" s="20">
        <f t="shared" si="146"/>
        <v>12987.203761338154</v>
      </c>
      <c r="R2321" s="22">
        <f t="shared" si="147"/>
        <v>0.30564829184513298</v>
      </c>
    </row>
    <row r="2322" spans="1:18">
      <c r="A2322" s="18">
        <v>3321</v>
      </c>
      <c r="B2322" s="19" t="s">
        <v>783</v>
      </c>
      <c r="C2322" s="18">
        <v>2025</v>
      </c>
      <c r="D2322" s="18" t="s">
        <v>63</v>
      </c>
      <c r="E2322" s="18" t="s">
        <v>98</v>
      </c>
      <c r="F2322" s="18" t="s">
        <v>117</v>
      </c>
      <c r="G2322" s="18" t="s">
        <v>47</v>
      </c>
      <c r="H2322" s="18" t="s">
        <v>103</v>
      </c>
      <c r="I2322" s="18" t="s">
        <v>58</v>
      </c>
      <c r="J2322" s="18" t="s">
        <v>102</v>
      </c>
      <c r="K2322" s="18">
        <v>6</v>
      </c>
      <c r="L2322" s="20">
        <v>3317.55</v>
      </c>
      <c r="M2322" s="21">
        <v>0</v>
      </c>
      <c r="N2322" s="21">
        <v>0.67573726344180196</v>
      </c>
      <c r="O2322" s="20">
        <f t="shared" si="144"/>
        <v>19905.300000000003</v>
      </c>
      <c r="P2322" s="20">
        <f t="shared" si="145"/>
        <v>13450.752949988102</v>
      </c>
      <c r="Q2322" s="20">
        <f t="shared" si="146"/>
        <v>6454.5470500119009</v>
      </c>
      <c r="R2322" s="22">
        <f t="shared" si="147"/>
        <v>0.32426273655819804</v>
      </c>
    </row>
    <row r="2323" spans="1:18">
      <c r="A2323" s="18">
        <v>3322</v>
      </c>
      <c r="B2323" s="19" t="s">
        <v>783</v>
      </c>
      <c r="C2323" s="18">
        <v>2025</v>
      </c>
      <c r="D2323" s="18" t="s">
        <v>63</v>
      </c>
      <c r="E2323" s="18" t="s">
        <v>79</v>
      </c>
      <c r="F2323" s="18" t="s">
        <v>100</v>
      </c>
      <c r="G2323" s="18" t="s">
        <v>50</v>
      </c>
      <c r="H2323" s="18" t="s">
        <v>97</v>
      </c>
      <c r="I2323" s="18" t="s">
        <v>49</v>
      </c>
      <c r="J2323" s="18" t="s">
        <v>91</v>
      </c>
      <c r="K2323" s="18">
        <v>9</v>
      </c>
      <c r="L2323" s="20">
        <v>11598.78</v>
      </c>
      <c r="M2323" s="21">
        <v>0</v>
      </c>
      <c r="N2323" s="21">
        <v>0.55452676336846995</v>
      </c>
      <c r="O2323" s="20">
        <f t="shared" si="144"/>
        <v>104389.02</v>
      </c>
      <c r="P2323" s="20">
        <f t="shared" si="145"/>
        <v>57886.50539180648</v>
      </c>
      <c r="Q2323" s="20">
        <f t="shared" si="146"/>
        <v>46502.514608193524</v>
      </c>
      <c r="R2323" s="22">
        <f t="shared" si="147"/>
        <v>0.44547323663153005</v>
      </c>
    </row>
    <row r="2324" spans="1:18">
      <c r="A2324" s="18">
        <v>3323</v>
      </c>
      <c r="B2324" s="19" t="s">
        <v>783</v>
      </c>
      <c r="C2324" s="18">
        <v>2025</v>
      </c>
      <c r="D2324" s="18" t="s">
        <v>63</v>
      </c>
      <c r="E2324" s="18" t="s">
        <v>88</v>
      </c>
      <c r="F2324" s="18" t="s">
        <v>93</v>
      </c>
      <c r="G2324" s="18" t="s">
        <v>50</v>
      </c>
      <c r="H2324" s="18" t="s">
        <v>87</v>
      </c>
      <c r="I2324" s="18" t="s">
        <v>40</v>
      </c>
      <c r="J2324" s="18" t="s">
        <v>91</v>
      </c>
      <c r="K2324" s="18">
        <v>3</v>
      </c>
      <c r="L2324" s="20">
        <v>9765.42</v>
      </c>
      <c r="M2324" s="21">
        <v>0.15</v>
      </c>
      <c r="N2324" s="21">
        <v>0.702090558493492</v>
      </c>
      <c r="O2324" s="20">
        <f t="shared" si="144"/>
        <v>24901.821</v>
      </c>
      <c r="P2324" s="20">
        <f t="shared" si="145"/>
        <v>17483.333413394968</v>
      </c>
      <c r="Q2324" s="20">
        <f t="shared" si="146"/>
        <v>7418.4875866050315</v>
      </c>
      <c r="R2324" s="22">
        <f t="shared" si="147"/>
        <v>0.29790944150650794</v>
      </c>
    </row>
    <row r="2325" spans="1:18">
      <c r="A2325" s="18">
        <v>3324</v>
      </c>
      <c r="B2325" s="19" t="s">
        <v>784</v>
      </c>
      <c r="C2325" s="18">
        <v>2025</v>
      </c>
      <c r="D2325" s="18" t="s">
        <v>63</v>
      </c>
      <c r="E2325" s="18" t="s">
        <v>85</v>
      </c>
      <c r="F2325" s="18" t="s">
        <v>86</v>
      </c>
      <c r="G2325" s="18" t="s">
        <v>50</v>
      </c>
      <c r="H2325" s="18" t="s">
        <v>83</v>
      </c>
      <c r="I2325" s="18" t="s">
        <v>56</v>
      </c>
      <c r="J2325" s="18" t="s">
        <v>82</v>
      </c>
      <c r="K2325" s="18">
        <v>9</v>
      </c>
      <c r="L2325" s="20">
        <v>3566.59</v>
      </c>
      <c r="M2325" s="21">
        <v>0</v>
      </c>
      <c r="N2325" s="21">
        <v>0.70583944710428903</v>
      </c>
      <c r="O2325" s="20">
        <f t="shared" si="144"/>
        <v>32099.31</v>
      </c>
      <c r="P2325" s="20">
        <f t="shared" si="145"/>
        <v>22656.959222829177</v>
      </c>
      <c r="Q2325" s="20">
        <f t="shared" si="146"/>
        <v>9442.3507771708246</v>
      </c>
      <c r="R2325" s="22">
        <f t="shared" si="147"/>
        <v>0.29416055289571097</v>
      </c>
    </row>
    <row r="2326" spans="1:18">
      <c r="A2326" s="18">
        <v>3325</v>
      </c>
      <c r="B2326" s="19" t="s">
        <v>784</v>
      </c>
      <c r="C2326" s="18">
        <v>2025</v>
      </c>
      <c r="D2326" s="18" t="s">
        <v>63</v>
      </c>
      <c r="E2326" s="18" t="s">
        <v>85</v>
      </c>
      <c r="F2326" s="18" t="s">
        <v>86</v>
      </c>
      <c r="G2326" s="18" t="s">
        <v>44</v>
      </c>
      <c r="H2326" s="18" t="s">
        <v>119</v>
      </c>
      <c r="I2326" s="18" t="s">
        <v>62</v>
      </c>
      <c r="J2326" s="18" t="s">
        <v>102</v>
      </c>
      <c r="K2326" s="18">
        <v>11</v>
      </c>
      <c r="L2326" s="20">
        <v>7341.49</v>
      </c>
      <c r="M2326" s="21">
        <v>0.05</v>
      </c>
      <c r="N2326" s="21">
        <v>0.64622435493828401</v>
      </c>
      <c r="O2326" s="20">
        <f t="shared" si="144"/>
        <v>76718.570500000002</v>
      </c>
      <c r="P2326" s="20">
        <f t="shared" si="145"/>
        <v>49577.408733149765</v>
      </c>
      <c r="Q2326" s="20">
        <f t="shared" si="146"/>
        <v>27141.161766850237</v>
      </c>
      <c r="R2326" s="22">
        <f t="shared" si="147"/>
        <v>0.35377564506171599</v>
      </c>
    </row>
    <row r="2327" spans="1:18">
      <c r="A2327" s="18">
        <v>3326</v>
      </c>
      <c r="B2327" s="19" t="s">
        <v>784</v>
      </c>
      <c r="C2327" s="18">
        <v>2025</v>
      </c>
      <c r="D2327" s="18" t="s">
        <v>63</v>
      </c>
      <c r="E2327" s="18" t="s">
        <v>79</v>
      </c>
      <c r="F2327" s="18" t="s">
        <v>80</v>
      </c>
      <c r="G2327" s="18" t="s">
        <v>44</v>
      </c>
      <c r="H2327" s="18" t="s">
        <v>114</v>
      </c>
      <c r="I2327" s="18" t="s">
        <v>54</v>
      </c>
      <c r="J2327" s="18" t="s">
        <v>82</v>
      </c>
      <c r="K2327" s="18">
        <v>1</v>
      </c>
      <c r="L2327" s="20">
        <v>8952.67</v>
      </c>
      <c r="M2327" s="21">
        <v>0.1</v>
      </c>
      <c r="N2327" s="21">
        <v>0.66193163970603197</v>
      </c>
      <c r="O2327" s="20">
        <f t="shared" si="144"/>
        <v>8057.4030000000002</v>
      </c>
      <c r="P2327" s="20">
        <f t="shared" si="145"/>
        <v>5333.4499795623015</v>
      </c>
      <c r="Q2327" s="20">
        <f t="shared" si="146"/>
        <v>2723.9530204376988</v>
      </c>
      <c r="R2327" s="22">
        <f t="shared" si="147"/>
        <v>0.33806836029396803</v>
      </c>
    </row>
    <row r="2328" spans="1:18">
      <c r="A2328" s="18">
        <v>3327</v>
      </c>
      <c r="B2328" s="19" t="s">
        <v>785</v>
      </c>
      <c r="C2328" s="18">
        <v>2025</v>
      </c>
      <c r="D2328" s="18" t="s">
        <v>63</v>
      </c>
      <c r="E2328" s="18" t="s">
        <v>79</v>
      </c>
      <c r="F2328" s="18" t="s">
        <v>100</v>
      </c>
      <c r="G2328" s="18" t="s">
        <v>47</v>
      </c>
      <c r="H2328" s="18" t="s">
        <v>103</v>
      </c>
      <c r="I2328" s="18" t="s">
        <v>40</v>
      </c>
      <c r="J2328" s="18" t="s">
        <v>102</v>
      </c>
      <c r="K2328" s="18">
        <v>12</v>
      </c>
      <c r="L2328" s="20">
        <v>3269.22</v>
      </c>
      <c r="M2328" s="21">
        <v>0.05</v>
      </c>
      <c r="N2328" s="21">
        <v>0.70687562577709295</v>
      </c>
      <c r="O2328" s="20">
        <f t="shared" si="144"/>
        <v>37269.108</v>
      </c>
      <c r="P2328" s="20">
        <f t="shared" si="145"/>
        <v>26344.62403965406</v>
      </c>
      <c r="Q2328" s="20">
        <f t="shared" si="146"/>
        <v>10924.48396034594</v>
      </c>
      <c r="R2328" s="22">
        <f t="shared" si="147"/>
        <v>0.2931243742229071</v>
      </c>
    </row>
    <row r="2329" spans="1:18">
      <c r="A2329" s="18">
        <v>3328</v>
      </c>
      <c r="B2329" s="19" t="s">
        <v>785</v>
      </c>
      <c r="C2329" s="18">
        <v>2025</v>
      </c>
      <c r="D2329" s="18" t="s">
        <v>63</v>
      </c>
      <c r="E2329" s="18" t="s">
        <v>85</v>
      </c>
      <c r="F2329" s="18" t="s">
        <v>94</v>
      </c>
      <c r="G2329" s="18" t="s">
        <v>41</v>
      </c>
      <c r="H2329" s="18" t="s">
        <v>90</v>
      </c>
      <c r="I2329" s="18" t="s">
        <v>46</v>
      </c>
      <c r="J2329" s="18" t="s">
        <v>102</v>
      </c>
      <c r="K2329" s="18">
        <v>5</v>
      </c>
      <c r="L2329" s="20">
        <v>18304.43</v>
      </c>
      <c r="M2329" s="21">
        <v>0.05</v>
      </c>
      <c r="N2329" s="21">
        <v>0.58883093118429597</v>
      </c>
      <c r="O2329" s="20">
        <f t="shared" si="144"/>
        <v>86946.042499999996</v>
      </c>
      <c r="P2329" s="20">
        <f t="shared" si="145"/>
        <v>51196.519168064369</v>
      </c>
      <c r="Q2329" s="20">
        <f t="shared" si="146"/>
        <v>35749.523331935627</v>
      </c>
      <c r="R2329" s="22">
        <f t="shared" si="147"/>
        <v>0.41116906881570403</v>
      </c>
    </row>
    <row r="2330" spans="1:18">
      <c r="A2330" s="18">
        <v>3329</v>
      </c>
      <c r="B2330" s="19" t="s">
        <v>786</v>
      </c>
      <c r="C2330" s="18">
        <v>2025</v>
      </c>
      <c r="D2330" s="18" t="s">
        <v>63</v>
      </c>
      <c r="E2330" s="18" t="s">
        <v>88</v>
      </c>
      <c r="F2330" s="18" t="s">
        <v>89</v>
      </c>
      <c r="G2330" s="18" t="s">
        <v>44</v>
      </c>
      <c r="H2330" s="18" t="s">
        <v>119</v>
      </c>
      <c r="I2330" s="18" t="s">
        <v>43</v>
      </c>
      <c r="J2330" s="18" t="s">
        <v>91</v>
      </c>
      <c r="K2330" s="18">
        <v>10</v>
      </c>
      <c r="L2330" s="20">
        <v>6676.64</v>
      </c>
      <c r="M2330" s="21">
        <v>0.1</v>
      </c>
      <c r="N2330" s="21">
        <v>0.67049296448959395</v>
      </c>
      <c r="O2330" s="20">
        <f t="shared" si="144"/>
        <v>60089.760000000009</v>
      </c>
      <c r="P2330" s="20">
        <f t="shared" si="145"/>
        <v>40289.76131786823</v>
      </c>
      <c r="Q2330" s="20">
        <f t="shared" si="146"/>
        <v>19799.99868213178</v>
      </c>
      <c r="R2330" s="22">
        <f t="shared" si="147"/>
        <v>0.32950703551040605</v>
      </c>
    </row>
    <row r="2331" spans="1:18">
      <c r="A2331" s="18">
        <v>3330</v>
      </c>
      <c r="B2331" s="19" t="s">
        <v>786</v>
      </c>
      <c r="C2331" s="18">
        <v>2025</v>
      </c>
      <c r="D2331" s="18" t="s">
        <v>63</v>
      </c>
      <c r="E2331" s="18" t="s">
        <v>85</v>
      </c>
      <c r="F2331" s="18" t="s">
        <v>94</v>
      </c>
      <c r="G2331" s="18" t="s">
        <v>47</v>
      </c>
      <c r="H2331" s="18" t="s">
        <v>107</v>
      </c>
      <c r="I2331" s="18" t="s">
        <v>52</v>
      </c>
      <c r="J2331" s="18" t="s">
        <v>91</v>
      </c>
      <c r="K2331" s="18">
        <v>11</v>
      </c>
      <c r="L2331" s="20">
        <v>2193.88</v>
      </c>
      <c r="M2331" s="21">
        <v>0.1</v>
      </c>
      <c r="N2331" s="21">
        <v>0.71016940391433803</v>
      </c>
      <c r="O2331" s="20">
        <f t="shared" si="144"/>
        <v>21719.412</v>
      </c>
      <c r="P2331" s="20">
        <f t="shared" si="145"/>
        <v>15424.46187340992</v>
      </c>
      <c r="Q2331" s="20">
        <f t="shared" si="146"/>
        <v>6294.9501265900799</v>
      </c>
      <c r="R2331" s="22">
        <f t="shared" si="147"/>
        <v>0.28983059608566197</v>
      </c>
    </row>
    <row r="2332" spans="1:18">
      <c r="A2332" s="18">
        <v>3331</v>
      </c>
      <c r="B2332" s="19" t="s">
        <v>786</v>
      </c>
      <c r="C2332" s="18">
        <v>2025</v>
      </c>
      <c r="D2332" s="18" t="s">
        <v>63</v>
      </c>
      <c r="E2332" s="18" t="s">
        <v>98</v>
      </c>
      <c r="F2332" s="18" t="s">
        <v>117</v>
      </c>
      <c r="G2332" s="18" t="s">
        <v>50</v>
      </c>
      <c r="H2332" s="18" t="s">
        <v>87</v>
      </c>
      <c r="I2332" s="18" t="s">
        <v>43</v>
      </c>
      <c r="J2332" s="18" t="s">
        <v>82</v>
      </c>
      <c r="K2332" s="18">
        <v>10</v>
      </c>
      <c r="L2332" s="20">
        <v>9832.2199999999993</v>
      </c>
      <c r="M2332" s="21">
        <v>0.05</v>
      </c>
      <c r="N2332" s="21">
        <v>0.68939629159654403</v>
      </c>
      <c r="O2332" s="20">
        <f t="shared" si="144"/>
        <v>93406.09</v>
      </c>
      <c r="P2332" s="20">
        <f t="shared" si="145"/>
        <v>64393.812058533033</v>
      </c>
      <c r="Q2332" s="20">
        <f t="shared" si="146"/>
        <v>29012.277941466964</v>
      </c>
      <c r="R2332" s="22">
        <f t="shared" si="147"/>
        <v>0.31060370840345597</v>
      </c>
    </row>
    <row r="2333" spans="1:18">
      <c r="A2333" s="18">
        <v>3332</v>
      </c>
      <c r="B2333" s="19" t="s">
        <v>787</v>
      </c>
      <c r="C2333" s="18">
        <v>2025</v>
      </c>
      <c r="D2333" s="18" t="s">
        <v>63</v>
      </c>
      <c r="E2333" s="18" t="s">
        <v>79</v>
      </c>
      <c r="F2333" s="18" t="s">
        <v>105</v>
      </c>
      <c r="G2333" s="18" t="s">
        <v>41</v>
      </c>
      <c r="H2333" s="18" t="s">
        <v>90</v>
      </c>
      <c r="I2333" s="18" t="s">
        <v>56</v>
      </c>
      <c r="J2333" s="18" t="s">
        <v>91</v>
      </c>
      <c r="K2333" s="18">
        <v>3</v>
      </c>
      <c r="L2333" s="20">
        <v>17799.11</v>
      </c>
      <c r="M2333" s="21">
        <v>0</v>
      </c>
      <c r="N2333" s="21">
        <v>0.64606854457816998</v>
      </c>
      <c r="O2333" s="20">
        <f t="shared" si="144"/>
        <v>53397.33</v>
      </c>
      <c r="P2333" s="20">
        <f t="shared" si="145"/>
        <v>34498.335277460254</v>
      </c>
      <c r="Q2333" s="20">
        <f t="shared" si="146"/>
        <v>18898.994722539748</v>
      </c>
      <c r="R2333" s="22">
        <f t="shared" si="147"/>
        <v>0.35393145542183002</v>
      </c>
    </row>
    <row r="2334" spans="1:18">
      <c r="A2334" s="18">
        <v>3333</v>
      </c>
      <c r="B2334" s="19" t="s">
        <v>787</v>
      </c>
      <c r="C2334" s="18">
        <v>2025</v>
      </c>
      <c r="D2334" s="18" t="s">
        <v>63</v>
      </c>
      <c r="E2334" s="18" t="s">
        <v>79</v>
      </c>
      <c r="F2334" s="18" t="s">
        <v>100</v>
      </c>
      <c r="G2334" s="18" t="s">
        <v>44</v>
      </c>
      <c r="H2334" s="18" t="s">
        <v>114</v>
      </c>
      <c r="I2334" s="18" t="s">
        <v>40</v>
      </c>
      <c r="J2334" s="18" t="s">
        <v>102</v>
      </c>
      <c r="K2334" s="18">
        <v>9</v>
      </c>
      <c r="L2334" s="20">
        <v>9240.16</v>
      </c>
      <c r="M2334" s="21">
        <v>0</v>
      </c>
      <c r="N2334" s="21">
        <v>0.60641386039336698</v>
      </c>
      <c r="O2334" s="20">
        <f t="shared" si="144"/>
        <v>83161.440000000002</v>
      </c>
      <c r="P2334" s="20">
        <f t="shared" si="145"/>
        <v>50430.249866271362</v>
      </c>
      <c r="Q2334" s="20">
        <f t="shared" si="146"/>
        <v>32731.19013372864</v>
      </c>
      <c r="R2334" s="22">
        <f t="shared" si="147"/>
        <v>0.39358613960663308</v>
      </c>
    </row>
    <row r="2335" spans="1:18">
      <c r="A2335" s="18">
        <v>3334</v>
      </c>
      <c r="B2335" s="19" t="s">
        <v>787</v>
      </c>
      <c r="C2335" s="18">
        <v>2025</v>
      </c>
      <c r="D2335" s="18" t="s">
        <v>63</v>
      </c>
      <c r="E2335" s="18" t="s">
        <v>88</v>
      </c>
      <c r="F2335" s="18" t="s">
        <v>93</v>
      </c>
      <c r="G2335" s="18" t="s">
        <v>41</v>
      </c>
      <c r="H2335" s="18" t="s">
        <v>101</v>
      </c>
      <c r="I2335" s="18" t="s">
        <v>62</v>
      </c>
      <c r="J2335" s="18" t="s">
        <v>82</v>
      </c>
      <c r="K2335" s="18">
        <v>5</v>
      </c>
      <c r="L2335" s="20">
        <v>55230.06</v>
      </c>
      <c r="M2335" s="21">
        <v>0.05</v>
      </c>
      <c r="N2335" s="21">
        <v>0.65067784349018098</v>
      </c>
      <c r="O2335" s="20">
        <f t="shared" si="144"/>
        <v>262342.78499999997</v>
      </c>
      <c r="P2335" s="20">
        <f t="shared" si="145"/>
        <v>170700.63759900819</v>
      </c>
      <c r="Q2335" s="20">
        <f t="shared" si="146"/>
        <v>91642.147400991787</v>
      </c>
      <c r="R2335" s="22">
        <f t="shared" si="147"/>
        <v>0.34932215650981902</v>
      </c>
    </row>
    <row r="2336" spans="1:18">
      <c r="A2336" s="18">
        <v>3335</v>
      </c>
      <c r="B2336" s="19" t="s">
        <v>788</v>
      </c>
      <c r="C2336" s="18">
        <v>2025</v>
      </c>
      <c r="D2336" s="18" t="s">
        <v>63</v>
      </c>
      <c r="E2336" s="18" t="s">
        <v>79</v>
      </c>
      <c r="F2336" s="18" t="s">
        <v>100</v>
      </c>
      <c r="G2336" s="18" t="s">
        <v>47</v>
      </c>
      <c r="H2336" s="18" t="s">
        <v>81</v>
      </c>
      <c r="I2336" s="18" t="s">
        <v>56</v>
      </c>
      <c r="J2336" s="18" t="s">
        <v>102</v>
      </c>
      <c r="K2336" s="18">
        <v>2</v>
      </c>
      <c r="L2336" s="20">
        <v>825.12</v>
      </c>
      <c r="M2336" s="21">
        <v>0.05</v>
      </c>
      <c r="N2336" s="21">
        <v>0.72163033072446803</v>
      </c>
      <c r="O2336" s="20">
        <f t="shared" si="144"/>
        <v>1567.7279999999998</v>
      </c>
      <c r="P2336" s="20">
        <f t="shared" si="145"/>
        <v>1131.3200751260088</v>
      </c>
      <c r="Q2336" s="20">
        <f t="shared" si="146"/>
        <v>436.40792487399108</v>
      </c>
      <c r="R2336" s="22">
        <f t="shared" si="147"/>
        <v>0.27836966927553192</v>
      </c>
    </row>
    <row r="2337" spans="1:18">
      <c r="A2337" s="18">
        <v>3336</v>
      </c>
      <c r="B2337" s="19" t="s">
        <v>788</v>
      </c>
      <c r="C2337" s="18">
        <v>2025</v>
      </c>
      <c r="D2337" s="18" t="s">
        <v>63</v>
      </c>
      <c r="E2337" s="18" t="s">
        <v>79</v>
      </c>
      <c r="F2337" s="18" t="s">
        <v>100</v>
      </c>
      <c r="G2337" s="18" t="s">
        <v>41</v>
      </c>
      <c r="H2337" s="18" t="s">
        <v>106</v>
      </c>
      <c r="I2337" s="18" t="s">
        <v>43</v>
      </c>
      <c r="J2337" s="18" t="s">
        <v>91</v>
      </c>
      <c r="K2337" s="18">
        <v>8</v>
      </c>
      <c r="L2337" s="20">
        <v>2554.92</v>
      </c>
      <c r="M2337" s="21">
        <v>0.2</v>
      </c>
      <c r="N2337" s="21">
        <v>0.66000990120941705</v>
      </c>
      <c r="O2337" s="20">
        <f t="shared" si="144"/>
        <v>16351.488000000001</v>
      </c>
      <c r="P2337" s="20">
        <f t="shared" si="145"/>
        <v>10792.143979506969</v>
      </c>
      <c r="Q2337" s="20">
        <f t="shared" si="146"/>
        <v>5559.3440204930321</v>
      </c>
      <c r="R2337" s="22">
        <f t="shared" si="147"/>
        <v>0.33999009879058295</v>
      </c>
    </row>
    <row r="2338" spans="1:18">
      <c r="A2338" s="18">
        <v>3337</v>
      </c>
      <c r="B2338" s="19" t="s">
        <v>788</v>
      </c>
      <c r="C2338" s="18">
        <v>2025</v>
      </c>
      <c r="D2338" s="18" t="s">
        <v>63</v>
      </c>
      <c r="E2338" s="18" t="s">
        <v>85</v>
      </c>
      <c r="F2338" s="18" t="s">
        <v>94</v>
      </c>
      <c r="G2338" s="18" t="s">
        <v>47</v>
      </c>
      <c r="H2338" s="18" t="s">
        <v>107</v>
      </c>
      <c r="I2338" s="18" t="s">
        <v>49</v>
      </c>
      <c r="J2338" s="18" t="s">
        <v>82</v>
      </c>
      <c r="K2338" s="18">
        <v>11</v>
      </c>
      <c r="L2338" s="20">
        <v>2280.9</v>
      </c>
      <c r="M2338" s="21">
        <v>0.15</v>
      </c>
      <c r="N2338" s="21">
        <v>0.72250035305320504</v>
      </c>
      <c r="O2338" s="20">
        <f t="shared" si="144"/>
        <v>21326.415000000001</v>
      </c>
      <c r="P2338" s="20">
        <f t="shared" si="145"/>
        <v>15408.342366859168</v>
      </c>
      <c r="Q2338" s="20">
        <f t="shared" si="146"/>
        <v>5918.0726331408332</v>
      </c>
      <c r="R2338" s="22">
        <f t="shared" si="147"/>
        <v>0.27749964694679502</v>
      </c>
    </row>
    <row r="2339" spans="1:18">
      <c r="A2339" s="18">
        <v>3338</v>
      </c>
      <c r="B2339" s="19" t="s">
        <v>789</v>
      </c>
      <c r="C2339" s="18">
        <v>2025</v>
      </c>
      <c r="D2339" s="18" t="s">
        <v>63</v>
      </c>
      <c r="E2339" s="18" t="s">
        <v>98</v>
      </c>
      <c r="F2339" s="18" t="s">
        <v>99</v>
      </c>
      <c r="G2339" s="18" t="s">
        <v>41</v>
      </c>
      <c r="H2339" s="18" t="s">
        <v>90</v>
      </c>
      <c r="I2339" s="18" t="s">
        <v>40</v>
      </c>
      <c r="J2339" s="18" t="s">
        <v>91</v>
      </c>
      <c r="K2339" s="18">
        <v>1</v>
      </c>
      <c r="L2339" s="20">
        <v>18576.330000000002</v>
      </c>
      <c r="M2339" s="21">
        <v>0.05</v>
      </c>
      <c r="N2339" s="21">
        <v>0.73241679444710805</v>
      </c>
      <c r="O2339" s="20">
        <f t="shared" si="144"/>
        <v>17647.513500000001</v>
      </c>
      <c r="P2339" s="20">
        <f t="shared" si="145"/>
        <v>12925.335267632065</v>
      </c>
      <c r="Q2339" s="20">
        <f t="shared" si="146"/>
        <v>4722.1782323679363</v>
      </c>
      <c r="R2339" s="22">
        <f t="shared" si="147"/>
        <v>0.26758320555289195</v>
      </c>
    </row>
    <row r="2340" spans="1:18">
      <c r="A2340" s="18">
        <v>3339</v>
      </c>
      <c r="B2340" s="19" t="s">
        <v>789</v>
      </c>
      <c r="C2340" s="18">
        <v>2025</v>
      </c>
      <c r="D2340" s="18" t="s">
        <v>63</v>
      </c>
      <c r="E2340" s="18" t="s">
        <v>85</v>
      </c>
      <c r="F2340" s="18" t="s">
        <v>121</v>
      </c>
      <c r="G2340" s="18" t="s">
        <v>44</v>
      </c>
      <c r="H2340" s="18" t="s">
        <v>114</v>
      </c>
      <c r="I2340" s="18" t="s">
        <v>60</v>
      </c>
      <c r="J2340" s="18" t="s">
        <v>102</v>
      </c>
      <c r="K2340" s="18">
        <v>7</v>
      </c>
      <c r="L2340" s="20">
        <v>9319.9699999999993</v>
      </c>
      <c r="M2340" s="21">
        <v>0</v>
      </c>
      <c r="N2340" s="21">
        <v>0.614011459756581</v>
      </c>
      <c r="O2340" s="20">
        <f t="shared" si="144"/>
        <v>65239.789999999994</v>
      </c>
      <c r="P2340" s="20">
        <f t="shared" si="145"/>
        <v>40057.978692112789</v>
      </c>
      <c r="Q2340" s="20">
        <f t="shared" si="146"/>
        <v>25181.811307887205</v>
      </c>
      <c r="R2340" s="22">
        <f t="shared" si="147"/>
        <v>0.38598854024341905</v>
      </c>
    </row>
    <row r="2341" spans="1:18">
      <c r="A2341" s="18">
        <v>3340</v>
      </c>
      <c r="B2341" s="19" t="s">
        <v>789</v>
      </c>
      <c r="C2341" s="18">
        <v>2025</v>
      </c>
      <c r="D2341" s="18" t="s">
        <v>63</v>
      </c>
      <c r="E2341" s="18" t="s">
        <v>88</v>
      </c>
      <c r="F2341" s="18" t="s">
        <v>93</v>
      </c>
      <c r="G2341" s="18" t="s">
        <v>47</v>
      </c>
      <c r="H2341" s="18" t="s">
        <v>107</v>
      </c>
      <c r="I2341" s="18" t="s">
        <v>43</v>
      </c>
      <c r="J2341" s="18" t="s">
        <v>82</v>
      </c>
      <c r="K2341" s="18">
        <v>9</v>
      </c>
      <c r="L2341" s="20">
        <v>2259.4899999999998</v>
      </c>
      <c r="M2341" s="21">
        <v>0.1</v>
      </c>
      <c r="N2341" s="21">
        <v>0.73152147455912697</v>
      </c>
      <c r="O2341" s="20">
        <f t="shared" si="144"/>
        <v>18301.868999999999</v>
      </c>
      <c r="P2341" s="20">
        <f t="shared" si="145"/>
        <v>13388.210198067974</v>
      </c>
      <c r="Q2341" s="20">
        <f t="shared" si="146"/>
        <v>4913.6588019320243</v>
      </c>
      <c r="R2341" s="22">
        <f t="shared" si="147"/>
        <v>0.26847852544087297</v>
      </c>
    </row>
    <row r="2342" spans="1:18">
      <c r="A2342" s="18">
        <v>3341</v>
      </c>
      <c r="B2342" s="19" t="s">
        <v>790</v>
      </c>
      <c r="C2342" s="18">
        <v>2025</v>
      </c>
      <c r="D2342" s="18" t="s">
        <v>63</v>
      </c>
      <c r="E2342" s="18" t="s">
        <v>79</v>
      </c>
      <c r="F2342" s="18" t="s">
        <v>100</v>
      </c>
      <c r="G2342" s="18" t="s">
        <v>44</v>
      </c>
      <c r="H2342" s="18" t="s">
        <v>95</v>
      </c>
      <c r="I2342" s="18" t="s">
        <v>54</v>
      </c>
      <c r="J2342" s="18" t="s">
        <v>102</v>
      </c>
      <c r="K2342" s="18">
        <v>8</v>
      </c>
      <c r="L2342" s="20">
        <v>4503.01</v>
      </c>
      <c r="M2342" s="21">
        <v>0.05</v>
      </c>
      <c r="N2342" s="21">
        <v>0.622456117361184</v>
      </c>
      <c r="O2342" s="20">
        <f t="shared" si="144"/>
        <v>34222.875999999997</v>
      </c>
      <c r="P2342" s="20">
        <f t="shared" si="145"/>
        <v>21302.238519893246</v>
      </c>
      <c r="Q2342" s="20">
        <f t="shared" si="146"/>
        <v>12920.63748010675</v>
      </c>
      <c r="R2342" s="22">
        <f t="shared" si="147"/>
        <v>0.377543882638816</v>
      </c>
    </row>
    <row r="2343" spans="1:18">
      <c r="A2343" s="18">
        <v>3342</v>
      </c>
      <c r="B2343" s="19" t="s">
        <v>790</v>
      </c>
      <c r="C2343" s="18">
        <v>2025</v>
      </c>
      <c r="D2343" s="18" t="s">
        <v>63</v>
      </c>
      <c r="E2343" s="18" t="s">
        <v>88</v>
      </c>
      <c r="F2343" s="18" t="s">
        <v>89</v>
      </c>
      <c r="G2343" s="18" t="s">
        <v>41</v>
      </c>
      <c r="H2343" s="18" t="s">
        <v>112</v>
      </c>
      <c r="I2343" s="18" t="s">
        <v>46</v>
      </c>
      <c r="J2343" s="18" t="s">
        <v>82</v>
      </c>
      <c r="K2343" s="18">
        <v>12</v>
      </c>
      <c r="L2343" s="20">
        <v>5930.01</v>
      </c>
      <c r="M2343" s="21">
        <v>0</v>
      </c>
      <c r="N2343" s="21">
        <v>0.60912716058905103</v>
      </c>
      <c r="O2343" s="20">
        <f t="shared" si="144"/>
        <v>71160.12</v>
      </c>
      <c r="P2343" s="20">
        <f t="shared" si="145"/>
        <v>43345.561842776136</v>
      </c>
      <c r="Q2343" s="20">
        <f t="shared" si="146"/>
        <v>27814.558157223859</v>
      </c>
      <c r="R2343" s="22">
        <f t="shared" si="147"/>
        <v>0.39087283941094902</v>
      </c>
    </row>
    <row r="2344" spans="1:18">
      <c r="A2344" s="18">
        <v>3343</v>
      </c>
      <c r="B2344" s="19" t="s">
        <v>790</v>
      </c>
      <c r="C2344" s="18">
        <v>2025</v>
      </c>
      <c r="D2344" s="18" t="s">
        <v>63</v>
      </c>
      <c r="E2344" s="18" t="s">
        <v>98</v>
      </c>
      <c r="F2344" s="18" t="s">
        <v>109</v>
      </c>
      <c r="G2344" s="18" t="s">
        <v>47</v>
      </c>
      <c r="H2344" s="18" t="s">
        <v>107</v>
      </c>
      <c r="I2344" s="18" t="s">
        <v>56</v>
      </c>
      <c r="J2344" s="18" t="s">
        <v>91</v>
      </c>
      <c r="K2344" s="18">
        <v>8</v>
      </c>
      <c r="L2344" s="20">
        <v>2121.1</v>
      </c>
      <c r="M2344" s="21">
        <v>0.05</v>
      </c>
      <c r="N2344" s="21">
        <v>0.56293157106867897</v>
      </c>
      <c r="O2344" s="20">
        <f t="shared" si="144"/>
        <v>16120.359999999999</v>
      </c>
      <c r="P2344" s="20">
        <f t="shared" si="145"/>
        <v>9074.6595809926894</v>
      </c>
      <c r="Q2344" s="20">
        <f t="shared" si="146"/>
        <v>7045.7004190073094</v>
      </c>
      <c r="R2344" s="22">
        <f t="shared" si="147"/>
        <v>0.43706842893132103</v>
      </c>
    </row>
    <row r="2345" spans="1:18">
      <c r="A2345" s="18">
        <v>3344</v>
      </c>
      <c r="B2345" s="19" t="s">
        <v>790</v>
      </c>
      <c r="C2345" s="18">
        <v>2025</v>
      </c>
      <c r="D2345" s="18" t="s">
        <v>63</v>
      </c>
      <c r="E2345" s="18" t="s">
        <v>79</v>
      </c>
      <c r="F2345" s="18" t="s">
        <v>100</v>
      </c>
      <c r="G2345" s="18" t="s">
        <v>50</v>
      </c>
      <c r="H2345" s="18" t="s">
        <v>83</v>
      </c>
      <c r="I2345" s="18" t="s">
        <v>40</v>
      </c>
      <c r="J2345" s="18" t="s">
        <v>102</v>
      </c>
      <c r="K2345" s="18">
        <v>8</v>
      </c>
      <c r="L2345" s="20">
        <v>3367.88</v>
      </c>
      <c r="M2345" s="21">
        <v>0.1</v>
      </c>
      <c r="N2345" s="21">
        <v>0.71110179314549904</v>
      </c>
      <c r="O2345" s="20">
        <f t="shared" si="144"/>
        <v>24248.736000000001</v>
      </c>
      <c r="P2345" s="20">
        <f t="shared" si="145"/>
        <v>17243.319651111815</v>
      </c>
      <c r="Q2345" s="20">
        <f t="shared" si="146"/>
        <v>7005.4163488881859</v>
      </c>
      <c r="R2345" s="22">
        <f t="shared" si="147"/>
        <v>0.28889820685450102</v>
      </c>
    </row>
    <row r="2346" spans="1:18">
      <c r="A2346" s="18">
        <v>3345</v>
      </c>
      <c r="B2346" s="19" t="s">
        <v>791</v>
      </c>
      <c r="C2346" s="18">
        <v>2025</v>
      </c>
      <c r="D2346" s="18" t="s">
        <v>63</v>
      </c>
      <c r="E2346" s="18" t="s">
        <v>88</v>
      </c>
      <c r="F2346" s="18" t="s">
        <v>89</v>
      </c>
      <c r="G2346" s="18" t="s">
        <v>41</v>
      </c>
      <c r="H2346" s="18" t="s">
        <v>101</v>
      </c>
      <c r="I2346" s="18" t="s">
        <v>43</v>
      </c>
      <c r="J2346" s="18" t="s">
        <v>91</v>
      </c>
      <c r="K2346" s="18">
        <v>6</v>
      </c>
      <c r="L2346" s="20">
        <v>53937.93</v>
      </c>
      <c r="M2346" s="21">
        <v>0</v>
      </c>
      <c r="N2346" s="21">
        <v>0.65601525607100997</v>
      </c>
      <c r="O2346" s="20">
        <f t="shared" si="144"/>
        <v>323627.58</v>
      </c>
      <c r="P2346" s="20">
        <f t="shared" si="145"/>
        <v>212304.62976534126</v>
      </c>
      <c r="Q2346" s="20">
        <f t="shared" si="146"/>
        <v>111322.95023465875</v>
      </c>
      <c r="R2346" s="22">
        <f t="shared" si="147"/>
        <v>0.34398474392899009</v>
      </c>
    </row>
    <row r="2347" spans="1:18">
      <c r="A2347" s="18">
        <v>3346</v>
      </c>
      <c r="B2347" s="19" t="s">
        <v>791</v>
      </c>
      <c r="C2347" s="18">
        <v>2025</v>
      </c>
      <c r="D2347" s="18" t="s">
        <v>63</v>
      </c>
      <c r="E2347" s="18" t="s">
        <v>88</v>
      </c>
      <c r="F2347" s="18" t="s">
        <v>89</v>
      </c>
      <c r="G2347" s="18" t="s">
        <v>47</v>
      </c>
      <c r="H2347" s="18" t="s">
        <v>81</v>
      </c>
      <c r="I2347" s="18" t="s">
        <v>52</v>
      </c>
      <c r="J2347" s="18" t="s">
        <v>102</v>
      </c>
      <c r="K2347" s="18">
        <v>6</v>
      </c>
      <c r="L2347" s="20">
        <v>816.45</v>
      </c>
      <c r="M2347" s="21">
        <v>0.2</v>
      </c>
      <c r="N2347" s="21">
        <v>0.58621357885498204</v>
      </c>
      <c r="O2347" s="20">
        <f t="shared" si="144"/>
        <v>3918.9600000000009</v>
      </c>
      <c r="P2347" s="20">
        <f t="shared" si="145"/>
        <v>2297.3475669895211</v>
      </c>
      <c r="Q2347" s="20">
        <f t="shared" si="146"/>
        <v>1621.6124330104799</v>
      </c>
      <c r="R2347" s="22">
        <f t="shared" si="147"/>
        <v>0.41378642114501796</v>
      </c>
    </row>
    <row r="2348" spans="1:18">
      <c r="A2348" s="18">
        <v>3347</v>
      </c>
      <c r="B2348" s="19" t="s">
        <v>791</v>
      </c>
      <c r="C2348" s="18">
        <v>2025</v>
      </c>
      <c r="D2348" s="18" t="s">
        <v>63</v>
      </c>
      <c r="E2348" s="18" t="s">
        <v>79</v>
      </c>
      <c r="F2348" s="18" t="s">
        <v>100</v>
      </c>
      <c r="G2348" s="18" t="s">
        <v>44</v>
      </c>
      <c r="H2348" s="18" t="s">
        <v>114</v>
      </c>
      <c r="I2348" s="18" t="s">
        <v>52</v>
      </c>
      <c r="J2348" s="18" t="s">
        <v>91</v>
      </c>
      <c r="K2348" s="18">
        <v>11</v>
      </c>
      <c r="L2348" s="20">
        <v>9025.27</v>
      </c>
      <c r="M2348" s="21">
        <v>0</v>
      </c>
      <c r="N2348" s="21">
        <v>0.72870058931539705</v>
      </c>
      <c r="O2348" s="20">
        <f t="shared" si="144"/>
        <v>99277.97</v>
      </c>
      <c r="P2348" s="20">
        <f t="shared" si="145"/>
        <v>72343.915245036304</v>
      </c>
      <c r="Q2348" s="20">
        <f t="shared" si="146"/>
        <v>26934.054754963698</v>
      </c>
      <c r="R2348" s="22">
        <f t="shared" si="147"/>
        <v>0.271299410684603</v>
      </c>
    </row>
    <row r="2349" spans="1:18">
      <c r="A2349" s="18">
        <v>3348</v>
      </c>
      <c r="B2349" s="19" t="s">
        <v>791</v>
      </c>
      <c r="C2349" s="18">
        <v>2025</v>
      </c>
      <c r="D2349" s="18" t="s">
        <v>63</v>
      </c>
      <c r="E2349" s="18" t="s">
        <v>88</v>
      </c>
      <c r="F2349" s="18" t="s">
        <v>93</v>
      </c>
      <c r="G2349" s="18" t="s">
        <v>47</v>
      </c>
      <c r="H2349" s="18" t="s">
        <v>81</v>
      </c>
      <c r="I2349" s="18" t="s">
        <v>58</v>
      </c>
      <c r="J2349" s="18" t="s">
        <v>91</v>
      </c>
      <c r="K2349" s="18">
        <v>7</v>
      </c>
      <c r="L2349" s="20">
        <v>780.05</v>
      </c>
      <c r="M2349" s="21">
        <v>0</v>
      </c>
      <c r="N2349" s="21">
        <v>0.63906391062245205</v>
      </c>
      <c r="O2349" s="20">
        <f t="shared" si="144"/>
        <v>5460.3499999999995</v>
      </c>
      <c r="P2349" s="20">
        <f t="shared" si="145"/>
        <v>3489.5126243673058</v>
      </c>
      <c r="Q2349" s="20">
        <f t="shared" si="146"/>
        <v>1970.8373756326937</v>
      </c>
      <c r="R2349" s="22">
        <f t="shared" si="147"/>
        <v>0.36093608937754795</v>
      </c>
    </row>
    <row r="2350" spans="1:18">
      <c r="A2350" s="18">
        <v>3349</v>
      </c>
      <c r="B2350" s="19" t="s">
        <v>791</v>
      </c>
      <c r="C2350" s="18">
        <v>2025</v>
      </c>
      <c r="D2350" s="18" t="s">
        <v>63</v>
      </c>
      <c r="E2350" s="18" t="s">
        <v>85</v>
      </c>
      <c r="F2350" s="18" t="s">
        <v>94</v>
      </c>
      <c r="G2350" s="18" t="s">
        <v>44</v>
      </c>
      <c r="H2350" s="18" t="s">
        <v>119</v>
      </c>
      <c r="I2350" s="18" t="s">
        <v>58</v>
      </c>
      <c r="J2350" s="18" t="s">
        <v>82</v>
      </c>
      <c r="K2350" s="18">
        <v>12</v>
      </c>
      <c r="L2350" s="20">
        <v>6794.57</v>
      </c>
      <c r="M2350" s="21">
        <v>0.05</v>
      </c>
      <c r="N2350" s="21">
        <v>0.591649163852079</v>
      </c>
      <c r="O2350" s="20">
        <f t="shared" si="144"/>
        <v>77458.097999999998</v>
      </c>
      <c r="P2350" s="20">
        <f t="shared" si="145"/>
        <v>45828.018915272391</v>
      </c>
      <c r="Q2350" s="20">
        <f t="shared" si="146"/>
        <v>31630.079084727608</v>
      </c>
      <c r="R2350" s="22">
        <f t="shared" si="147"/>
        <v>0.408350836147921</v>
      </c>
    </row>
    <row r="2351" spans="1:18">
      <c r="A2351" s="18">
        <v>3350</v>
      </c>
      <c r="B2351" s="19" t="s">
        <v>792</v>
      </c>
      <c r="C2351" s="18">
        <v>2025</v>
      </c>
      <c r="D2351" s="18" t="s">
        <v>63</v>
      </c>
      <c r="E2351" s="18" t="s">
        <v>85</v>
      </c>
      <c r="F2351" s="18" t="s">
        <v>121</v>
      </c>
      <c r="G2351" s="18" t="s">
        <v>44</v>
      </c>
      <c r="H2351" s="18" t="s">
        <v>114</v>
      </c>
      <c r="I2351" s="18" t="s">
        <v>62</v>
      </c>
      <c r="J2351" s="18" t="s">
        <v>82</v>
      </c>
      <c r="K2351" s="18">
        <v>4</v>
      </c>
      <c r="L2351" s="20">
        <v>9353.7999999999993</v>
      </c>
      <c r="M2351" s="21">
        <v>0.1</v>
      </c>
      <c r="N2351" s="21">
        <v>0.69440711215727002</v>
      </c>
      <c r="O2351" s="20">
        <f t="shared" si="144"/>
        <v>33673.68</v>
      </c>
      <c r="P2351" s="20">
        <f t="shared" si="145"/>
        <v>23383.242884508021</v>
      </c>
      <c r="Q2351" s="20">
        <f t="shared" si="146"/>
        <v>10290.437115491979</v>
      </c>
      <c r="R2351" s="22">
        <f t="shared" si="147"/>
        <v>0.30559288784272998</v>
      </c>
    </row>
    <row r="2352" spans="1:18">
      <c r="A2352" s="18">
        <v>3351</v>
      </c>
      <c r="B2352" s="19" t="s">
        <v>792</v>
      </c>
      <c r="C2352" s="18">
        <v>2025</v>
      </c>
      <c r="D2352" s="18" t="s">
        <v>63</v>
      </c>
      <c r="E2352" s="18" t="s">
        <v>85</v>
      </c>
      <c r="F2352" s="18" t="s">
        <v>94</v>
      </c>
      <c r="G2352" s="18" t="s">
        <v>41</v>
      </c>
      <c r="H2352" s="18" t="s">
        <v>112</v>
      </c>
      <c r="I2352" s="18" t="s">
        <v>40</v>
      </c>
      <c r="J2352" s="18" t="s">
        <v>91</v>
      </c>
      <c r="K2352" s="18">
        <v>9</v>
      </c>
      <c r="L2352" s="20">
        <v>6251.11</v>
      </c>
      <c r="M2352" s="21">
        <v>0.15</v>
      </c>
      <c r="N2352" s="21">
        <v>0.74872963040081297</v>
      </c>
      <c r="O2352" s="20">
        <f t="shared" si="144"/>
        <v>47820.991499999996</v>
      </c>
      <c r="P2352" s="20">
        <f t="shared" si="145"/>
        <v>35804.993291195417</v>
      </c>
      <c r="Q2352" s="20">
        <f t="shared" si="146"/>
        <v>12015.99820880458</v>
      </c>
      <c r="R2352" s="22">
        <f t="shared" si="147"/>
        <v>0.25127036959918703</v>
      </c>
    </row>
    <row r="2353" spans="1:18">
      <c r="A2353" s="18">
        <v>3352</v>
      </c>
      <c r="B2353" s="19" t="s">
        <v>792</v>
      </c>
      <c r="C2353" s="18">
        <v>2025</v>
      </c>
      <c r="D2353" s="18" t="s">
        <v>63</v>
      </c>
      <c r="E2353" s="18" t="s">
        <v>88</v>
      </c>
      <c r="F2353" s="18" t="s">
        <v>110</v>
      </c>
      <c r="G2353" s="18" t="s">
        <v>41</v>
      </c>
      <c r="H2353" s="18" t="s">
        <v>106</v>
      </c>
      <c r="I2353" s="18" t="s">
        <v>54</v>
      </c>
      <c r="J2353" s="18" t="s">
        <v>82</v>
      </c>
      <c r="K2353" s="18">
        <v>5</v>
      </c>
      <c r="L2353" s="20">
        <v>2376.5100000000002</v>
      </c>
      <c r="M2353" s="21">
        <v>0</v>
      </c>
      <c r="N2353" s="21">
        <v>0.68746083307985395</v>
      </c>
      <c r="O2353" s="20">
        <f t="shared" si="144"/>
        <v>11882.550000000001</v>
      </c>
      <c r="P2353" s="20">
        <f t="shared" si="145"/>
        <v>8168.7877221130193</v>
      </c>
      <c r="Q2353" s="20">
        <f t="shared" si="146"/>
        <v>3713.7622778869818</v>
      </c>
      <c r="R2353" s="22">
        <f t="shared" si="147"/>
        <v>0.31253916692014605</v>
      </c>
    </row>
    <row r="2354" spans="1:18">
      <c r="A2354" s="18">
        <v>3353</v>
      </c>
      <c r="B2354" s="19" t="s">
        <v>792</v>
      </c>
      <c r="C2354" s="18">
        <v>2025</v>
      </c>
      <c r="D2354" s="18" t="s">
        <v>63</v>
      </c>
      <c r="E2354" s="18" t="s">
        <v>88</v>
      </c>
      <c r="F2354" s="18" t="s">
        <v>89</v>
      </c>
      <c r="G2354" s="18" t="s">
        <v>44</v>
      </c>
      <c r="H2354" s="18" t="s">
        <v>95</v>
      </c>
      <c r="I2354" s="18" t="s">
        <v>56</v>
      </c>
      <c r="J2354" s="18" t="s">
        <v>102</v>
      </c>
      <c r="K2354" s="18">
        <v>2</v>
      </c>
      <c r="L2354" s="20">
        <v>4705.6499999999996</v>
      </c>
      <c r="M2354" s="21">
        <v>0.05</v>
      </c>
      <c r="N2354" s="21">
        <v>0.66923623808287802</v>
      </c>
      <c r="O2354" s="20">
        <f t="shared" si="144"/>
        <v>8940.7349999999988</v>
      </c>
      <c r="P2354" s="20">
        <f t="shared" si="145"/>
        <v>5983.4638570959196</v>
      </c>
      <c r="Q2354" s="20">
        <f t="shared" si="146"/>
        <v>2957.2711429040792</v>
      </c>
      <c r="R2354" s="22">
        <f t="shared" si="147"/>
        <v>0.33076376191712198</v>
      </c>
    </row>
    <row r="2355" spans="1:18">
      <c r="A2355" s="18">
        <v>3354</v>
      </c>
      <c r="B2355" s="19" t="s">
        <v>792</v>
      </c>
      <c r="C2355" s="18">
        <v>2025</v>
      </c>
      <c r="D2355" s="18" t="s">
        <v>63</v>
      </c>
      <c r="E2355" s="18" t="s">
        <v>85</v>
      </c>
      <c r="F2355" s="18" t="s">
        <v>121</v>
      </c>
      <c r="G2355" s="18" t="s">
        <v>47</v>
      </c>
      <c r="H2355" s="18" t="s">
        <v>81</v>
      </c>
      <c r="I2355" s="18" t="s">
        <v>54</v>
      </c>
      <c r="J2355" s="18" t="s">
        <v>82</v>
      </c>
      <c r="K2355" s="18">
        <v>11</v>
      </c>
      <c r="L2355" s="20">
        <v>812.5</v>
      </c>
      <c r="M2355" s="21">
        <v>0.05</v>
      </c>
      <c r="N2355" s="21">
        <v>0.63229877717827498</v>
      </c>
      <c r="O2355" s="20">
        <f t="shared" si="144"/>
        <v>8490.625</v>
      </c>
      <c r="P2355" s="20">
        <f t="shared" si="145"/>
        <v>5368.6118049792913</v>
      </c>
      <c r="Q2355" s="20">
        <f t="shared" si="146"/>
        <v>3122.0131950207087</v>
      </c>
      <c r="R2355" s="22">
        <f t="shared" si="147"/>
        <v>0.36770122282172502</v>
      </c>
    </row>
    <row r="2356" spans="1:18">
      <c r="A2356" s="18">
        <v>3355</v>
      </c>
      <c r="B2356" s="19" t="s">
        <v>793</v>
      </c>
      <c r="C2356" s="18">
        <v>2025</v>
      </c>
      <c r="D2356" s="18" t="s">
        <v>63</v>
      </c>
      <c r="E2356" s="18" t="s">
        <v>85</v>
      </c>
      <c r="F2356" s="18" t="s">
        <v>94</v>
      </c>
      <c r="G2356" s="18" t="s">
        <v>50</v>
      </c>
      <c r="H2356" s="18" t="s">
        <v>97</v>
      </c>
      <c r="I2356" s="18" t="s">
        <v>54</v>
      </c>
      <c r="J2356" s="18" t="s">
        <v>91</v>
      </c>
      <c r="K2356" s="18">
        <v>5</v>
      </c>
      <c r="L2356" s="20">
        <v>11590.54</v>
      </c>
      <c r="M2356" s="21">
        <v>0</v>
      </c>
      <c r="N2356" s="21">
        <v>0.667339306629395</v>
      </c>
      <c r="O2356" s="20">
        <f t="shared" si="144"/>
        <v>57952.700000000004</v>
      </c>
      <c r="P2356" s="20">
        <f t="shared" si="145"/>
        <v>38674.114635301339</v>
      </c>
      <c r="Q2356" s="20">
        <f t="shared" si="146"/>
        <v>19278.585364698665</v>
      </c>
      <c r="R2356" s="22">
        <f t="shared" si="147"/>
        <v>0.33266069337060505</v>
      </c>
    </row>
    <row r="2357" spans="1:18">
      <c r="A2357" s="18">
        <v>3356</v>
      </c>
      <c r="B2357" s="19" t="s">
        <v>793</v>
      </c>
      <c r="C2357" s="18">
        <v>2025</v>
      </c>
      <c r="D2357" s="18" t="s">
        <v>63</v>
      </c>
      <c r="E2357" s="18" t="s">
        <v>79</v>
      </c>
      <c r="F2357" s="18" t="s">
        <v>100</v>
      </c>
      <c r="G2357" s="18" t="s">
        <v>47</v>
      </c>
      <c r="H2357" s="18" t="s">
        <v>81</v>
      </c>
      <c r="I2357" s="18" t="s">
        <v>46</v>
      </c>
      <c r="J2357" s="18" t="s">
        <v>91</v>
      </c>
      <c r="K2357" s="18">
        <v>4</v>
      </c>
      <c r="L2357" s="20">
        <v>828.83</v>
      </c>
      <c r="M2357" s="21">
        <v>0.2</v>
      </c>
      <c r="N2357" s="21">
        <v>0.71745867003535901</v>
      </c>
      <c r="O2357" s="20">
        <f t="shared" si="144"/>
        <v>2652.2560000000003</v>
      </c>
      <c r="P2357" s="20">
        <f t="shared" si="145"/>
        <v>1902.8840623533015</v>
      </c>
      <c r="Q2357" s="20">
        <f t="shared" si="146"/>
        <v>749.37193764669883</v>
      </c>
      <c r="R2357" s="22">
        <f t="shared" si="147"/>
        <v>0.28254132996464093</v>
      </c>
    </row>
    <row r="2358" spans="1:18">
      <c r="A2358" s="18">
        <v>3357</v>
      </c>
      <c r="B2358" s="19" t="s">
        <v>794</v>
      </c>
      <c r="C2358" s="18">
        <v>2025</v>
      </c>
      <c r="D2358" s="18" t="s">
        <v>63</v>
      </c>
      <c r="E2358" s="18" t="s">
        <v>88</v>
      </c>
      <c r="F2358" s="18" t="s">
        <v>110</v>
      </c>
      <c r="G2358" s="18" t="s">
        <v>41</v>
      </c>
      <c r="H2358" s="18" t="s">
        <v>101</v>
      </c>
      <c r="I2358" s="18" t="s">
        <v>46</v>
      </c>
      <c r="J2358" s="18" t="s">
        <v>102</v>
      </c>
      <c r="K2358" s="18">
        <v>3</v>
      </c>
      <c r="L2358" s="20">
        <v>54901.8</v>
      </c>
      <c r="M2358" s="21">
        <v>0</v>
      </c>
      <c r="N2358" s="21">
        <v>0.70231534551830799</v>
      </c>
      <c r="O2358" s="20">
        <f t="shared" si="144"/>
        <v>164705.40000000002</v>
      </c>
      <c r="P2358" s="20">
        <f t="shared" si="145"/>
        <v>115675.12990973114</v>
      </c>
      <c r="Q2358" s="20">
        <f t="shared" si="146"/>
        <v>49030.270090268881</v>
      </c>
      <c r="R2358" s="22">
        <f t="shared" si="147"/>
        <v>0.29768465448169201</v>
      </c>
    </row>
    <row r="2359" spans="1:18">
      <c r="A2359" s="18">
        <v>3358</v>
      </c>
      <c r="B2359" s="19" t="s">
        <v>794</v>
      </c>
      <c r="C2359" s="18">
        <v>2025</v>
      </c>
      <c r="D2359" s="18" t="s">
        <v>63</v>
      </c>
      <c r="E2359" s="18" t="s">
        <v>85</v>
      </c>
      <c r="F2359" s="18" t="s">
        <v>121</v>
      </c>
      <c r="G2359" s="18" t="s">
        <v>50</v>
      </c>
      <c r="H2359" s="18" t="s">
        <v>97</v>
      </c>
      <c r="I2359" s="18" t="s">
        <v>62</v>
      </c>
      <c r="J2359" s="18" t="s">
        <v>82</v>
      </c>
      <c r="K2359" s="18">
        <v>8</v>
      </c>
      <c r="L2359" s="20">
        <v>11527.93</v>
      </c>
      <c r="M2359" s="21">
        <v>0</v>
      </c>
      <c r="N2359" s="21">
        <v>0.56144123342549501</v>
      </c>
      <c r="O2359" s="20">
        <f t="shared" si="144"/>
        <v>92223.44</v>
      </c>
      <c r="P2359" s="20">
        <f t="shared" si="145"/>
        <v>51778.041904342135</v>
      </c>
      <c r="Q2359" s="20">
        <f t="shared" si="146"/>
        <v>40445.398095657867</v>
      </c>
      <c r="R2359" s="22">
        <f t="shared" si="147"/>
        <v>0.43855876657450499</v>
      </c>
    </row>
    <row r="2360" spans="1:18">
      <c r="A2360" s="18">
        <v>3359</v>
      </c>
      <c r="B2360" s="19" t="s">
        <v>794</v>
      </c>
      <c r="C2360" s="18">
        <v>2025</v>
      </c>
      <c r="D2360" s="18" t="s">
        <v>63</v>
      </c>
      <c r="E2360" s="18" t="s">
        <v>98</v>
      </c>
      <c r="F2360" s="18" t="s">
        <v>117</v>
      </c>
      <c r="G2360" s="18" t="s">
        <v>47</v>
      </c>
      <c r="H2360" s="18" t="s">
        <v>81</v>
      </c>
      <c r="I2360" s="18" t="s">
        <v>52</v>
      </c>
      <c r="J2360" s="18" t="s">
        <v>91</v>
      </c>
      <c r="K2360" s="18">
        <v>9</v>
      </c>
      <c r="L2360" s="20">
        <v>792.33</v>
      </c>
      <c r="M2360" s="21">
        <v>0.15</v>
      </c>
      <c r="N2360" s="21">
        <v>0.59653779124078399</v>
      </c>
      <c r="O2360" s="20">
        <f t="shared" si="144"/>
        <v>6061.3244999999997</v>
      </c>
      <c r="P2360" s="20">
        <f t="shared" si="145"/>
        <v>3615.8091292236491</v>
      </c>
      <c r="Q2360" s="20">
        <f t="shared" si="146"/>
        <v>2445.5153707763507</v>
      </c>
      <c r="R2360" s="22">
        <f t="shared" si="147"/>
        <v>0.40346220875921601</v>
      </c>
    </row>
    <row r="2361" spans="1:18">
      <c r="A2361" s="18">
        <v>3360</v>
      </c>
      <c r="B2361" s="19" t="s">
        <v>794</v>
      </c>
      <c r="C2361" s="18">
        <v>2025</v>
      </c>
      <c r="D2361" s="18" t="s">
        <v>63</v>
      </c>
      <c r="E2361" s="18" t="s">
        <v>98</v>
      </c>
      <c r="F2361" s="18" t="s">
        <v>117</v>
      </c>
      <c r="G2361" s="18" t="s">
        <v>41</v>
      </c>
      <c r="H2361" s="18" t="s">
        <v>112</v>
      </c>
      <c r="I2361" s="18" t="s">
        <v>62</v>
      </c>
      <c r="J2361" s="18" t="s">
        <v>82</v>
      </c>
      <c r="K2361" s="18">
        <v>4</v>
      </c>
      <c r="L2361" s="20">
        <v>6050.71</v>
      </c>
      <c r="M2361" s="21">
        <v>0</v>
      </c>
      <c r="N2361" s="21">
        <v>0.58743609045384504</v>
      </c>
      <c r="O2361" s="20">
        <f t="shared" si="144"/>
        <v>24202.84</v>
      </c>
      <c r="P2361" s="20">
        <f t="shared" si="145"/>
        <v>14217.621707479939</v>
      </c>
      <c r="Q2361" s="20">
        <f t="shared" si="146"/>
        <v>9985.2182925200614</v>
      </c>
      <c r="R2361" s="22">
        <f t="shared" si="147"/>
        <v>0.41256390954615496</v>
      </c>
    </row>
    <row r="2362" spans="1:18">
      <c r="A2362" s="18">
        <v>3361</v>
      </c>
      <c r="B2362" s="19" t="s">
        <v>794</v>
      </c>
      <c r="C2362" s="18">
        <v>2025</v>
      </c>
      <c r="D2362" s="18" t="s">
        <v>63</v>
      </c>
      <c r="E2362" s="18" t="s">
        <v>88</v>
      </c>
      <c r="F2362" s="18" t="s">
        <v>93</v>
      </c>
      <c r="G2362" s="18" t="s">
        <v>50</v>
      </c>
      <c r="H2362" s="18" t="s">
        <v>87</v>
      </c>
      <c r="I2362" s="18" t="s">
        <v>60</v>
      </c>
      <c r="J2362" s="18" t="s">
        <v>82</v>
      </c>
      <c r="K2362" s="18">
        <v>2</v>
      </c>
      <c r="L2362" s="20">
        <v>9972.0400000000009</v>
      </c>
      <c r="M2362" s="21">
        <v>0.05</v>
      </c>
      <c r="N2362" s="21">
        <v>0.58687694471867102</v>
      </c>
      <c r="O2362" s="20">
        <f t="shared" si="144"/>
        <v>18946.876</v>
      </c>
      <c r="P2362" s="20">
        <f t="shared" si="145"/>
        <v>11119.484698843515</v>
      </c>
      <c r="Q2362" s="20">
        <f t="shared" si="146"/>
        <v>7827.3913011564855</v>
      </c>
      <c r="R2362" s="22">
        <f t="shared" si="147"/>
        <v>0.41312305528132898</v>
      </c>
    </row>
    <row r="2363" spans="1:18">
      <c r="A2363" s="18">
        <v>3362</v>
      </c>
      <c r="B2363" s="19" t="s">
        <v>795</v>
      </c>
      <c r="C2363" s="18">
        <v>2025</v>
      </c>
      <c r="D2363" s="18" t="s">
        <v>63</v>
      </c>
      <c r="E2363" s="18" t="s">
        <v>98</v>
      </c>
      <c r="F2363" s="18" t="s">
        <v>109</v>
      </c>
      <c r="G2363" s="18" t="s">
        <v>41</v>
      </c>
      <c r="H2363" s="18" t="s">
        <v>90</v>
      </c>
      <c r="I2363" s="18" t="s">
        <v>56</v>
      </c>
      <c r="J2363" s="18" t="s">
        <v>102</v>
      </c>
      <c r="K2363" s="18">
        <v>1</v>
      </c>
      <c r="L2363" s="20">
        <v>18663.03</v>
      </c>
      <c r="M2363" s="21">
        <v>0.1</v>
      </c>
      <c r="N2363" s="21">
        <v>0.64291062337687299</v>
      </c>
      <c r="O2363" s="20">
        <f t="shared" si="144"/>
        <v>16796.726999999999</v>
      </c>
      <c r="P2363" s="20">
        <f t="shared" si="145"/>
        <v>10798.794226261152</v>
      </c>
      <c r="Q2363" s="20">
        <f t="shared" si="146"/>
        <v>5997.9327737388467</v>
      </c>
      <c r="R2363" s="22">
        <f t="shared" si="147"/>
        <v>0.35708937662312706</v>
      </c>
    </row>
    <row r="2364" spans="1:18">
      <c r="A2364" s="18">
        <v>3363</v>
      </c>
      <c r="B2364" s="19" t="s">
        <v>795</v>
      </c>
      <c r="C2364" s="18">
        <v>2025</v>
      </c>
      <c r="D2364" s="18" t="s">
        <v>63</v>
      </c>
      <c r="E2364" s="18" t="s">
        <v>79</v>
      </c>
      <c r="F2364" s="18" t="s">
        <v>100</v>
      </c>
      <c r="G2364" s="18" t="s">
        <v>41</v>
      </c>
      <c r="H2364" s="18" t="s">
        <v>112</v>
      </c>
      <c r="I2364" s="18" t="s">
        <v>49</v>
      </c>
      <c r="J2364" s="18" t="s">
        <v>91</v>
      </c>
      <c r="K2364" s="18">
        <v>1</v>
      </c>
      <c r="L2364" s="20">
        <v>6232.9</v>
      </c>
      <c r="M2364" s="21">
        <v>0.2</v>
      </c>
      <c r="N2364" s="21">
        <v>0.55215606233680603</v>
      </c>
      <c r="O2364" s="20">
        <f t="shared" si="144"/>
        <v>4986.32</v>
      </c>
      <c r="P2364" s="20">
        <f t="shared" si="145"/>
        <v>2753.2268167512625</v>
      </c>
      <c r="Q2364" s="20">
        <f t="shared" si="146"/>
        <v>2233.0931832487372</v>
      </c>
      <c r="R2364" s="22">
        <f t="shared" si="147"/>
        <v>0.44784393766319397</v>
      </c>
    </row>
    <row r="2365" spans="1:18">
      <c r="A2365" s="18">
        <v>3364</v>
      </c>
      <c r="B2365" s="19" t="s">
        <v>795</v>
      </c>
      <c r="C2365" s="18">
        <v>2025</v>
      </c>
      <c r="D2365" s="18" t="s">
        <v>63</v>
      </c>
      <c r="E2365" s="18" t="s">
        <v>79</v>
      </c>
      <c r="F2365" s="18" t="s">
        <v>105</v>
      </c>
      <c r="G2365" s="18" t="s">
        <v>44</v>
      </c>
      <c r="H2365" s="18" t="s">
        <v>119</v>
      </c>
      <c r="I2365" s="18" t="s">
        <v>46</v>
      </c>
      <c r="J2365" s="18" t="s">
        <v>91</v>
      </c>
      <c r="K2365" s="18">
        <v>8</v>
      </c>
      <c r="L2365" s="20">
        <v>6778.48</v>
      </c>
      <c r="M2365" s="21">
        <v>0.05</v>
      </c>
      <c r="N2365" s="21">
        <v>0.62534702357287997</v>
      </c>
      <c r="O2365" s="20">
        <f t="shared" si="144"/>
        <v>51516.447999999997</v>
      </c>
      <c r="P2365" s="20">
        <f t="shared" si="145"/>
        <v>32215.657421847041</v>
      </c>
      <c r="Q2365" s="20">
        <f t="shared" si="146"/>
        <v>19300.790578152955</v>
      </c>
      <c r="R2365" s="22">
        <f t="shared" si="147"/>
        <v>0.37465297642712009</v>
      </c>
    </row>
    <row r="2366" spans="1:18">
      <c r="A2366" s="18">
        <v>3365</v>
      </c>
      <c r="B2366" s="19" t="s">
        <v>795</v>
      </c>
      <c r="C2366" s="18">
        <v>2025</v>
      </c>
      <c r="D2366" s="18" t="s">
        <v>63</v>
      </c>
      <c r="E2366" s="18" t="s">
        <v>88</v>
      </c>
      <c r="F2366" s="18" t="s">
        <v>110</v>
      </c>
      <c r="G2366" s="18" t="s">
        <v>50</v>
      </c>
      <c r="H2366" s="18" t="s">
        <v>83</v>
      </c>
      <c r="I2366" s="18" t="s">
        <v>62</v>
      </c>
      <c r="J2366" s="18" t="s">
        <v>91</v>
      </c>
      <c r="K2366" s="18">
        <v>8</v>
      </c>
      <c r="L2366" s="20">
        <v>3476.63</v>
      </c>
      <c r="M2366" s="21">
        <v>0</v>
      </c>
      <c r="N2366" s="21">
        <v>0.73317595803023405</v>
      </c>
      <c r="O2366" s="20">
        <f t="shared" si="144"/>
        <v>27813.040000000001</v>
      </c>
      <c r="P2366" s="20">
        <f t="shared" si="145"/>
        <v>20391.852247733223</v>
      </c>
      <c r="Q2366" s="20">
        <f t="shared" si="146"/>
        <v>7421.1877522667783</v>
      </c>
      <c r="R2366" s="22">
        <f t="shared" si="147"/>
        <v>0.26682404196976589</v>
      </c>
    </row>
    <row r="2367" spans="1:18">
      <c r="A2367" s="18">
        <v>3366</v>
      </c>
      <c r="B2367" s="19" t="s">
        <v>795</v>
      </c>
      <c r="C2367" s="18">
        <v>2025</v>
      </c>
      <c r="D2367" s="18" t="s">
        <v>63</v>
      </c>
      <c r="E2367" s="18" t="s">
        <v>79</v>
      </c>
      <c r="F2367" s="18" t="s">
        <v>80</v>
      </c>
      <c r="G2367" s="18" t="s">
        <v>44</v>
      </c>
      <c r="H2367" s="18" t="s">
        <v>95</v>
      </c>
      <c r="I2367" s="18" t="s">
        <v>40</v>
      </c>
      <c r="J2367" s="18" t="s">
        <v>102</v>
      </c>
      <c r="K2367" s="18">
        <v>7</v>
      </c>
      <c r="L2367" s="20">
        <v>4615.3</v>
      </c>
      <c r="M2367" s="21">
        <v>0.05</v>
      </c>
      <c r="N2367" s="21">
        <v>0.60202191183099996</v>
      </c>
      <c r="O2367" s="20">
        <f t="shared" si="144"/>
        <v>30691.744999999999</v>
      </c>
      <c r="P2367" s="20">
        <f t="shared" si="145"/>
        <v>18477.103002329532</v>
      </c>
      <c r="Q2367" s="20">
        <f t="shared" si="146"/>
        <v>12214.641997670467</v>
      </c>
      <c r="R2367" s="22">
        <f t="shared" si="147"/>
        <v>0.3979780881690001</v>
      </c>
    </row>
    <row r="2368" spans="1:18">
      <c r="A2368" s="18">
        <v>3367</v>
      </c>
      <c r="B2368" s="19" t="s">
        <v>796</v>
      </c>
      <c r="C2368" s="18">
        <v>2025</v>
      </c>
      <c r="D2368" s="18" t="s">
        <v>63</v>
      </c>
      <c r="E2368" s="18" t="s">
        <v>98</v>
      </c>
      <c r="F2368" s="18" t="s">
        <v>99</v>
      </c>
      <c r="G2368" s="18" t="s">
        <v>47</v>
      </c>
      <c r="H2368" s="18" t="s">
        <v>81</v>
      </c>
      <c r="I2368" s="18" t="s">
        <v>62</v>
      </c>
      <c r="J2368" s="18" t="s">
        <v>82</v>
      </c>
      <c r="K2368" s="18">
        <v>12</v>
      </c>
      <c r="L2368" s="20">
        <v>808.38</v>
      </c>
      <c r="M2368" s="21">
        <v>0</v>
      </c>
      <c r="N2368" s="21">
        <v>0.64240346655355995</v>
      </c>
      <c r="O2368" s="20">
        <f t="shared" si="144"/>
        <v>9700.56</v>
      </c>
      <c r="P2368" s="20">
        <f t="shared" si="145"/>
        <v>6231.6733715108012</v>
      </c>
      <c r="Q2368" s="20">
        <f t="shared" si="146"/>
        <v>3468.8866284891983</v>
      </c>
      <c r="R2368" s="22">
        <f t="shared" si="147"/>
        <v>0.35759653344644005</v>
      </c>
    </row>
    <row r="2369" spans="1:18">
      <c r="A2369" s="18">
        <v>3368</v>
      </c>
      <c r="B2369" s="19" t="s">
        <v>796</v>
      </c>
      <c r="C2369" s="18">
        <v>2025</v>
      </c>
      <c r="D2369" s="18" t="s">
        <v>63</v>
      </c>
      <c r="E2369" s="18" t="s">
        <v>88</v>
      </c>
      <c r="F2369" s="18" t="s">
        <v>89</v>
      </c>
      <c r="G2369" s="18" t="s">
        <v>44</v>
      </c>
      <c r="H2369" s="18" t="s">
        <v>95</v>
      </c>
      <c r="I2369" s="18" t="s">
        <v>43</v>
      </c>
      <c r="J2369" s="18" t="s">
        <v>82</v>
      </c>
      <c r="K2369" s="18">
        <v>10</v>
      </c>
      <c r="L2369" s="20">
        <v>4328.04</v>
      </c>
      <c r="M2369" s="21">
        <v>0.1</v>
      </c>
      <c r="N2369" s="21">
        <v>0.59444173477301299</v>
      </c>
      <c r="O2369" s="20">
        <f t="shared" si="144"/>
        <v>38952.36</v>
      </c>
      <c r="P2369" s="20">
        <f t="shared" si="145"/>
        <v>23154.90845190292</v>
      </c>
      <c r="Q2369" s="20">
        <f t="shared" si="146"/>
        <v>15797.45154809708</v>
      </c>
      <c r="R2369" s="22">
        <f t="shared" si="147"/>
        <v>0.40555826522698701</v>
      </c>
    </row>
    <row r="2370" spans="1:18">
      <c r="A2370" s="18">
        <v>3369</v>
      </c>
      <c r="B2370" s="19" t="s">
        <v>796</v>
      </c>
      <c r="C2370" s="18">
        <v>2025</v>
      </c>
      <c r="D2370" s="18" t="s">
        <v>63</v>
      </c>
      <c r="E2370" s="18" t="s">
        <v>79</v>
      </c>
      <c r="F2370" s="18" t="s">
        <v>105</v>
      </c>
      <c r="G2370" s="18" t="s">
        <v>50</v>
      </c>
      <c r="H2370" s="18" t="s">
        <v>83</v>
      </c>
      <c r="I2370" s="18" t="s">
        <v>46</v>
      </c>
      <c r="J2370" s="18" t="s">
        <v>91</v>
      </c>
      <c r="K2370" s="18">
        <v>12</v>
      </c>
      <c r="L2370" s="20">
        <v>3471.92</v>
      </c>
      <c r="M2370" s="21">
        <v>0.1</v>
      </c>
      <c r="N2370" s="21">
        <v>0.679176331059825</v>
      </c>
      <c r="O2370" s="20">
        <f t="shared" ref="O2370:O2433" si="148">K2370*L2370*(1-M2370)</f>
        <v>37496.736000000004</v>
      </c>
      <c r="P2370" s="20">
        <f t="shared" ref="P2370:P2433" si="149">O2370*N2370</f>
        <v>25466.895583198861</v>
      </c>
      <c r="Q2370" s="20">
        <f t="shared" ref="Q2370:Q2433" si="150">O2370-P2370</f>
        <v>12029.840416801144</v>
      </c>
      <c r="R2370" s="22">
        <f t="shared" ref="R2370:R2433" si="151">IF(O2370=0,0,Q2370/O2370)</f>
        <v>0.320823668940175</v>
      </c>
    </row>
    <row r="2371" spans="1:18">
      <c r="A2371" s="18">
        <v>3370</v>
      </c>
      <c r="B2371" s="19" t="s">
        <v>797</v>
      </c>
      <c r="C2371" s="18">
        <v>2025</v>
      </c>
      <c r="D2371" s="18" t="s">
        <v>63</v>
      </c>
      <c r="E2371" s="18" t="s">
        <v>85</v>
      </c>
      <c r="F2371" s="18" t="s">
        <v>86</v>
      </c>
      <c r="G2371" s="18" t="s">
        <v>47</v>
      </c>
      <c r="H2371" s="18" t="s">
        <v>107</v>
      </c>
      <c r="I2371" s="18" t="s">
        <v>49</v>
      </c>
      <c r="J2371" s="18" t="s">
        <v>102</v>
      </c>
      <c r="K2371" s="18">
        <v>8</v>
      </c>
      <c r="L2371" s="20">
        <v>2148.25</v>
      </c>
      <c r="M2371" s="21">
        <v>0.2</v>
      </c>
      <c r="N2371" s="21">
        <v>0.67532036242840299</v>
      </c>
      <c r="O2371" s="20">
        <f t="shared" si="148"/>
        <v>13748.800000000001</v>
      </c>
      <c r="P2371" s="20">
        <f t="shared" si="149"/>
        <v>9284.8445989556276</v>
      </c>
      <c r="Q2371" s="20">
        <f t="shared" si="150"/>
        <v>4463.9554010443735</v>
      </c>
      <c r="R2371" s="22">
        <f t="shared" si="151"/>
        <v>0.32467963757159701</v>
      </c>
    </row>
    <row r="2372" spans="1:18">
      <c r="A2372" s="18">
        <v>3371</v>
      </c>
      <c r="B2372" s="19" t="s">
        <v>797</v>
      </c>
      <c r="C2372" s="18">
        <v>2025</v>
      </c>
      <c r="D2372" s="18" t="s">
        <v>63</v>
      </c>
      <c r="E2372" s="18" t="s">
        <v>98</v>
      </c>
      <c r="F2372" s="18" t="s">
        <v>117</v>
      </c>
      <c r="G2372" s="18" t="s">
        <v>50</v>
      </c>
      <c r="H2372" s="18" t="s">
        <v>87</v>
      </c>
      <c r="I2372" s="18" t="s">
        <v>40</v>
      </c>
      <c r="J2372" s="18" t="s">
        <v>102</v>
      </c>
      <c r="K2372" s="18">
        <v>9</v>
      </c>
      <c r="L2372" s="20">
        <v>9438.11</v>
      </c>
      <c r="M2372" s="21">
        <v>0</v>
      </c>
      <c r="N2372" s="21">
        <v>0.63373917005685498</v>
      </c>
      <c r="O2372" s="20">
        <f t="shared" si="148"/>
        <v>84942.99</v>
      </c>
      <c r="P2372" s="20">
        <f t="shared" si="149"/>
        <v>53831.699984747735</v>
      </c>
      <c r="Q2372" s="20">
        <f t="shared" si="150"/>
        <v>31111.290015252271</v>
      </c>
      <c r="R2372" s="22">
        <f t="shared" si="151"/>
        <v>0.36626082994314502</v>
      </c>
    </row>
    <row r="2373" spans="1:18">
      <c r="A2373" s="18">
        <v>3372</v>
      </c>
      <c r="B2373" s="19" t="s">
        <v>797</v>
      </c>
      <c r="C2373" s="18">
        <v>2025</v>
      </c>
      <c r="D2373" s="18" t="s">
        <v>63</v>
      </c>
      <c r="E2373" s="18" t="s">
        <v>85</v>
      </c>
      <c r="F2373" s="18" t="s">
        <v>121</v>
      </c>
      <c r="G2373" s="18" t="s">
        <v>50</v>
      </c>
      <c r="H2373" s="18" t="s">
        <v>83</v>
      </c>
      <c r="I2373" s="18" t="s">
        <v>46</v>
      </c>
      <c r="J2373" s="18" t="s">
        <v>82</v>
      </c>
      <c r="K2373" s="18">
        <v>9</v>
      </c>
      <c r="L2373" s="20">
        <v>3328.58</v>
      </c>
      <c r="M2373" s="21">
        <v>0.2</v>
      </c>
      <c r="N2373" s="21">
        <v>0.73447321072710003</v>
      </c>
      <c r="O2373" s="20">
        <f t="shared" si="148"/>
        <v>23965.776000000002</v>
      </c>
      <c r="P2373" s="20">
        <f t="shared" si="149"/>
        <v>17602.220446286479</v>
      </c>
      <c r="Q2373" s="20">
        <f t="shared" si="150"/>
        <v>6363.5555537135224</v>
      </c>
      <c r="R2373" s="22">
        <f t="shared" si="151"/>
        <v>0.26552678927289991</v>
      </c>
    </row>
    <row r="2374" spans="1:18">
      <c r="A2374" s="18">
        <v>3373</v>
      </c>
      <c r="B2374" s="19" t="s">
        <v>798</v>
      </c>
      <c r="C2374" s="18">
        <v>2025</v>
      </c>
      <c r="D2374" s="18" t="s">
        <v>63</v>
      </c>
      <c r="E2374" s="18" t="s">
        <v>79</v>
      </c>
      <c r="F2374" s="18" t="s">
        <v>100</v>
      </c>
      <c r="G2374" s="18" t="s">
        <v>44</v>
      </c>
      <c r="H2374" s="18" t="s">
        <v>119</v>
      </c>
      <c r="I2374" s="18" t="s">
        <v>54</v>
      </c>
      <c r="J2374" s="18" t="s">
        <v>91</v>
      </c>
      <c r="K2374" s="18">
        <v>4</v>
      </c>
      <c r="L2374" s="20">
        <v>7083.79</v>
      </c>
      <c r="M2374" s="21">
        <v>0.05</v>
      </c>
      <c r="N2374" s="21">
        <v>0.60180961272450395</v>
      </c>
      <c r="O2374" s="20">
        <f t="shared" si="148"/>
        <v>26918.401999999998</v>
      </c>
      <c r="P2374" s="20">
        <f t="shared" si="149"/>
        <v>16199.753082782512</v>
      </c>
      <c r="Q2374" s="20">
        <f t="shared" si="150"/>
        <v>10718.648917217486</v>
      </c>
      <c r="R2374" s="22">
        <f t="shared" si="151"/>
        <v>0.39819038727549605</v>
      </c>
    </row>
    <row r="2375" spans="1:18">
      <c r="A2375" s="18">
        <v>3374</v>
      </c>
      <c r="B2375" s="19" t="s">
        <v>798</v>
      </c>
      <c r="C2375" s="18">
        <v>2025</v>
      </c>
      <c r="D2375" s="18" t="s">
        <v>63</v>
      </c>
      <c r="E2375" s="18" t="s">
        <v>79</v>
      </c>
      <c r="F2375" s="18" t="s">
        <v>80</v>
      </c>
      <c r="G2375" s="18" t="s">
        <v>44</v>
      </c>
      <c r="H2375" s="18" t="s">
        <v>119</v>
      </c>
      <c r="I2375" s="18" t="s">
        <v>46</v>
      </c>
      <c r="J2375" s="18" t="s">
        <v>91</v>
      </c>
      <c r="K2375" s="18">
        <v>4</v>
      </c>
      <c r="L2375" s="20">
        <v>6823.09</v>
      </c>
      <c r="M2375" s="21">
        <v>0</v>
      </c>
      <c r="N2375" s="21">
        <v>0.55131210827440702</v>
      </c>
      <c r="O2375" s="20">
        <f t="shared" si="148"/>
        <v>27292.36</v>
      </c>
      <c r="P2375" s="20">
        <f t="shared" si="149"/>
        <v>15046.608531384096</v>
      </c>
      <c r="Q2375" s="20">
        <f t="shared" si="150"/>
        <v>12245.751468615905</v>
      </c>
      <c r="R2375" s="22">
        <f t="shared" si="151"/>
        <v>0.44868789172559298</v>
      </c>
    </row>
    <row r="2376" spans="1:18">
      <c r="A2376" s="18">
        <v>3375</v>
      </c>
      <c r="B2376" s="19" t="s">
        <v>798</v>
      </c>
      <c r="C2376" s="18">
        <v>2025</v>
      </c>
      <c r="D2376" s="18" t="s">
        <v>63</v>
      </c>
      <c r="E2376" s="18" t="s">
        <v>88</v>
      </c>
      <c r="F2376" s="18" t="s">
        <v>110</v>
      </c>
      <c r="G2376" s="18" t="s">
        <v>47</v>
      </c>
      <c r="H2376" s="18" t="s">
        <v>81</v>
      </c>
      <c r="I2376" s="18" t="s">
        <v>40</v>
      </c>
      <c r="J2376" s="18" t="s">
        <v>82</v>
      </c>
      <c r="K2376" s="18">
        <v>6</v>
      </c>
      <c r="L2376" s="20">
        <v>832.47</v>
      </c>
      <c r="M2376" s="21">
        <v>0.05</v>
      </c>
      <c r="N2376" s="21">
        <v>0.61881049253569098</v>
      </c>
      <c r="O2376" s="20">
        <f t="shared" si="148"/>
        <v>4745.0789999999997</v>
      </c>
      <c r="P2376" s="20">
        <f t="shared" si="149"/>
        <v>2936.3046731107638</v>
      </c>
      <c r="Q2376" s="20">
        <f t="shared" si="150"/>
        <v>1808.7743268892359</v>
      </c>
      <c r="R2376" s="22">
        <f t="shared" si="151"/>
        <v>0.38118950746430902</v>
      </c>
    </row>
    <row r="2377" spans="1:18">
      <c r="A2377" s="18">
        <v>3376</v>
      </c>
      <c r="B2377" s="19" t="s">
        <v>799</v>
      </c>
      <c r="C2377" s="18">
        <v>2025</v>
      </c>
      <c r="D2377" s="18" t="s">
        <v>63</v>
      </c>
      <c r="E2377" s="18" t="s">
        <v>79</v>
      </c>
      <c r="F2377" s="18" t="s">
        <v>80</v>
      </c>
      <c r="G2377" s="18" t="s">
        <v>44</v>
      </c>
      <c r="H2377" s="18" t="s">
        <v>114</v>
      </c>
      <c r="I2377" s="18" t="s">
        <v>52</v>
      </c>
      <c r="J2377" s="18" t="s">
        <v>91</v>
      </c>
      <c r="K2377" s="18">
        <v>12</v>
      </c>
      <c r="L2377" s="20">
        <v>9164.66</v>
      </c>
      <c r="M2377" s="21">
        <v>0</v>
      </c>
      <c r="N2377" s="21">
        <v>0.59520726480382102</v>
      </c>
      <c r="O2377" s="20">
        <f t="shared" si="148"/>
        <v>109975.92</v>
      </c>
      <c r="P2377" s="20">
        <f t="shared" si="149"/>
        <v>65458.466537483837</v>
      </c>
      <c r="Q2377" s="20">
        <f t="shared" si="150"/>
        <v>44517.453462516161</v>
      </c>
      <c r="R2377" s="22">
        <f t="shared" si="151"/>
        <v>0.40479273519617898</v>
      </c>
    </row>
    <row r="2378" spans="1:18">
      <c r="A2378" s="18">
        <v>3377</v>
      </c>
      <c r="B2378" s="19" t="s">
        <v>799</v>
      </c>
      <c r="C2378" s="18">
        <v>2025</v>
      </c>
      <c r="D2378" s="18" t="s">
        <v>63</v>
      </c>
      <c r="E2378" s="18" t="s">
        <v>85</v>
      </c>
      <c r="F2378" s="18" t="s">
        <v>94</v>
      </c>
      <c r="G2378" s="18" t="s">
        <v>47</v>
      </c>
      <c r="H2378" s="18" t="s">
        <v>103</v>
      </c>
      <c r="I2378" s="18" t="s">
        <v>49</v>
      </c>
      <c r="J2378" s="18" t="s">
        <v>102</v>
      </c>
      <c r="K2378" s="18">
        <v>4</v>
      </c>
      <c r="L2378" s="20">
        <v>3281.62</v>
      </c>
      <c r="M2378" s="21">
        <v>0</v>
      </c>
      <c r="N2378" s="21">
        <v>0.58854962121717203</v>
      </c>
      <c r="O2378" s="20">
        <f t="shared" si="148"/>
        <v>13126.48</v>
      </c>
      <c r="P2378" s="20">
        <f t="shared" si="149"/>
        <v>7725.5848319147844</v>
      </c>
      <c r="Q2378" s="20">
        <f t="shared" si="150"/>
        <v>5400.8951680852151</v>
      </c>
      <c r="R2378" s="22">
        <f t="shared" si="151"/>
        <v>0.41145037878282792</v>
      </c>
    </row>
    <row r="2379" spans="1:18">
      <c r="A2379" s="18">
        <v>3378</v>
      </c>
      <c r="B2379" s="19" t="s">
        <v>800</v>
      </c>
      <c r="C2379" s="18">
        <v>2025</v>
      </c>
      <c r="D2379" s="18" t="s">
        <v>63</v>
      </c>
      <c r="E2379" s="18" t="s">
        <v>98</v>
      </c>
      <c r="F2379" s="18" t="s">
        <v>117</v>
      </c>
      <c r="G2379" s="18" t="s">
        <v>50</v>
      </c>
      <c r="H2379" s="18" t="s">
        <v>83</v>
      </c>
      <c r="I2379" s="18" t="s">
        <v>62</v>
      </c>
      <c r="J2379" s="18" t="s">
        <v>91</v>
      </c>
      <c r="K2379" s="18">
        <v>3</v>
      </c>
      <c r="L2379" s="20">
        <v>3327.53</v>
      </c>
      <c r="M2379" s="21">
        <v>0.15</v>
      </c>
      <c r="N2379" s="21">
        <v>0.55533045880022602</v>
      </c>
      <c r="O2379" s="20">
        <f t="shared" si="148"/>
        <v>8485.2014999999992</v>
      </c>
      <c r="P2379" s="20">
        <f t="shared" si="149"/>
        <v>4712.0908420073656</v>
      </c>
      <c r="Q2379" s="20">
        <f t="shared" si="150"/>
        <v>3773.1106579926336</v>
      </c>
      <c r="R2379" s="22">
        <f t="shared" si="151"/>
        <v>0.44466954119977398</v>
      </c>
    </row>
    <row r="2380" spans="1:18">
      <c r="A2380" s="18">
        <v>3379</v>
      </c>
      <c r="B2380" s="19" t="s">
        <v>800</v>
      </c>
      <c r="C2380" s="18">
        <v>2025</v>
      </c>
      <c r="D2380" s="18" t="s">
        <v>63</v>
      </c>
      <c r="E2380" s="18" t="s">
        <v>88</v>
      </c>
      <c r="F2380" s="18" t="s">
        <v>110</v>
      </c>
      <c r="G2380" s="18" t="s">
        <v>44</v>
      </c>
      <c r="H2380" s="18" t="s">
        <v>114</v>
      </c>
      <c r="I2380" s="18" t="s">
        <v>52</v>
      </c>
      <c r="J2380" s="18" t="s">
        <v>82</v>
      </c>
      <c r="K2380" s="18">
        <v>3</v>
      </c>
      <c r="L2380" s="20">
        <v>9341.73</v>
      </c>
      <c r="M2380" s="21">
        <v>0</v>
      </c>
      <c r="N2380" s="21">
        <v>0.63886620369564895</v>
      </c>
      <c r="O2380" s="20">
        <f t="shared" si="148"/>
        <v>28025.19</v>
      </c>
      <c r="P2380" s="20">
        <f t="shared" si="149"/>
        <v>17904.346743149265</v>
      </c>
      <c r="Q2380" s="20">
        <f t="shared" si="150"/>
        <v>10120.843256850734</v>
      </c>
      <c r="R2380" s="22">
        <f t="shared" si="151"/>
        <v>0.361133796304351</v>
      </c>
    </row>
    <row r="2381" spans="1:18">
      <c r="A2381" s="18">
        <v>3380</v>
      </c>
      <c r="B2381" s="19" t="s">
        <v>800</v>
      </c>
      <c r="C2381" s="18">
        <v>2025</v>
      </c>
      <c r="D2381" s="18" t="s">
        <v>63</v>
      </c>
      <c r="E2381" s="18" t="s">
        <v>98</v>
      </c>
      <c r="F2381" s="18" t="s">
        <v>99</v>
      </c>
      <c r="G2381" s="18" t="s">
        <v>50</v>
      </c>
      <c r="H2381" s="18" t="s">
        <v>97</v>
      </c>
      <c r="I2381" s="18" t="s">
        <v>62</v>
      </c>
      <c r="J2381" s="18" t="s">
        <v>102</v>
      </c>
      <c r="K2381" s="18">
        <v>10</v>
      </c>
      <c r="L2381" s="20">
        <v>11560.68</v>
      </c>
      <c r="M2381" s="21">
        <v>0</v>
      </c>
      <c r="N2381" s="21">
        <v>0.573580879185562</v>
      </c>
      <c r="O2381" s="20">
        <f t="shared" si="148"/>
        <v>115606.8</v>
      </c>
      <c r="P2381" s="20">
        <f t="shared" si="149"/>
        <v>66309.849983829437</v>
      </c>
      <c r="Q2381" s="20">
        <f t="shared" si="150"/>
        <v>49296.950016170566</v>
      </c>
      <c r="R2381" s="22">
        <f t="shared" si="151"/>
        <v>0.42641912081443795</v>
      </c>
    </row>
    <row r="2382" spans="1:18">
      <c r="A2382" s="18">
        <v>3381</v>
      </c>
      <c r="B2382" s="19" t="s">
        <v>801</v>
      </c>
      <c r="C2382" s="18">
        <v>2025</v>
      </c>
      <c r="D2382" s="18" t="s">
        <v>63</v>
      </c>
      <c r="E2382" s="18" t="s">
        <v>85</v>
      </c>
      <c r="F2382" s="18" t="s">
        <v>121</v>
      </c>
      <c r="G2382" s="18" t="s">
        <v>44</v>
      </c>
      <c r="H2382" s="18" t="s">
        <v>119</v>
      </c>
      <c r="I2382" s="18" t="s">
        <v>58</v>
      </c>
      <c r="J2382" s="18" t="s">
        <v>91</v>
      </c>
      <c r="K2382" s="18">
        <v>5</v>
      </c>
      <c r="L2382" s="20">
        <v>7061.6</v>
      </c>
      <c r="M2382" s="21">
        <v>0.05</v>
      </c>
      <c r="N2382" s="21">
        <v>0.58201062242026103</v>
      </c>
      <c r="O2382" s="20">
        <f t="shared" si="148"/>
        <v>33542.6</v>
      </c>
      <c r="P2382" s="20">
        <f t="shared" si="149"/>
        <v>19522.149503593846</v>
      </c>
      <c r="Q2382" s="20">
        <f t="shared" si="150"/>
        <v>14020.450496406153</v>
      </c>
      <c r="R2382" s="22">
        <f t="shared" si="151"/>
        <v>0.41798937757973897</v>
      </c>
    </row>
    <row r="2383" spans="1:18">
      <c r="A2383" s="18">
        <v>3382</v>
      </c>
      <c r="B2383" s="19" t="s">
        <v>801</v>
      </c>
      <c r="C2383" s="18">
        <v>2025</v>
      </c>
      <c r="D2383" s="18" t="s">
        <v>63</v>
      </c>
      <c r="E2383" s="18" t="s">
        <v>79</v>
      </c>
      <c r="F2383" s="18" t="s">
        <v>105</v>
      </c>
      <c r="G2383" s="18" t="s">
        <v>44</v>
      </c>
      <c r="H2383" s="18" t="s">
        <v>95</v>
      </c>
      <c r="I2383" s="18" t="s">
        <v>52</v>
      </c>
      <c r="J2383" s="18" t="s">
        <v>102</v>
      </c>
      <c r="K2383" s="18">
        <v>2</v>
      </c>
      <c r="L2383" s="20">
        <v>4529.8599999999997</v>
      </c>
      <c r="M2383" s="21">
        <v>0.1</v>
      </c>
      <c r="N2383" s="21">
        <v>0.618379565510354</v>
      </c>
      <c r="O2383" s="20">
        <f t="shared" si="148"/>
        <v>8153.7479999999996</v>
      </c>
      <c r="P2383" s="20">
        <f t="shared" si="149"/>
        <v>5042.1111455209175</v>
      </c>
      <c r="Q2383" s="20">
        <f t="shared" si="150"/>
        <v>3111.6368544790821</v>
      </c>
      <c r="R2383" s="22">
        <f t="shared" si="151"/>
        <v>0.381620434489646</v>
      </c>
    </row>
    <row r="2384" spans="1:18">
      <c r="A2384" s="18">
        <v>3383</v>
      </c>
      <c r="B2384" s="19" t="s">
        <v>801</v>
      </c>
      <c r="C2384" s="18">
        <v>2025</v>
      </c>
      <c r="D2384" s="18" t="s">
        <v>63</v>
      </c>
      <c r="E2384" s="18" t="s">
        <v>79</v>
      </c>
      <c r="F2384" s="18" t="s">
        <v>80</v>
      </c>
      <c r="G2384" s="18" t="s">
        <v>44</v>
      </c>
      <c r="H2384" s="18" t="s">
        <v>119</v>
      </c>
      <c r="I2384" s="18" t="s">
        <v>56</v>
      </c>
      <c r="J2384" s="18" t="s">
        <v>91</v>
      </c>
      <c r="K2384" s="18">
        <v>2</v>
      </c>
      <c r="L2384" s="20">
        <v>7142.09</v>
      </c>
      <c r="M2384" s="21">
        <v>0</v>
      </c>
      <c r="N2384" s="21">
        <v>0.64632351602968097</v>
      </c>
      <c r="O2384" s="20">
        <f t="shared" si="148"/>
        <v>14284.18</v>
      </c>
      <c r="P2384" s="20">
        <f t="shared" si="149"/>
        <v>9232.2014412008484</v>
      </c>
      <c r="Q2384" s="20">
        <f t="shared" si="150"/>
        <v>5051.9785587991519</v>
      </c>
      <c r="R2384" s="22">
        <f t="shared" si="151"/>
        <v>0.35367648397031903</v>
      </c>
    </row>
    <row r="2385" spans="1:18">
      <c r="A2385" s="18">
        <v>3384</v>
      </c>
      <c r="B2385" s="19" t="s">
        <v>802</v>
      </c>
      <c r="C2385" s="18">
        <v>2025</v>
      </c>
      <c r="D2385" s="18" t="s">
        <v>63</v>
      </c>
      <c r="E2385" s="18" t="s">
        <v>85</v>
      </c>
      <c r="F2385" s="18" t="s">
        <v>86</v>
      </c>
      <c r="G2385" s="18" t="s">
        <v>50</v>
      </c>
      <c r="H2385" s="18" t="s">
        <v>97</v>
      </c>
      <c r="I2385" s="18" t="s">
        <v>58</v>
      </c>
      <c r="J2385" s="18" t="s">
        <v>91</v>
      </c>
      <c r="K2385" s="18">
        <v>3</v>
      </c>
      <c r="L2385" s="20">
        <v>12201.34</v>
      </c>
      <c r="M2385" s="21">
        <v>0.15</v>
      </c>
      <c r="N2385" s="21">
        <v>0.67591106283338298</v>
      </c>
      <c r="O2385" s="20">
        <f t="shared" si="148"/>
        <v>31113.417000000001</v>
      </c>
      <c r="P2385" s="20">
        <f t="shared" si="149"/>
        <v>21029.902752848247</v>
      </c>
      <c r="Q2385" s="20">
        <f t="shared" si="150"/>
        <v>10083.514247151754</v>
      </c>
      <c r="R2385" s="22">
        <f t="shared" si="151"/>
        <v>0.32408893716661702</v>
      </c>
    </row>
    <row r="2386" spans="1:18">
      <c r="A2386" s="18">
        <v>3385</v>
      </c>
      <c r="B2386" s="19" t="s">
        <v>802</v>
      </c>
      <c r="C2386" s="18">
        <v>2025</v>
      </c>
      <c r="D2386" s="18" t="s">
        <v>63</v>
      </c>
      <c r="E2386" s="18" t="s">
        <v>85</v>
      </c>
      <c r="F2386" s="18" t="s">
        <v>121</v>
      </c>
      <c r="G2386" s="18" t="s">
        <v>50</v>
      </c>
      <c r="H2386" s="18" t="s">
        <v>83</v>
      </c>
      <c r="I2386" s="18" t="s">
        <v>46</v>
      </c>
      <c r="J2386" s="18" t="s">
        <v>102</v>
      </c>
      <c r="K2386" s="18">
        <v>1</v>
      </c>
      <c r="L2386" s="20">
        <v>3636.62</v>
      </c>
      <c r="M2386" s="21">
        <v>0.1</v>
      </c>
      <c r="N2386" s="21">
        <v>0.57409310556734905</v>
      </c>
      <c r="O2386" s="20">
        <f t="shared" si="148"/>
        <v>3272.9580000000001</v>
      </c>
      <c r="P2386" s="20">
        <f t="shared" si="149"/>
        <v>1878.9826226114997</v>
      </c>
      <c r="Q2386" s="20">
        <f t="shared" si="150"/>
        <v>1393.9753773885004</v>
      </c>
      <c r="R2386" s="22">
        <f t="shared" si="151"/>
        <v>0.42590689443265095</v>
      </c>
    </row>
    <row r="2387" spans="1:18">
      <c r="A2387" s="18">
        <v>3386</v>
      </c>
      <c r="B2387" s="19" t="s">
        <v>802</v>
      </c>
      <c r="C2387" s="18">
        <v>2025</v>
      </c>
      <c r="D2387" s="18" t="s">
        <v>63</v>
      </c>
      <c r="E2387" s="18" t="s">
        <v>88</v>
      </c>
      <c r="F2387" s="18" t="s">
        <v>110</v>
      </c>
      <c r="G2387" s="18" t="s">
        <v>41</v>
      </c>
      <c r="H2387" s="18" t="s">
        <v>101</v>
      </c>
      <c r="I2387" s="18" t="s">
        <v>60</v>
      </c>
      <c r="J2387" s="18" t="s">
        <v>91</v>
      </c>
      <c r="K2387" s="18">
        <v>6</v>
      </c>
      <c r="L2387" s="20">
        <v>57060.08</v>
      </c>
      <c r="M2387" s="21">
        <v>0.05</v>
      </c>
      <c r="N2387" s="21">
        <v>0.56221688418247096</v>
      </c>
      <c r="O2387" s="20">
        <f t="shared" si="148"/>
        <v>325242.45599999995</v>
      </c>
      <c r="P2387" s="20">
        <f t="shared" si="149"/>
        <v>182856.80021617436</v>
      </c>
      <c r="Q2387" s="20">
        <f t="shared" si="150"/>
        <v>142385.65578382558</v>
      </c>
      <c r="R2387" s="22">
        <f t="shared" si="151"/>
        <v>0.4377831158175291</v>
      </c>
    </row>
    <row r="2388" spans="1:18">
      <c r="A2388" s="18">
        <v>3387</v>
      </c>
      <c r="B2388" s="19" t="s">
        <v>803</v>
      </c>
      <c r="C2388" s="18">
        <v>2025</v>
      </c>
      <c r="D2388" s="18" t="s">
        <v>63</v>
      </c>
      <c r="E2388" s="18" t="s">
        <v>79</v>
      </c>
      <c r="F2388" s="18" t="s">
        <v>100</v>
      </c>
      <c r="G2388" s="18" t="s">
        <v>47</v>
      </c>
      <c r="H2388" s="18" t="s">
        <v>103</v>
      </c>
      <c r="I2388" s="18" t="s">
        <v>49</v>
      </c>
      <c r="J2388" s="18" t="s">
        <v>91</v>
      </c>
      <c r="K2388" s="18">
        <v>6</v>
      </c>
      <c r="L2388" s="20">
        <v>3043.18</v>
      </c>
      <c r="M2388" s="21">
        <v>0</v>
      </c>
      <c r="N2388" s="21">
        <v>0.60418115587515198</v>
      </c>
      <c r="O2388" s="20">
        <f t="shared" si="148"/>
        <v>18259.079999999998</v>
      </c>
      <c r="P2388" s="20">
        <f t="shared" si="149"/>
        <v>11031.79205961687</v>
      </c>
      <c r="Q2388" s="20">
        <f t="shared" si="150"/>
        <v>7227.2879403831284</v>
      </c>
      <c r="R2388" s="22">
        <f t="shared" si="151"/>
        <v>0.39581884412484797</v>
      </c>
    </row>
    <row r="2389" spans="1:18">
      <c r="A2389" s="18">
        <v>3388</v>
      </c>
      <c r="B2389" s="19" t="s">
        <v>803</v>
      </c>
      <c r="C2389" s="18">
        <v>2025</v>
      </c>
      <c r="D2389" s="18" t="s">
        <v>63</v>
      </c>
      <c r="E2389" s="18" t="s">
        <v>88</v>
      </c>
      <c r="F2389" s="18" t="s">
        <v>110</v>
      </c>
      <c r="G2389" s="18" t="s">
        <v>41</v>
      </c>
      <c r="H2389" s="18" t="s">
        <v>106</v>
      </c>
      <c r="I2389" s="18" t="s">
        <v>49</v>
      </c>
      <c r="J2389" s="18" t="s">
        <v>102</v>
      </c>
      <c r="K2389" s="18">
        <v>1</v>
      </c>
      <c r="L2389" s="20">
        <v>2504.36</v>
      </c>
      <c r="M2389" s="21">
        <v>0.1</v>
      </c>
      <c r="N2389" s="21">
        <v>0.64702289241153799</v>
      </c>
      <c r="O2389" s="20">
        <f t="shared" si="148"/>
        <v>2253.924</v>
      </c>
      <c r="P2389" s="20">
        <f t="shared" si="149"/>
        <v>1458.3404257557834</v>
      </c>
      <c r="Q2389" s="20">
        <f t="shared" si="150"/>
        <v>795.58357424421661</v>
      </c>
      <c r="R2389" s="22">
        <f t="shared" si="151"/>
        <v>0.35297710758846201</v>
      </c>
    </row>
    <row r="2390" spans="1:18">
      <c r="A2390" s="18">
        <v>3389</v>
      </c>
      <c r="B2390" s="19" t="s">
        <v>803</v>
      </c>
      <c r="C2390" s="18">
        <v>2025</v>
      </c>
      <c r="D2390" s="18" t="s">
        <v>63</v>
      </c>
      <c r="E2390" s="18" t="s">
        <v>85</v>
      </c>
      <c r="F2390" s="18" t="s">
        <v>94</v>
      </c>
      <c r="G2390" s="18" t="s">
        <v>44</v>
      </c>
      <c r="H2390" s="18" t="s">
        <v>114</v>
      </c>
      <c r="I2390" s="18" t="s">
        <v>58</v>
      </c>
      <c r="J2390" s="18" t="s">
        <v>102</v>
      </c>
      <c r="K2390" s="18">
        <v>3</v>
      </c>
      <c r="L2390" s="20">
        <v>8886.93</v>
      </c>
      <c r="M2390" s="21">
        <v>0.2</v>
      </c>
      <c r="N2390" s="21">
        <v>0.60026485601062995</v>
      </c>
      <c r="O2390" s="20">
        <f t="shared" si="148"/>
        <v>21328.632000000001</v>
      </c>
      <c r="P2390" s="20">
        <f t="shared" si="149"/>
        <v>12802.828216383716</v>
      </c>
      <c r="Q2390" s="20">
        <f t="shared" si="150"/>
        <v>8525.8037836162857</v>
      </c>
      <c r="R2390" s="22">
        <f t="shared" si="151"/>
        <v>0.39973514398937005</v>
      </c>
    </row>
    <row r="2391" spans="1:18">
      <c r="A2391" s="18">
        <v>3390</v>
      </c>
      <c r="B2391" s="19" t="s">
        <v>804</v>
      </c>
      <c r="C2391" s="18">
        <v>2025</v>
      </c>
      <c r="D2391" s="18" t="s">
        <v>63</v>
      </c>
      <c r="E2391" s="18" t="s">
        <v>88</v>
      </c>
      <c r="F2391" s="18" t="s">
        <v>110</v>
      </c>
      <c r="G2391" s="18" t="s">
        <v>44</v>
      </c>
      <c r="H2391" s="18" t="s">
        <v>95</v>
      </c>
      <c r="I2391" s="18" t="s">
        <v>52</v>
      </c>
      <c r="J2391" s="18" t="s">
        <v>102</v>
      </c>
      <c r="K2391" s="18">
        <v>11</v>
      </c>
      <c r="L2391" s="20">
        <v>4419.6000000000004</v>
      </c>
      <c r="M2391" s="21">
        <v>0.15</v>
      </c>
      <c r="N2391" s="21">
        <v>0.70824338512042395</v>
      </c>
      <c r="O2391" s="20">
        <f t="shared" si="148"/>
        <v>41323.26</v>
      </c>
      <c r="P2391" s="20">
        <f t="shared" si="149"/>
        <v>29266.925546611412</v>
      </c>
      <c r="Q2391" s="20">
        <f t="shared" si="150"/>
        <v>12056.33445338859</v>
      </c>
      <c r="R2391" s="22">
        <f t="shared" si="151"/>
        <v>0.29175661487957605</v>
      </c>
    </row>
    <row r="2392" spans="1:18">
      <c r="A2392" s="18">
        <v>3391</v>
      </c>
      <c r="B2392" s="19" t="s">
        <v>804</v>
      </c>
      <c r="C2392" s="18">
        <v>2025</v>
      </c>
      <c r="D2392" s="18" t="s">
        <v>63</v>
      </c>
      <c r="E2392" s="18" t="s">
        <v>88</v>
      </c>
      <c r="F2392" s="18" t="s">
        <v>93</v>
      </c>
      <c r="G2392" s="18" t="s">
        <v>41</v>
      </c>
      <c r="H2392" s="18" t="s">
        <v>106</v>
      </c>
      <c r="I2392" s="18" t="s">
        <v>60</v>
      </c>
      <c r="J2392" s="18" t="s">
        <v>91</v>
      </c>
      <c r="K2392" s="18">
        <v>8</v>
      </c>
      <c r="L2392" s="20">
        <v>2385.36</v>
      </c>
      <c r="M2392" s="21">
        <v>0.1</v>
      </c>
      <c r="N2392" s="21">
        <v>0.67680947092503896</v>
      </c>
      <c r="O2392" s="20">
        <f t="shared" si="148"/>
        <v>17174.592000000001</v>
      </c>
      <c r="P2392" s="20">
        <f t="shared" si="149"/>
        <v>11623.926524873406</v>
      </c>
      <c r="Q2392" s="20">
        <f t="shared" si="150"/>
        <v>5550.6654751265942</v>
      </c>
      <c r="R2392" s="22">
        <f t="shared" si="151"/>
        <v>0.3231905290749611</v>
      </c>
    </row>
    <row r="2393" spans="1:18">
      <c r="A2393" s="18">
        <v>3392</v>
      </c>
      <c r="B2393" s="19" t="s">
        <v>804</v>
      </c>
      <c r="C2393" s="18">
        <v>2025</v>
      </c>
      <c r="D2393" s="18" t="s">
        <v>63</v>
      </c>
      <c r="E2393" s="18" t="s">
        <v>88</v>
      </c>
      <c r="F2393" s="18" t="s">
        <v>110</v>
      </c>
      <c r="G2393" s="18" t="s">
        <v>44</v>
      </c>
      <c r="H2393" s="18" t="s">
        <v>119</v>
      </c>
      <c r="I2393" s="18" t="s">
        <v>62</v>
      </c>
      <c r="J2393" s="18" t="s">
        <v>102</v>
      </c>
      <c r="K2393" s="18">
        <v>9</v>
      </c>
      <c r="L2393" s="20">
        <v>6951</v>
      </c>
      <c r="M2393" s="21">
        <v>0</v>
      </c>
      <c r="N2393" s="21">
        <v>0.62159368823857197</v>
      </c>
      <c r="O2393" s="20">
        <f t="shared" si="148"/>
        <v>62559</v>
      </c>
      <c r="P2393" s="20">
        <f t="shared" si="149"/>
        <v>38886.279542516822</v>
      </c>
      <c r="Q2393" s="20">
        <f t="shared" si="150"/>
        <v>23672.720457483178</v>
      </c>
      <c r="R2393" s="22">
        <f t="shared" si="151"/>
        <v>0.37840631176142803</v>
      </c>
    </row>
    <row r="2394" spans="1:18">
      <c r="A2394" s="18">
        <v>3393</v>
      </c>
      <c r="B2394" s="19" t="s">
        <v>805</v>
      </c>
      <c r="C2394" s="18">
        <v>2025</v>
      </c>
      <c r="D2394" s="18" t="s">
        <v>63</v>
      </c>
      <c r="E2394" s="18" t="s">
        <v>88</v>
      </c>
      <c r="F2394" s="18" t="s">
        <v>89</v>
      </c>
      <c r="G2394" s="18" t="s">
        <v>50</v>
      </c>
      <c r="H2394" s="18" t="s">
        <v>87</v>
      </c>
      <c r="I2394" s="18" t="s">
        <v>60</v>
      </c>
      <c r="J2394" s="18" t="s">
        <v>102</v>
      </c>
      <c r="K2394" s="18">
        <v>5</v>
      </c>
      <c r="L2394" s="20">
        <v>9937.0300000000007</v>
      </c>
      <c r="M2394" s="21">
        <v>0.05</v>
      </c>
      <c r="N2394" s="21">
        <v>0.56146601123127404</v>
      </c>
      <c r="O2394" s="20">
        <f t="shared" si="148"/>
        <v>47200.892500000002</v>
      </c>
      <c r="P2394" s="20">
        <f t="shared" si="149"/>
        <v>26501.696838531159</v>
      </c>
      <c r="Q2394" s="20">
        <f t="shared" si="150"/>
        <v>20699.195661468842</v>
      </c>
      <c r="R2394" s="22">
        <f t="shared" si="151"/>
        <v>0.43853398876872596</v>
      </c>
    </row>
    <row r="2395" spans="1:18">
      <c r="A2395" s="18">
        <v>3394</v>
      </c>
      <c r="B2395" s="19" t="s">
        <v>805</v>
      </c>
      <c r="C2395" s="18">
        <v>2025</v>
      </c>
      <c r="D2395" s="18" t="s">
        <v>63</v>
      </c>
      <c r="E2395" s="18" t="s">
        <v>98</v>
      </c>
      <c r="F2395" s="18" t="s">
        <v>99</v>
      </c>
      <c r="G2395" s="18" t="s">
        <v>47</v>
      </c>
      <c r="H2395" s="18" t="s">
        <v>103</v>
      </c>
      <c r="I2395" s="18" t="s">
        <v>60</v>
      </c>
      <c r="J2395" s="18" t="s">
        <v>102</v>
      </c>
      <c r="K2395" s="18">
        <v>4</v>
      </c>
      <c r="L2395" s="20">
        <v>3305.45</v>
      </c>
      <c r="M2395" s="21">
        <v>0.15</v>
      </c>
      <c r="N2395" s="21">
        <v>0.58435924794176297</v>
      </c>
      <c r="O2395" s="20">
        <f t="shared" si="148"/>
        <v>11238.529999999999</v>
      </c>
      <c r="P2395" s="20">
        <f t="shared" si="149"/>
        <v>6567.3389387709403</v>
      </c>
      <c r="Q2395" s="20">
        <f t="shared" si="150"/>
        <v>4671.1910612290585</v>
      </c>
      <c r="R2395" s="22">
        <f t="shared" si="151"/>
        <v>0.41564075205823708</v>
      </c>
    </row>
    <row r="2396" spans="1:18">
      <c r="A2396" s="18">
        <v>3395</v>
      </c>
      <c r="B2396" s="19" t="s">
        <v>806</v>
      </c>
      <c r="C2396" s="18">
        <v>2025</v>
      </c>
      <c r="D2396" s="18" t="s">
        <v>63</v>
      </c>
      <c r="E2396" s="18" t="s">
        <v>85</v>
      </c>
      <c r="F2396" s="18" t="s">
        <v>94</v>
      </c>
      <c r="G2396" s="18" t="s">
        <v>50</v>
      </c>
      <c r="H2396" s="18" t="s">
        <v>83</v>
      </c>
      <c r="I2396" s="18" t="s">
        <v>56</v>
      </c>
      <c r="J2396" s="18" t="s">
        <v>82</v>
      </c>
      <c r="K2396" s="18">
        <v>1</v>
      </c>
      <c r="L2396" s="20">
        <v>3583.88</v>
      </c>
      <c r="M2396" s="21">
        <v>0.05</v>
      </c>
      <c r="N2396" s="21">
        <v>0.62957971614935304</v>
      </c>
      <c r="O2396" s="20">
        <f t="shared" si="148"/>
        <v>3404.6860000000001</v>
      </c>
      <c r="P2396" s="20">
        <f t="shared" si="149"/>
        <v>2143.5212454576763</v>
      </c>
      <c r="Q2396" s="20">
        <f t="shared" si="150"/>
        <v>1261.1647545423239</v>
      </c>
      <c r="R2396" s="22">
        <f t="shared" si="151"/>
        <v>0.37042028385064696</v>
      </c>
    </row>
    <row r="2397" spans="1:18">
      <c r="A2397" s="18">
        <v>3396</v>
      </c>
      <c r="B2397" s="19" t="s">
        <v>806</v>
      </c>
      <c r="C2397" s="18">
        <v>2025</v>
      </c>
      <c r="D2397" s="18" t="s">
        <v>63</v>
      </c>
      <c r="E2397" s="18" t="s">
        <v>88</v>
      </c>
      <c r="F2397" s="18" t="s">
        <v>93</v>
      </c>
      <c r="G2397" s="18" t="s">
        <v>44</v>
      </c>
      <c r="H2397" s="18" t="s">
        <v>114</v>
      </c>
      <c r="I2397" s="18" t="s">
        <v>52</v>
      </c>
      <c r="J2397" s="18" t="s">
        <v>82</v>
      </c>
      <c r="K2397" s="18">
        <v>11</v>
      </c>
      <c r="L2397" s="20">
        <v>9337.41</v>
      </c>
      <c r="M2397" s="21">
        <v>0.2</v>
      </c>
      <c r="N2397" s="21">
        <v>0.62464643132709397</v>
      </c>
      <c r="O2397" s="20">
        <f t="shared" si="148"/>
        <v>82169.207999999999</v>
      </c>
      <c r="P2397" s="20">
        <f t="shared" si="149"/>
        <v>51326.702542173698</v>
      </c>
      <c r="Q2397" s="20">
        <f t="shared" si="150"/>
        <v>30842.505457826301</v>
      </c>
      <c r="R2397" s="22">
        <f t="shared" si="151"/>
        <v>0.37535356867290603</v>
      </c>
    </row>
    <row r="2398" spans="1:18">
      <c r="A2398" s="18">
        <v>3397</v>
      </c>
      <c r="B2398" s="19" t="s">
        <v>806</v>
      </c>
      <c r="C2398" s="18">
        <v>2025</v>
      </c>
      <c r="D2398" s="18" t="s">
        <v>63</v>
      </c>
      <c r="E2398" s="18" t="s">
        <v>85</v>
      </c>
      <c r="F2398" s="18" t="s">
        <v>86</v>
      </c>
      <c r="G2398" s="18" t="s">
        <v>44</v>
      </c>
      <c r="H2398" s="18" t="s">
        <v>119</v>
      </c>
      <c r="I2398" s="18" t="s">
        <v>46</v>
      </c>
      <c r="J2398" s="18" t="s">
        <v>91</v>
      </c>
      <c r="K2398" s="18">
        <v>1</v>
      </c>
      <c r="L2398" s="20">
        <v>7178.49</v>
      </c>
      <c r="M2398" s="21">
        <v>0.15</v>
      </c>
      <c r="N2398" s="21">
        <v>0.58667020701269601</v>
      </c>
      <c r="O2398" s="20">
        <f t="shared" si="148"/>
        <v>6101.7164999999995</v>
      </c>
      <c r="P2398" s="20">
        <f t="shared" si="149"/>
        <v>3579.6952821877826</v>
      </c>
      <c r="Q2398" s="20">
        <f t="shared" si="150"/>
        <v>2522.0212178122169</v>
      </c>
      <c r="R2398" s="22">
        <f t="shared" si="151"/>
        <v>0.41332979298730399</v>
      </c>
    </row>
    <row r="2399" spans="1:18">
      <c r="A2399" s="18">
        <v>3398</v>
      </c>
      <c r="B2399" s="19" t="s">
        <v>806</v>
      </c>
      <c r="C2399" s="18">
        <v>2025</v>
      </c>
      <c r="D2399" s="18" t="s">
        <v>63</v>
      </c>
      <c r="E2399" s="18" t="s">
        <v>85</v>
      </c>
      <c r="F2399" s="18" t="s">
        <v>86</v>
      </c>
      <c r="G2399" s="18" t="s">
        <v>47</v>
      </c>
      <c r="H2399" s="18" t="s">
        <v>107</v>
      </c>
      <c r="I2399" s="18" t="s">
        <v>46</v>
      </c>
      <c r="J2399" s="18" t="s">
        <v>102</v>
      </c>
      <c r="K2399" s="18">
        <v>7</v>
      </c>
      <c r="L2399" s="20">
        <v>2131.5100000000002</v>
      </c>
      <c r="M2399" s="21">
        <v>0.05</v>
      </c>
      <c r="N2399" s="21">
        <v>0.72616237726849298</v>
      </c>
      <c r="O2399" s="20">
        <f t="shared" si="148"/>
        <v>14174.541500000001</v>
      </c>
      <c r="P2399" s="20">
        <f t="shared" si="149"/>
        <v>10293.018752330911</v>
      </c>
      <c r="Q2399" s="20">
        <f t="shared" si="150"/>
        <v>3881.5227476690907</v>
      </c>
      <c r="R2399" s="22">
        <f t="shared" si="151"/>
        <v>0.27383762273150708</v>
      </c>
    </row>
    <row r="2400" spans="1:18">
      <c r="A2400" s="18">
        <v>3399</v>
      </c>
      <c r="B2400" s="19" t="s">
        <v>807</v>
      </c>
      <c r="C2400" s="18">
        <v>2025</v>
      </c>
      <c r="D2400" s="18" t="s">
        <v>63</v>
      </c>
      <c r="E2400" s="18" t="s">
        <v>79</v>
      </c>
      <c r="F2400" s="18" t="s">
        <v>100</v>
      </c>
      <c r="G2400" s="18" t="s">
        <v>44</v>
      </c>
      <c r="H2400" s="18" t="s">
        <v>119</v>
      </c>
      <c r="I2400" s="18" t="s">
        <v>52</v>
      </c>
      <c r="J2400" s="18" t="s">
        <v>82</v>
      </c>
      <c r="K2400" s="18">
        <v>5</v>
      </c>
      <c r="L2400" s="20">
        <v>7048.81</v>
      </c>
      <c r="M2400" s="21">
        <v>0</v>
      </c>
      <c r="N2400" s="21">
        <v>0.66880432965076697</v>
      </c>
      <c r="O2400" s="20">
        <f t="shared" si="148"/>
        <v>35244.050000000003</v>
      </c>
      <c r="P2400" s="20">
        <f t="shared" si="149"/>
        <v>23571.373234428116</v>
      </c>
      <c r="Q2400" s="20">
        <f t="shared" si="150"/>
        <v>11672.676765571887</v>
      </c>
      <c r="R2400" s="22">
        <f t="shared" si="151"/>
        <v>0.33119567034923303</v>
      </c>
    </row>
    <row r="2401" spans="1:18">
      <c r="A2401" s="18">
        <v>3400</v>
      </c>
      <c r="B2401" s="19" t="s">
        <v>807</v>
      </c>
      <c r="C2401" s="18">
        <v>2025</v>
      </c>
      <c r="D2401" s="18" t="s">
        <v>63</v>
      </c>
      <c r="E2401" s="18" t="s">
        <v>79</v>
      </c>
      <c r="F2401" s="18" t="s">
        <v>80</v>
      </c>
      <c r="G2401" s="18" t="s">
        <v>50</v>
      </c>
      <c r="H2401" s="18" t="s">
        <v>97</v>
      </c>
      <c r="I2401" s="18" t="s">
        <v>46</v>
      </c>
      <c r="J2401" s="18" t="s">
        <v>102</v>
      </c>
      <c r="K2401" s="18">
        <v>8</v>
      </c>
      <c r="L2401" s="20">
        <v>11447.71</v>
      </c>
      <c r="M2401" s="21">
        <v>0.1</v>
      </c>
      <c r="N2401" s="21">
        <v>0.629700383544336</v>
      </c>
      <c r="O2401" s="20">
        <f t="shared" si="148"/>
        <v>82423.512000000002</v>
      </c>
      <c r="P2401" s="20">
        <f t="shared" si="149"/>
        <v>51902.117119471179</v>
      </c>
      <c r="Q2401" s="20">
        <f t="shared" si="150"/>
        <v>30521.394880528824</v>
      </c>
      <c r="R2401" s="22">
        <f t="shared" si="151"/>
        <v>0.37029961645566406</v>
      </c>
    </row>
    <row r="2402" spans="1:18">
      <c r="A2402" s="18">
        <v>3401</v>
      </c>
      <c r="B2402" s="19" t="s">
        <v>808</v>
      </c>
      <c r="C2402" s="18">
        <v>2025</v>
      </c>
      <c r="D2402" s="18" t="s">
        <v>63</v>
      </c>
      <c r="E2402" s="18" t="s">
        <v>98</v>
      </c>
      <c r="F2402" s="18" t="s">
        <v>117</v>
      </c>
      <c r="G2402" s="18" t="s">
        <v>47</v>
      </c>
      <c r="H2402" s="18" t="s">
        <v>107</v>
      </c>
      <c r="I2402" s="18" t="s">
        <v>49</v>
      </c>
      <c r="J2402" s="18" t="s">
        <v>82</v>
      </c>
      <c r="K2402" s="18">
        <v>2</v>
      </c>
      <c r="L2402" s="20">
        <v>2194.9899999999998</v>
      </c>
      <c r="M2402" s="21">
        <v>0.05</v>
      </c>
      <c r="N2402" s="21">
        <v>0.67940318143269096</v>
      </c>
      <c r="O2402" s="20">
        <f t="shared" si="148"/>
        <v>4170.4809999999998</v>
      </c>
      <c r="P2402" s="20">
        <f t="shared" si="149"/>
        <v>2833.4380595045905</v>
      </c>
      <c r="Q2402" s="20">
        <f t="shared" si="150"/>
        <v>1337.0429404954093</v>
      </c>
      <c r="R2402" s="22">
        <f t="shared" si="151"/>
        <v>0.32059681856730898</v>
      </c>
    </row>
    <row r="2403" spans="1:18">
      <c r="A2403" s="18">
        <v>3402</v>
      </c>
      <c r="B2403" s="19" t="s">
        <v>808</v>
      </c>
      <c r="C2403" s="18">
        <v>2025</v>
      </c>
      <c r="D2403" s="18" t="s">
        <v>63</v>
      </c>
      <c r="E2403" s="18" t="s">
        <v>79</v>
      </c>
      <c r="F2403" s="18" t="s">
        <v>80</v>
      </c>
      <c r="G2403" s="18" t="s">
        <v>44</v>
      </c>
      <c r="H2403" s="18" t="s">
        <v>95</v>
      </c>
      <c r="I2403" s="18" t="s">
        <v>43</v>
      </c>
      <c r="J2403" s="18" t="s">
        <v>82</v>
      </c>
      <c r="K2403" s="18">
        <v>12</v>
      </c>
      <c r="L2403" s="20">
        <v>4617.12</v>
      </c>
      <c r="M2403" s="21">
        <v>0.15</v>
      </c>
      <c r="N2403" s="21">
        <v>0.593921204277292</v>
      </c>
      <c r="O2403" s="20">
        <f t="shared" si="148"/>
        <v>47094.624000000003</v>
      </c>
      <c r="P2403" s="20">
        <f t="shared" si="149"/>
        <v>27970.495801066259</v>
      </c>
      <c r="Q2403" s="20">
        <f t="shared" si="150"/>
        <v>19124.128198933744</v>
      </c>
      <c r="R2403" s="22">
        <f t="shared" si="151"/>
        <v>0.406078795722708</v>
      </c>
    </row>
    <row r="2404" spans="1:18">
      <c r="A2404" s="18">
        <v>3403</v>
      </c>
      <c r="B2404" s="19" t="s">
        <v>808</v>
      </c>
      <c r="C2404" s="18">
        <v>2025</v>
      </c>
      <c r="D2404" s="18" t="s">
        <v>63</v>
      </c>
      <c r="E2404" s="18" t="s">
        <v>98</v>
      </c>
      <c r="F2404" s="18" t="s">
        <v>117</v>
      </c>
      <c r="G2404" s="18" t="s">
        <v>44</v>
      </c>
      <c r="H2404" s="18" t="s">
        <v>119</v>
      </c>
      <c r="I2404" s="18" t="s">
        <v>46</v>
      </c>
      <c r="J2404" s="18" t="s">
        <v>91</v>
      </c>
      <c r="K2404" s="18">
        <v>8</v>
      </c>
      <c r="L2404" s="20">
        <v>6715.55</v>
      </c>
      <c r="M2404" s="21">
        <v>0.15</v>
      </c>
      <c r="N2404" s="21">
        <v>0.59443855640638099</v>
      </c>
      <c r="O2404" s="20">
        <f t="shared" si="148"/>
        <v>45665.74</v>
      </c>
      <c r="P2404" s="20">
        <f t="shared" si="149"/>
        <v>27145.476562829128</v>
      </c>
      <c r="Q2404" s="20">
        <f t="shared" si="150"/>
        <v>18520.26343717087</v>
      </c>
      <c r="R2404" s="22">
        <f t="shared" si="151"/>
        <v>0.40556144359361901</v>
      </c>
    </row>
    <row r="2405" spans="1:18">
      <c r="A2405" s="18">
        <v>3404</v>
      </c>
      <c r="B2405" s="19" t="s">
        <v>808</v>
      </c>
      <c r="C2405" s="18">
        <v>2025</v>
      </c>
      <c r="D2405" s="18" t="s">
        <v>63</v>
      </c>
      <c r="E2405" s="18" t="s">
        <v>79</v>
      </c>
      <c r="F2405" s="18" t="s">
        <v>80</v>
      </c>
      <c r="G2405" s="18" t="s">
        <v>41</v>
      </c>
      <c r="H2405" s="18" t="s">
        <v>112</v>
      </c>
      <c r="I2405" s="18" t="s">
        <v>40</v>
      </c>
      <c r="J2405" s="18" t="s">
        <v>102</v>
      </c>
      <c r="K2405" s="18">
        <v>3</v>
      </c>
      <c r="L2405" s="20">
        <v>5976.84</v>
      </c>
      <c r="M2405" s="21">
        <v>0.2</v>
      </c>
      <c r="N2405" s="21">
        <v>0.55745437341983695</v>
      </c>
      <c r="O2405" s="20">
        <f t="shared" si="148"/>
        <v>14344.416000000001</v>
      </c>
      <c r="P2405" s="20">
        <f t="shared" si="149"/>
        <v>7996.3574333534843</v>
      </c>
      <c r="Q2405" s="20">
        <f t="shared" si="150"/>
        <v>6348.0585666465167</v>
      </c>
      <c r="R2405" s="22">
        <f t="shared" si="151"/>
        <v>0.44254562658016305</v>
      </c>
    </row>
    <row r="2406" spans="1:18">
      <c r="A2406" s="18">
        <v>3405</v>
      </c>
      <c r="B2406" s="19" t="s">
        <v>809</v>
      </c>
      <c r="C2406" s="18">
        <v>2025</v>
      </c>
      <c r="D2406" s="18" t="s">
        <v>63</v>
      </c>
      <c r="E2406" s="18" t="s">
        <v>98</v>
      </c>
      <c r="F2406" s="18" t="s">
        <v>109</v>
      </c>
      <c r="G2406" s="18" t="s">
        <v>41</v>
      </c>
      <c r="H2406" s="18" t="s">
        <v>112</v>
      </c>
      <c r="I2406" s="18" t="s">
        <v>40</v>
      </c>
      <c r="J2406" s="18" t="s">
        <v>91</v>
      </c>
      <c r="K2406" s="18">
        <v>7</v>
      </c>
      <c r="L2406" s="20">
        <v>6222.19</v>
      </c>
      <c r="M2406" s="21">
        <v>0.1</v>
      </c>
      <c r="N2406" s="21">
        <v>0.60627603861449497</v>
      </c>
      <c r="O2406" s="20">
        <f t="shared" si="148"/>
        <v>39199.796999999999</v>
      </c>
      <c r="P2406" s="20">
        <f t="shared" si="149"/>
        <v>23765.897639652365</v>
      </c>
      <c r="Q2406" s="20">
        <f t="shared" si="150"/>
        <v>15433.899360347634</v>
      </c>
      <c r="R2406" s="22">
        <f t="shared" si="151"/>
        <v>0.39372396138550497</v>
      </c>
    </row>
    <row r="2407" spans="1:18">
      <c r="A2407" s="18">
        <v>3406</v>
      </c>
      <c r="B2407" s="19" t="s">
        <v>809</v>
      </c>
      <c r="C2407" s="18">
        <v>2025</v>
      </c>
      <c r="D2407" s="18" t="s">
        <v>63</v>
      </c>
      <c r="E2407" s="18" t="s">
        <v>98</v>
      </c>
      <c r="F2407" s="18" t="s">
        <v>117</v>
      </c>
      <c r="G2407" s="18" t="s">
        <v>41</v>
      </c>
      <c r="H2407" s="18" t="s">
        <v>106</v>
      </c>
      <c r="I2407" s="18" t="s">
        <v>49</v>
      </c>
      <c r="J2407" s="18" t="s">
        <v>91</v>
      </c>
      <c r="K2407" s="18">
        <v>3</v>
      </c>
      <c r="L2407" s="20">
        <v>2424.9699999999998</v>
      </c>
      <c r="M2407" s="21">
        <v>0.1</v>
      </c>
      <c r="N2407" s="21">
        <v>0.56802634365065796</v>
      </c>
      <c r="O2407" s="20">
        <f t="shared" si="148"/>
        <v>6547.4189999999999</v>
      </c>
      <c r="P2407" s="20">
        <f t="shared" si="149"/>
        <v>3719.1064749188472</v>
      </c>
      <c r="Q2407" s="20">
        <f t="shared" si="150"/>
        <v>2828.3125250811527</v>
      </c>
      <c r="R2407" s="22">
        <f t="shared" si="151"/>
        <v>0.43197365634934204</v>
      </c>
    </row>
    <row r="2408" spans="1:18">
      <c r="A2408" s="18">
        <v>3407</v>
      </c>
      <c r="B2408" s="19" t="s">
        <v>809</v>
      </c>
      <c r="C2408" s="18">
        <v>2025</v>
      </c>
      <c r="D2408" s="18" t="s">
        <v>63</v>
      </c>
      <c r="E2408" s="18" t="s">
        <v>85</v>
      </c>
      <c r="F2408" s="18" t="s">
        <v>94</v>
      </c>
      <c r="G2408" s="18" t="s">
        <v>44</v>
      </c>
      <c r="H2408" s="18" t="s">
        <v>119</v>
      </c>
      <c r="I2408" s="18" t="s">
        <v>43</v>
      </c>
      <c r="J2408" s="18" t="s">
        <v>82</v>
      </c>
      <c r="K2408" s="18">
        <v>4</v>
      </c>
      <c r="L2408" s="20">
        <v>7200.55</v>
      </c>
      <c r="M2408" s="21">
        <v>0</v>
      </c>
      <c r="N2408" s="21">
        <v>0.55248616135554596</v>
      </c>
      <c r="O2408" s="20">
        <f t="shared" si="148"/>
        <v>28802.2</v>
      </c>
      <c r="P2408" s="20">
        <f t="shared" si="149"/>
        <v>15912.816916594706</v>
      </c>
      <c r="Q2408" s="20">
        <f t="shared" si="150"/>
        <v>12889.383083405295</v>
      </c>
      <c r="R2408" s="22">
        <f t="shared" si="151"/>
        <v>0.44751383864445404</v>
      </c>
    </row>
    <row r="2409" spans="1:18">
      <c r="A2409" s="18">
        <v>3408</v>
      </c>
      <c r="B2409" s="19" t="s">
        <v>809</v>
      </c>
      <c r="C2409" s="18">
        <v>2025</v>
      </c>
      <c r="D2409" s="18" t="s">
        <v>63</v>
      </c>
      <c r="E2409" s="18" t="s">
        <v>98</v>
      </c>
      <c r="F2409" s="18" t="s">
        <v>109</v>
      </c>
      <c r="G2409" s="18" t="s">
        <v>41</v>
      </c>
      <c r="H2409" s="18" t="s">
        <v>112</v>
      </c>
      <c r="I2409" s="18" t="s">
        <v>52</v>
      </c>
      <c r="J2409" s="18" t="s">
        <v>82</v>
      </c>
      <c r="K2409" s="18">
        <v>4</v>
      </c>
      <c r="L2409" s="20">
        <v>6129.25</v>
      </c>
      <c r="M2409" s="21">
        <v>0.1</v>
      </c>
      <c r="N2409" s="21">
        <v>0.61979320984485997</v>
      </c>
      <c r="O2409" s="20">
        <f t="shared" si="148"/>
        <v>22065.3</v>
      </c>
      <c r="P2409" s="20">
        <f t="shared" si="149"/>
        <v>13675.923113189789</v>
      </c>
      <c r="Q2409" s="20">
        <f t="shared" si="150"/>
        <v>8389.3768868102106</v>
      </c>
      <c r="R2409" s="22">
        <f t="shared" si="151"/>
        <v>0.38020679015514003</v>
      </c>
    </row>
    <row r="2410" spans="1:18">
      <c r="A2410" s="18">
        <v>3409</v>
      </c>
      <c r="B2410" s="19" t="s">
        <v>809</v>
      </c>
      <c r="C2410" s="18">
        <v>2025</v>
      </c>
      <c r="D2410" s="18" t="s">
        <v>63</v>
      </c>
      <c r="E2410" s="18" t="s">
        <v>98</v>
      </c>
      <c r="F2410" s="18" t="s">
        <v>117</v>
      </c>
      <c r="G2410" s="18" t="s">
        <v>44</v>
      </c>
      <c r="H2410" s="18" t="s">
        <v>114</v>
      </c>
      <c r="I2410" s="18" t="s">
        <v>46</v>
      </c>
      <c r="J2410" s="18" t="s">
        <v>91</v>
      </c>
      <c r="K2410" s="18">
        <v>8</v>
      </c>
      <c r="L2410" s="20">
        <v>9142.64</v>
      </c>
      <c r="M2410" s="21">
        <v>0.1</v>
      </c>
      <c r="N2410" s="21">
        <v>0.65467177981438096</v>
      </c>
      <c r="O2410" s="20">
        <f t="shared" si="148"/>
        <v>65827.008000000002</v>
      </c>
      <c r="P2410" s="20">
        <f t="shared" si="149"/>
        <v>43095.084487215492</v>
      </c>
      <c r="Q2410" s="20">
        <f t="shared" si="150"/>
        <v>22731.92351278451</v>
      </c>
      <c r="R2410" s="22">
        <f t="shared" si="151"/>
        <v>0.34532822018561909</v>
      </c>
    </row>
    <row r="2411" spans="1:18">
      <c r="A2411" s="18">
        <v>3410</v>
      </c>
      <c r="B2411" s="19" t="s">
        <v>810</v>
      </c>
      <c r="C2411" s="18">
        <v>2025</v>
      </c>
      <c r="D2411" s="18" t="s">
        <v>64</v>
      </c>
      <c r="E2411" s="18" t="s">
        <v>85</v>
      </c>
      <c r="F2411" s="18" t="s">
        <v>86</v>
      </c>
      <c r="G2411" s="18" t="s">
        <v>50</v>
      </c>
      <c r="H2411" s="18" t="s">
        <v>87</v>
      </c>
      <c r="I2411" s="18" t="s">
        <v>49</v>
      </c>
      <c r="J2411" s="18" t="s">
        <v>91</v>
      </c>
      <c r="K2411" s="18">
        <v>10</v>
      </c>
      <c r="L2411" s="20">
        <v>9302.7000000000007</v>
      </c>
      <c r="M2411" s="21">
        <v>0.15</v>
      </c>
      <c r="N2411" s="21">
        <v>0.74493560946733195</v>
      </c>
      <c r="O2411" s="20">
        <f t="shared" si="148"/>
        <v>79072.95</v>
      </c>
      <c r="P2411" s="20">
        <f t="shared" si="149"/>
        <v>58904.256200629861</v>
      </c>
      <c r="Q2411" s="20">
        <f t="shared" si="150"/>
        <v>20168.693799370136</v>
      </c>
      <c r="R2411" s="22">
        <f t="shared" si="151"/>
        <v>0.25506439053266811</v>
      </c>
    </row>
    <row r="2412" spans="1:18">
      <c r="A2412" s="18">
        <v>3411</v>
      </c>
      <c r="B2412" s="19" t="s">
        <v>810</v>
      </c>
      <c r="C2412" s="18">
        <v>2025</v>
      </c>
      <c r="D2412" s="18" t="s">
        <v>64</v>
      </c>
      <c r="E2412" s="18" t="s">
        <v>98</v>
      </c>
      <c r="F2412" s="18" t="s">
        <v>109</v>
      </c>
      <c r="G2412" s="18" t="s">
        <v>41</v>
      </c>
      <c r="H2412" s="18" t="s">
        <v>112</v>
      </c>
      <c r="I2412" s="18" t="s">
        <v>54</v>
      </c>
      <c r="J2412" s="18" t="s">
        <v>91</v>
      </c>
      <c r="K2412" s="18">
        <v>2</v>
      </c>
      <c r="L2412" s="20">
        <v>6006.96</v>
      </c>
      <c r="M2412" s="21">
        <v>0.1</v>
      </c>
      <c r="N2412" s="21">
        <v>0.55395456403196697</v>
      </c>
      <c r="O2412" s="20">
        <f t="shared" si="148"/>
        <v>10812.528</v>
      </c>
      <c r="P2412" s="20">
        <f t="shared" si="149"/>
        <v>5989.6492343234358</v>
      </c>
      <c r="Q2412" s="20">
        <f t="shared" si="150"/>
        <v>4822.8787656765644</v>
      </c>
      <c r="R2412" s="22">
        <f t="shared" si="151"/>
        <v>0.44604543596803303</v>
      </c>
    </row>
    <row r="2413" spans="1:18">
      <c r="A2413" s="18">
        <v>3412</v>
      </c>
      <c r="B2413" s="19" t="s">
        <v>810</v>
      </c>
      <c r="C2413" s="18">
        <v>2025</v>
      </c>
      <c r="D2413" s="18" t="s">
        <v>64</v>
      </c>
      <c r="E2413" s="18" t="s">
        <v>79</v>
      </c>
      <c r="F2413" s="18" t="s">
        <v>105</v>
      </c>
      <c r="G2413" s="18" t="s">
        <v>44</v>
      </c>
      <c r="H2413" s="18" t="s">
        <v>119</v>
      </c>
      <c r="I2413" s="18" t="s">
        <v>52</v>
      </c>
      <c r="J2413" s="18" t="s">
        <v>102</v>
      </c>
      <c r="K2413" s="18">
        <v>3</v>
      </c>
      <c r="L2413" s="20">
        <v>6678.82</v>
      </c>
      <c r="M2413" s="21">
        <v>0</v>
      </c>
      <c r="N2413" s="21">
        <v>0.60740622663551902</v>
      </c>
      <c r="O2413" s="20">
        <f t="shared" si="148"/>
        <v>20036.46</v>
      </c>
      <c r="P2413" s="20">
        <f t="shared" si="149"/>
        <v>12170.270563733511</v>
      </c>
      <c r="Q2413" s="20">
        <f t="shared" si="150"/>
        <v>7866.189436266488</v>
      </c>
      <c r="R2413" s="22">
        <f t="shared" si="151"/>
        <v>0.39259377336448098</v>
      </c>
    </row>
    <row r="2414" spans="1:18">
      <c r="A2414" s="18">
        <v>3413</v>
      </c>
      <c r="B2414" s="19" t="s">
        <v>810</v>
      </c>
      <c r="C2414" s="18">
        <v>2025</v>
      </c>
      <c r="D2414" s="18" t="s">
        <v>64</v>
      </c>
      <c r="E2414" s="18" t="s">
        <v>88</v>
      </c>
      <c r="F2414" s="18" t="s">
        <v>89</v>
      </c>
      <c r="G2414" s="18" t="s">
        <v>47</v>
      </c>
      <c r="H2414" s="18" t="s">
        <v>107</v>
      </c>
      <c r="I2414" s="18" t="s">
        <v>52</v>
      </c>
      <c r="J2414" s="18" t="s">
        <v>82</v>
      </c>
      <c r="K2414" s="18">
        <v>8</v>
      </c>
      <c r="L2414" s="20">
        <v>2127.0100000000002</v>
      </c>
      <c r="M2414" s="21">
        <v>0.05</v>
      </c>
      <c r="N2414" s="21">
        <v>0.61907009099185595</v>
      </c>
      <c r="O2414" s="20">
        <f t="shared" si="148"/>
        <v>16165.276000000002</v>
      </c>
      <c r="P2414" s="20">
        <f t="shared" si="149"/>
        <v>10007.438884228466</v>
      </c>
      <c r="Q2414" s="20">
        <f t="shared" si="150"/>
        <v>6157.8371157715355</v>
      </c>
      <c r="R2414" s="22">
        <f t="shared" si="151"/>
        <v>0.38092990900814405</v>
      </c>
    </row>
    <row r="2415" spans="1:18">
      <c r="A2415" s="18">
        <v>3414</v>
      </c>
      <c r="B2415" s="19" t="s">
        <v>810</v>
      </c>
      <c r="C2415" s="18">
        <v>2025</v>
      </c>
      <c r="D2415" s="18" t="s">
        <v>64</v>
      </c>
      <c r="E2415" s="18" t="s">
        <v>98</v>
      </c>
      <c r="F2415" s="18" t="s">
        <v>117</v>
      </c>
      <c r="G2415" s="18" t="s">
        <v>50</v>
      </c>
      <c r="H2415" s="18" t="s">
        <v>87</v>
      </c>
      <c r="I2415" s="18" t="s">
        <v>52</v>
      </c>
      <c r="J2415" s="18" t="s">
        <v>91</v>
      </c>
      <c r="K2415" s="18">
        <v>10</v>
      </c>
      <c r="L2415" s="20">
        <v>9747.81</v>
      </c>
      <c r="M2415" s="21">
        <v>0</v>
      </c>
      <c r="N2415" s="21">
        <v>0.58310155922015805</v>
      </c>
      <c r="O2415" s="20">
        <f t="shared" si="148"/>
        <v>97478.099999999991</v>
      </c>
      <c r="P2415" s="20">
        <f t="shared" si="149"/>
        <v>56839.632099818482</v>
      </c>
      <c r="Q2415" s="20">
        <f t="shared" si="150"/>
        <v>40638.467900181509</v>
      </c>
      <c r="R2415" s="22">
        <f t="shared" si="151"/>
        <v>0.41689844077984195</v>
      </c>
    </row>
    <row r="2416" spans="1:18">
      <c r="A2416" s="18">
        <v>3415</v>
      </c>
      <c r="B2416" s="19" t="s">
        <v>811</v>
      </c>
      <c r="C2416" s="18">
        <v>2025</v>
      </c>
      <c r="D2416" s="18" t="s">
        <v>64</v>
      </c>
      <c r="E2416" s="18" t="s">
        <v>98</v>
      </c>
      <c r="F2416" s="18" t="s">
        <v>99</v>
      </c>
      <c r="G2416" s="18" t="s">
        <v>44</v>
      </c>
      <c r="H2416" s="18" t="s">
        <v>114</v>
      </c>
      <c r="I2416" s="18" t="s">
        <v>46</v>
      </c>
      <c r="J2416" s="18" t="s">
        <v>91</v>
      </c>
      <c r="K2416" s="18">
        <v>9</v>
      </c>
      <c r="L2416" s="20">
        <v>9061.0400000000009</v>
      </c>
      <c r="M2416" s="21">
        <v>0.05</v>
      </c>
      <c r="N2416" s="21">
        <v>0.68764288197101697</v>
      </c>
      <c r="O2416" s="20">
        <f t="shared" si="148"/>
        <v>77471.892000000007</v>
      </c>
      <c r="P2416" s="20">
        <f t="shared" si="149"/>
        <v>53272.995086627379</v>
      </c>
      <c r="Q2416" s="20">
        <f t="shared" si="150"/>
        <v>24198.896913372628</v>
      </c>
      <c r="R2416" s="22">
        <f t="shared" si="151"/>
        <v>0.31235711802898303</v>
      </c>
    </row>
    <row r="2417" spans="1:18">
      <c r="A2417" s="18">
        <v>3416</v>
      </c>
      <c r="B2417" s="19" t="s">
        <v>811</v>
      </c>
      <c r="C2417" s="18">
        <v>2025</v>
      </c>
      <c r="D2417" s="18" t="s">
        <v>64</v>
      </c>
      <c r="E2417" s="18" t="s">
        <v>88</v>
      </c>
      <c r="F2417" s="18" t="s">
        <v>110</v>
      </c>
      <c r="G2417" s="18" t="s">
        <v>50</v>
      </c>
      <c r="H2417" s="18" t="s">
        <v>87</v>
      </c>
      <c r="I2417" s="18" t="s">
        <v>52</v>
      </c>
      <c r="J2417" s="18" t="s">
        <v>82</v>
      </c>
      <c r="K2417" s="18">
        <v>11</v>
      </c>
      <c r="L2417" s="20">
        <v>9036.48</v>
      </c>
      <c r="M2417" s="21">
        <v>0</v>
      </c>
      <c r="N2417" s="21">
        <v>0.66912402412131999</v>
      </c>
      <c r="O2417" s="20">
        <f t="shared" si="148"/>
        <v>99401.279999999999</v>
      </c>
      <c r="P2417" s="20">
        <f t="shared" si="149"/>
        <v>66511.784476410088</v>
      </c>
      <c r="Q2417" s="20">
        <f t="shared" si="150"/>
        <v>32889.495523589911</v>
      </c>
      <c r="R2417" s="22">
        <f t="shared" si="151"/>
        <v>0.33087597587867995</v>
      </c>
    </row>
    <row r="2418" spans="1:18">
      <c r="A2418" s="18">
        <v>3417</v>
      </c>
      <c r="B2418" s="19" t="s">
        <v>811</v>
      </c>
      <c r="C2418" s="18">
        <v>2025</v>
      </c>
      <c r="D2418" s="18" t="s">
        <v>64</v>
      </c>
      <c r="E2418" s="18" t="s">
        <v>88</v>
      </c>
      <c r="F2418" s="18" t="s">
        <v>93</v>
      </c>
      <c r="G2418" s="18" t="s">
        <v>47</v>
      </c>
      <c r="H2418" s="18" t="s">
        <v>103</v>
      </c>
      <c r="I2418" s="18" t="s">
        <v>54</v>
      </c>
      <c r="J2418" s="18" t="s">
        <v>91</v>
      </c>
      <c r="K2418" s="18">
        <v>12</v>
      </c>
      <c r="L2418" s="20">
        <v>3341.95</v>
      </c>
      <c r="M2418" s="21">
        <v>0</v>
      </c>
      <c r="N2418" s="21">
        <v>0.56827405004324705</v>
      </c>
      <c r="O2418" s="20">
        <f t="shared" si="148"/>
        <v>40103.399999999994</v>
      </c>
      <c r="P2418" s="20">
        <f t="shared" si="149"/>
        <v>22789.721538504349</v>
      </c>
      <c r="Q2418" s="20">
        <f t="shared" si="150"/>
        <v>17313.678461495645</v>
      </c>
      <c r="R2418" s="22">
        <f t="shared" si="151"/>
        <v>0.43172594995675301</v>
      </c>
    </row>
    <row r="2419" spans="1:18">
      <c r="A2419" s="18">
        <v>3418</v>
      </c>
      <c r="B2419" s="19" t="s">
        <v>811</v>
      </c>
      <c r="C2419" s="18">
        <v>2025</v>
      </c>
      <c r="D2419" s="18" t="s">
        <v>64</v>
      </c>
      <c r="E2419" s="18" t="s">
        <v>98</v>
      </c>
      <c r="F2419" s="18" t="s">
        <v>117</v>
      </c>
      <c r="G2419" s="18" t="s">
        <v>47</v>
      </c>
      <c r="H2419" s="18" t="s">
        <v>103</v>
      </c>
      <c r="I2419" s="18" t="s">
        <v>62</v>
      </c>
      <c r="J2419" s="18" t="s">
        <v>82</v>
      </c>
      <c r="K2419" s="18">
        <v>1</v>
      </c>
      <c r="L2419" s="20">
        <v>3226.1</v>
      </c>
      <c r="M2419" s="21">
        <v>0</v>
      </c>
      <c r="N2419" s="21">
        <v>0.64539111783151404</v>
      </c>
      <c r="O2419" s="20">
        <f t="shared" si="148"/>
        <v>3226.1</v>
      </c>
      <c r="P2419" s="20">
        <f t="shared" si="149"/>
        <v>2082.0962852362472</v>
      </c>
      <c r="Q2419" s="20">
        <f t="shared" si="150"/>
        <v>1144.0037147637527</v>
      </c>
      <c r="R2419" s="22">
        <f t="shared" si="151"/>
        <v>0.35460888216848602</v>
      </c>
    </row>
    <row r="2420" spans="1:18">
      <c r="A2420" s="18">
        <v>3419</v>
      </c>
      <c r="B2420" s="19" t="s">
        <v>812</v>
      </c>
      <c r="C2420" s="18">
        <v>2025</v>
      </c>
      <c r="D2420" s="18" t="s">
        <v>64</v>
      </c>
      <c r="E2420" s="18" t="s">
        <v>98</v>
      </c>
      <c r="F2420" s="18" t="s">
        <v>99</v>
      </c>
      <c r="G2420" s="18" t="s">
        <v>50</v>
      </c>
      <c r="H2420" s="18" t="s">
        <v>83</v>
      </c>
      <c r="I2420" s="18" t="s">
        <v>52</v>
      </c>
      <c r="J2420" s="18" t="s">
        <v>91</v>
      </c>
      <c r="K2420" s="18">
        <v>11</v>
      </c>
      <c r="L2420" s="20">
        <v>3547.28</v>
      </c>
      <c r="M2420" s="21">
        <v>0.2</v>
      </c>
      <c r="N2420" s="21">
        <v>0.56877264871239697</v>
      </c>
      <c r="O2420" s="20">
        <f t="shared" si="148"/>
        <v>31216.064000000002</v>
      </c>
      <c r="P2420" s="20">
        <f t="shared" si="149"/>
        <v>17754.843403655701</v>
      </c>
      <c r="Q2420" s="20">
        <f t="shared" si="150"/>
        <v>13461.220596344301</v>
      </c>
      <c r="R2420" s="22">
        <f t="shared" si="151"/>
        <v>0.43122735128760309</v>
      </c>
    </row>
    <row r="2421" spans="1:18">
      <c r="A2421" s="18">
        <v>3420</v>
      </c>
      <c r="B2421" s="19" t="s">
        <v>812</v>
      </c>
      <c r="C2421" s="18">
        <v>2025</v>
      </c>
      <c r="D2421" s="18" t="s">
        <v>64</v>
      </c>
      <c r="E2421" s="18" t="s">
        <v>88</v>
      </c>
      <c r="F2421" s="18" t="s">
        <v>89</v>
      </c>
      <c r="G2421" s="18" t="s">
        <v>47</v>
      </c>
      <c r="H2421" s="18" t="s">
        <v>107</v>
      </c>
      <c r="I2421" s="18" t="s">
        <v>49</v>
      </c>
      <c r="J2421" s="18" t="s">
        <v>91</v>
      </c>
      <c r="K2421" s="18">
        <v>1</v>
      </c>
      <c r="L2421" s="20">
        <v>2177.16</v>
      </c>
      <c r="M2421" s="21">
        <v>0.1</v>
      </c>
      <c r="N2421" s="21">
        <v>0.56647087863420298</v>
      </c>
      <c r="O2421" s="20">
        <f t="shared" si="148"/>
        <v>1959.444</v>
      </c>
      <c r="P2421" s="20">
        <f t="shared" si="149"/>
        <v>1109.9679643145173</v>
      </c>
      <c r="Q2421" s="20">
        <f t="shared" si="150"/>
        <v>849.47603568548266</v>
      </c>
      <c r="R2421" s="22">
        <f t="shared" si="151"/>
        <v>0.43352912136579697</v>
      </c>
    </row>
    <row r="2422" spans="1:18">
      <c r="A2422" s="18">
        <v>3421</v>
      </c>
      <c r="B2422" s="19" t="s">
        <v>813</v>
      </c>
      <c r="C2422" s="18">
        <v>2025</v>
      </c>
      <c r="D2422" s="18" t="s">
        <v>64</v>
      </c>
      <c r="E2422" s="18" t="s">
        <v>98</v>
      </c>
      <c r="F2422" s="18" t="s">
        <v>109</v>
      </c>
      <c r="G2422" s="18" t="s">
        <v>47</v>
      </c>
      <c r="H2422" s="18" t="s">
        <v>107</v>
      </c>
      <c r="I2422" s="18" t="s">
        <v>58</v>
      </c>
      <c r="J2422" s="18" t="s">
        <v>82</v>
      </c>
      <c r="K2422" s="18">
        <v>11</v>
      </c>
      <c r="L2422" s="20">
        <v>2282.9</v>
      </c>
      <c r="M2422" s="21">
        <v>0</v>
      </c>
      <c r="N2422" s="21">
        <v>0.63082643233754099</v>
      </c>
      <c r="O2422" s="20">
        <f t="shared" si="148"/>
        <v>25111.9</v>
      </c>
      <c r="P2422" s="20">
        <f t="shared" si="149"/>
        <v>15841.250286217097</v>
      </c>
      <c r="Q2422" s="20">
        <f t="shared" si="150"/>
        <v>9270.6497137829047</v>
      </c>
      <c r="R2422" s="22">
        <f t="shared" si="151"/>
        <v>0.36917356766245901</v>
      </c>
    </row>
    <row r="2423" spans="1:18">
      <c r="A2423" s="18">
        <v>3422</v>
      </c>
      <c r="B2423" s="19" t="s">
        <v>813</v>
      </c>
      <c r="C2423" s="18">
        <v>2025</v>
      </c>
      <c r="D2423" s="18" t="s">
        <v>64</v>
      </c>
      <c r="E2423" s="18" t="s">
        <v>79</v>
      </c>
      <c r="F2423" s="18" t="s">
        <v>105</v>
      </c>
      <c r="G2423" s="18" t="s">
        <v>47</v>
      </c>
      <c r="H2423" s="18" t="s">
        <v>103</v>
      </c>
      <c r="I2423" s="18" t="s">
        <v>43</v>
      </c>
      <c r="J2423" s="18" t="s">
        <v>102</v>
      </c>
      <c r="K2423" s="18">
        <v>6</v>
      </c>
      <c r="L2423" s="20">
        <v>3301.27</v>
      </c>
      <c r="M2423" s="21">
        <v>0.2</v>
      </c>
      <c r="N2423" s="21">
        <v>0.67178575332649604</v>
      </c>
      <c r="O2423" s="20">
        <f t="shared" si="148"/>
        <v>15846.096</v>
      </c>
      <c r="P2423" s="20">
        <f t="shared" si="149"/>
        <v>10645.181538643976</v>
      </c>
      <c r="Q2423" s="20">
        <f t="shared" si="150"/>
        <v>5200.9144613560238</v>
      </c>
      <c r="R2423" s="22">
        <f t="shared" si="151"/>
        <v>0.32821424667350391</v>
      </c>
    </row>
    <row r="2424" spans="1:18">
      <c r="A2424" s="18">
        <v>3423</v>
      </c>
      <c r="B2424" s="19" t="s">
        <v>813</v>
      </c>
      <c r="C2424" s="18">
        <v>2025</v>
      </c>
      <c r="D2424" s="18" t="s">
        <v>64</v>
      </c>
      <c r="E2424" s="18" t="s">
        <v>79</v>
      </c>
      <c r="F2424" s="18" t="s">
        <v>100</v>
      </c>
      <c r="G2424" s="18" t="s">
        <v>44</v>
      </c>
      <c r="H2424" s="18" t="s">
        <v>114</v>
      </c>
      <c r="I2424" s="18" t="s">
        <v>58</v>
      </c>
      <c r="J2424" s="18" t="s">
        <v>102</v>
      </c>
      <c r="K2424" s="18">
        <v>3</v>
      </c>
      <c r="L2424" s="20">
        <v>9069.18</v>
      </c>
      <c r="M2424" s="21">
        <v>0</v>
      </c>
      <c r="N2424" s="21">
        <v>0.55221859481494295</v>
      </c>
      <c r="O2424" s="20">
        <f t="shared" si="148"/>
        <v>27207.54</v>
      </c>
      <c r="P2424" s="20">
        <f t="shared" si="149"/>
        <v>15024.509507171353</v>
      </c>
      <c r="Q2424" s="20">
        <f t="shared" si="150"/>
        <v>12183.030492828648</v>
      </c>
      <c r="R2424" s="22">
        <f t="shared" si="151"/>
        <v>0.44778140518505705</v>
      </c>
    </row>
    <row r="2425" spans="1:18">
      <c r="A2425" s="18">
        <v>3424</v>
      </c>
      <c r="B2425" s="19" t="s">
        <v>813</v>
      </c>
      <c r="C2425" s="18">
        <v>2025</v>
      </c>
      <c r="D2425" s="18" t="s">
        <v>64</v>
      </c>
      <c r="E2425" s="18" t="s">
        <v>98</v>
      </c>
      <c r="F2425" s="18" t="s">
        <v>109</v>
      </c>
      <c r="G2425" s="18" t="s">
        <v>41</v>
      </c>
      <c r="H2425" s="18" t="s">
        <v>112</v>
      </c>
      <c r="I2425" s="18" t="s">
        <v>60</v>
      </c>
      <c r="J2425" s="18" t="s">
        <v>91</v>
      </c>
      <c r="K2425" s="18">
        <v>1</v>
      </c>
      <c r="L2425" s="20">
        <v>5874.03</v>
      </c>
      <c r="M2425" s="21">
        <v>0</v>
      </c>
      <c r="N2425" s="21">
        <v>0.62266818495377496</v>
      </c>
      <c r="O2425" s="20">
        <f t="shared" si="148"/>
        <v>5874.03</v>
      </c>
      <c r="P2425" s="20">
        <f t="shared" si="149"/>
        <v>3657.5715984640224</v>
      </c>
      <c r="Q2425" s="20">
        <f t="shared" si="150"/>
        <v>2216.4584015359774</v>
      </c>
      <c r="R2425" s="22">
        <f t="shared" si="151"/>
        <v>0.37733181504622509</v>
      </c>
    </row>
    <row r="2426" spans="1:18">
      <c r="A2426" s="18">
        <v>3425</v>
      </c>
      <c r="B2426" s="19" t="s">
        <v>813</v>
      </c>
      <c r="C2426" s="18">
        <v>2025</v>
      </c>
      <c r="D2426" s="18" t="s">
        <v>64</v>
      </c>
      <c r="E2426" s="18" t="s">
        <v>85</v>
      </c>
      <c r="F2426" s="18" t="s">
        <v>86</v>
      </c>
      <c r="G2426" s="18" t="s">
        <v>47</v>
      </c>
      <c r="H2426" s="18" t="s">
        <v>81</v>
      </c>
      <c r="I2426" s="18" t="s">
        <v>49</v>
      </c>
      <c r="J2426" s="18" t="s">
        <v>102</v>
      </c>
      <c r="K2426" s="18">
        <v>4</v>
      </c>
      <c r="L2426" s="20">
        <v>795.54</v>
      </c>
      <c r="M2426" s="21">
        <v>0.1</v>
      </c>
      <c r="N2426" s="21">
        <v>0.66842802689849801</v>
      </c>
      <c r="O2426" s="20">
        <f t="shared" si="148"/>
        <v>2863.944</v>
      </c>
      <c r="P2426" s="20">
        <f t="shared" si="149"/>
        <v>1914.340437067792</v>
      </c>
      <c r="Q2426" s="20">
        <f t="shared" si="150"/>
        <v>949.60356293220798</v>
      </c>
      <c r="R2426" s="22">
        <f t="shared" si="151"/>
        <v>0.33157197310150199</v>
      </c>
    </row>
    <row r="2427" spans="1:18">
      <c r="A2427" s="18">
        <v>3426</v>
      </c>
      <c r="B2427" s="19" t="s">
        <v>814</v>
      </c>
      <c r="C2427" s="18">
        <v>2025</v>
      </c>
      <c r="D2427" s="18" t="s">
        <v>64</v>
      </c>
      <c r="E2427" s="18" t="s">
        <v>88</v>
      </c>
      <c r="F2427" s="18" t="s">
        <v>110</v>
      </c>
      <c r="G2427" s="18" t="s">
        <v>50</v>
      </c>
      <c r="H2427" s="18" t="s">
        <v>97</v>
      </c>
      <c r="I2427" s="18" t="s">
        <v>58</v>
      </c>
      <c r="J2427" s="18" t="s">
        <v>102</v>
      </c>
      <c r="K2427" s="18">
        <v>4</v>
      </c>
      <c r="L2427" s="20">
        <v>11426.7</v>
      </c>
      <c r="M2427" s="21">
        <v>0.1</v>
      </c>
      <c r="N2427" s="21">
        <v>0.64420064047104597</v>
      </c>
      <c r="O2427" s="20">
        <f t="shared" si="148"/>
        <v>41136.120000000003</v>
      </c>
      <c r="P2427" s="20">
        <f t="shared" si="149"/>
        <v>26499.914850493806</v>
      </c>
      <c r="Q2427" s="20">
        <f t="shared" si="150"/>
        <v>14636.205149506197</v>
      </c>
      <c r="R2427" s="22">
        <f t="shared" si="151"/>
        <v>0.35579935952895403</v>
      </c>
    </row>
    <row r="2428" spans="1:18">
      <c r="A2428" s="18">
        <v>3427</v>
      </c>
      <c r="B2428" s="19" t="s">
        <v>814</v>
      </c>
      <c r="C2428" s="18">
        <v>2025</v>
      </c>
      <c r="D2428" s="18" t="s">
        <v>64</v>
      </c>
      <c r="E2428" s="18" t="s">
        <v>79</v>
      </c>
      <c r="F2428" s="18" t="s">
        <v>80</v>
      </c>
      <c r="G2428" s="18" t="s">
        <v>44</v>
      </c>
      <c r="H2428" s="18" t="s">
        <v>119</v>
      </c>
      <c r="I2428" s="18" t="s">
        <v>46</v>
      </c>
      <c r="J2428" s="18" t="s">
        <v>91</v>
      </c>
      <c r="K2428" s="18">
        <v>7</v>
      </c>
      <c r="L2428" s="20">
        <v>7271.5</v>
      </c>
      <c r="M2428" s="21">
        <v>0.1</v>
      </c>
      <c r="N2428" s="21">
        <v>0.73224491115605295</v>
      </c>
      <c r="O2428" s="20">
        <f t="shared" si="148"/>
        <v>45810.450000000004</v>
      </c>
      <c r="P2428" s="20">
        <f t="shared" si="149"/>
        <v>33544.468890268807</v>
      </c>
      <c r="Q2428" s="20">
        <f t="shared" si="150"/>
        <v>12265.981109731198</v>
      </c>
      <c r="R2428" s="22">
        <f t="shared" si="151"/>
        <v>0.26775508884394711</v>
      </c>
    </row>
    <row r="2429" spans="1:18">
      <c r="A2429" s="18">
        <v>3428</v>
      </c>
      <c r="B2429" s="19" t="s">
        <v>814</v>
      </c>
      <c r="C2429" s="18">
        <v>2025</v>
      </c>
      <c r="D2429" s="18" t="s">
        <v>64</v>
      </c>
      <c r="E2429" s="18" t="s">
        <v>98</v>
      </c>
      <c r="F2429" s="18" t="s">
        <v>117</v>
      </c>
      <c r="G2429" s="18" t="s">
        <v>41</v>
      </c>
      <c r="H2429" s="18" t="s">
        <v>112</v>
      </c>
      <c r="I2429" s="18" t="s">
        <v>60</v>
      </c>
      <c r="J2429" s="18" t="s">
        <v>102</v>
      </c>
      <c r="K2429" s="18">
        <v>9</v>
      </c>
      <c r="L2429" s="20">
        <v>5958.54</v>
      </c>
      <c r="M2429" s="21">
        <v>0</v>
      </c>
      <c r="N2429" s="21">
        <v>0.65047627204645797</v>
      </c>
      <c r="O2429" s="20">
        <f t="shared" si="148"/>
        <v>53626.86</v>
      </c>
      <c r="P2429" s="20">
        <f t="shared" si="149"/>
        <v>34882.999974357313</v>
      </c>
      <c r="Q2429" s="20">
        <f t="shared" si="150"/>
        <v>18743.860025642687</v>
      </c>
      <c r="R2429" s="22">
        <f t="shared" si="151"/>
        <v>0.34952372795354208</v>
      </c>
    </row>
    <row r="2430" spans="1:18">
      <c r="A2430" s="18">
        <v>3429</v>
      </c>
      <c r="B2430" s="19" t="s">
        <v>815</v>
      </c>
      <c r="C2430" s="18">
        <v>2025</v>
      </c>
      <c r="D2430" s="18" t="s">
        <v>64</v>
      </c>
      <c r="E2430" s="18" t="s">
        <v>79</v>
      </c>
      <c r="F2430" s="18" t="s">
        <v>105</v>
      </c>
      <c r="G2430" s="18" t="s">
        <v>50</v>
      </c>
      <c r="H2430" s="18" t="s">
        <v>83</v>
      </c>
      <c r="I2430" s="18" t="s">
        <v>62</v>
      </c>
      <c r="J2430" s="18" t="s">
        <v>91</v>
      </c>
      <c r="K2430" s="18">
        <v>4</v>
      </c>
      <c r="L2430" s="20">
        <v>3431.64</v>
      </c>
      <c r="M2430" s="21">
        <v>0</v>
      </c>
      <c r="N2430" s="21">
        <v>0.68927511649584405</v>
      </c>
      <c r="O2430" s="20">
        <f t="shared" si="148"/>
        <v>13726.56</v>
      </c>
      <c r="P2430" s="20">
        <f t="shared" si="149"/>
        <v>9461.3762430871921</v>
      </c>
      <c r="Q2430" s="20">
        <f t="shared" si="150"/>
        <v>4265.1837569128074</v>
      </c>
      <c r="R2430" s="22">
        <f t="shared" si="151"/>
        <v>0.310724883504156</v>
      </c>
    </row>
    <row r="2431" spans="1:18">
      <c r="A2431" s="18">
        <v>3430</v>
      </c>
      <c r="B2431" s="19" t="s">
        <v>815</v>
      </c>
      <c r="C2431" s="18">
        <v>2025</v>
      </c>
      <c r="D2431" s="18" t="s">
        <v>64</v>
      </c>
      <c r="E2431" s="18" t="s">
        <v>85</v>
      </c>
      <c r="F2431" s="18" t="s">
        <v>121</v>
      </c>
      <c r="G2431" s="18" t="s">
        <v>41</v>
      </c>
      <c r="H2431" s="18" t="s">
        <v>106</v>
      </c>
      <c r="I2431" s="18" t="s">
        <v>54</v>
      </c>
      <c r="J2431" s="18" t="s">
        <v>82</v>
      </c>
      <c r="K2431" s="18">
        <v>11</v>
      </c>
      <c r="L2431" s="20">
        <v>2534.1999999999998</v>
      </c>
      <c r="M2431" s="21">
        <v>0.15</v>
      </c>
      <c r="N2431" s="21">
        <v>0.57761006972044604</v>
      </c>
      <c r="O2431" s="20">
        <f t="shared" si="148"/>
        <v>23694.769999999997</v>
      </c>
      <c r="P2431" s="20">
        <f t="shared" si="149"/>
        <v>13686.337751709931</v>
      </c>
      <c r="Q2431" s="20">
        <f t="shared" si="150"/>
        <v>10008.432248290066</v>
      </c>
      <c r="R2431" s="22">
        <f t="shared" si="151"/>
        <v>0.42238993027955402</v>
      </c>
    </row>
    <row r="2432" spans="1:18">
      <c r="A2432" s="18">
        <v>3431</v>
      </c>
      <c r="B2432" s="19" t="s">
        <v>815</v>
      </c>
      <c r="C2432" s="18">
        <v>2025</v>
      </c>
      <c r="D2432" s="18" t="s">
        <v>64</v>
      </c>
      <c r="E2432" s="18" t="s">
        <v>79</v>
      </c>
      <c r="F2432" s="18" t="s">
        <v>80</v>
      </c>
      <c r="G2432" s="18" t="s">
        <v>50</v>
      </c>
      <c r="H2432" s="18" t="s">
        <v>83</v>
      </c>
      <c r="I2432" s="18" t="s">
        <v>52</v>
      </c>
      <c r="J2432" s="18" t="s">
        <v>102</v>
      </c>
      <c r="K2432" s="18">
        <v>9</v>
      </c>
      <c r="L2432" s="20">
        <v>3472.91</v>
      </c>
      <c r="M2432" s="21">
        <v>0.2</v>
      </c>
      <c r="N2432" s="21">
        <v>0.70296846639774702</v>
      </c>
      <c r="O2432" s="20">
        <f t="shared" si="148"/>
        <v>25004.952000000001</v>
      </c>
      <c r="P2432" s="20">
        <f t="shared" si="149"/>
        <v>17577.692759789279</v>
      </c>
      <c r="Q2432" s="20">
        <f t="shared" si="150"/>
        <v>7427.2592402107221</v>
      </c>
      <c r="R2432" s="22">
        <f t="shared" si="151"/>
        <v>0.29703153360225293</v>
      </c>
    </row>
    <row r="2433" spans="1:18">
      <c r="A2433" s="18">
        <v>3432</v>
      </c>
      <c r="B2433" s="19" t="s">
        <v>815</v>
      </c>
      <c r="C2433" s="18">
        <v>2025</v>
      </c>
      <c r="D2433" s="18" t="s">
        <v>64</v>
      </c>
      <c r="E2433" s="18" t="s">
        <v>85</v>
      </c>
      <c r="F2433" s="18" t="s">
        <v>94</v>
      </c>
      <c r="G2433" s="18" t="s">
        <v>50</v>
      </c>
      <c r="H2433" s="18" t="s">
        <v>83</v>
      </c>
      <c r="I2433" s="18" t="s">
        <v>56</v>
      </c>
      <c r="J2433" s="18" t="s">
        <v>91</v>
      </c>
      <c r="K2433" s="18">
        <v>4</v>
      </c>
      <c r="L2433" s="20">
        <v>3390.39</v>
      </c>
      <c r="M2433" s="21">
        <v>0</v>
      </c>
      <c r="N2433" s="21">
        <v>0.70250732015032802</v>
      </c>
      <c r="O2433" s="20">
        <f t="shared" si="148"/>
        <v>13561.56</v>
      </c>
      <c r="P2433" s="20">
        <f t="shared" si="149"/>
        <v>9527.0951726578824</v>
      </c>
      <c r="Q2433" s="20">
        <f t="shared" si="150"/>
        <v>4034.4648273421171</v>
      </c>
      <c r="R2433" s="22">
        <f t="shared" si="151"/>
        <v>0.29749267984967198</v>
      </c>
    </row>
    <row r="2434" spans="1:18">
      <c r="A2434" s="18">
        <v>3433</v>
      </c>
      <c r="B2434" s="19" t="s">
        <v>816</v>
      </c>
      <c r="C2434" s="18">
        <v>2025</v>
      </c>
      <c r="D2434" s="18" t="s">
        <v>64</v>
      </c>
      <c r="E2434" s="18" t="s">
        <v>88</v>
      </c>
      <c r="F2434" s="18" t="s">
        <v>93</v>
      </c>
      <c r="G2434" s="18" t="s">
        <v>41</v>
      </c>
      <c r="H2434" s="18" t="s">
        <v>112</v>
      </c>
      <c r="I2434" s="18" t="s">
        <v>49</v>
      </c>
      <c r="J2434" s="18" t="s">
        <v>102</v>
      </c>
      <c r="K2434" s="18">
        <v>10</v>
      </c>
      <c r="L2434" s="20">
        <v>5806.39</v>
      </c>
      <c r="M2434" s="21">
        <v>0.15</v>
      </c>
      <c r="N2434" s="21">
        <v>0.71786108108715696</v>
      </c>
      <c r="O2434" s="20">
        <f t="shared" ref="O2434:O2497" si="152">K2434*L2434*(1-M2434)</f>
        <v>49354.315000000002</v>
      </c>
      <c r="P2434" s="20">
        <f t="shared" ref="P2434:P2497" si="153">O2434*N2434</f>
        <v>35429.541922216085</v>
      </c>
      <c r="Q2434" s="20">
        <f t="shared" ref="Q2434:Q2497" si="154">O2434-P2434</f>
        <v>13924.773077783917</v>
      </c>
      <c r="R2434" s="22">
        <f t="shared" ref="R2434:R2497" si="155">IF(O2434=0,0,Q2434/O2434)</f>
        <v>0.2821389189128431</v>
      </c>
    </row>
    <row r="2435" spans="1:18">
      <c r="A2435" s="18">
        <v>3434</v>
      </c>
      <c r="B2435" s="19" t="s">
        <v>816</v>
      </c>
      <c r="C2435" s="18">
        <v>2025</v>
      </c>
      <c r="D2435" s="18" t="s">
        <v>64</v>
      </c>
      <c r="E2435" s="18" t="s">
        <v>79</v>
      </c>
      <c r="F2435" s="18" t="s">
        <v>80</v>
      </c>
      <c r="G2435" s="18" t="s">
        <v>44</v>
      </c>
      <c r="H2435" s="18" t="s">
        <v>114</v>
      </c>
      <c r="I2435" s="18" t="s">
        <v>43</v>
      </c>
      <c r="J2435" s="18" t="s">
        <v>102</v>
      </c>
      <c r="K2435" s="18">
        <v>3</v>
      </c>
      <c r="L2435" s="20">
        <v>8926.81</v>
      </c>
      <c r="M2435" s="21">
        <v>0.05</v>
      </c>
      <c r="N2435" s="21">
        <v>0.74315510076816305</v>
      </c>
      <c r="O2435" s="20">
        <f t="shared" si="152"/>
        <v>25441.408499999998</v>
      </c>
      <c r="P2435" s="20">
        <f t="shared" si="153"/>
        <v>18906.912497501497</v>
      </c>
      <c r="Q2435" s="20">
        <f t="shared" si="154"/>
        <v>6534.4960024985012</v>
      </c>
      <c r="R2435" s="22">
        <f t="shared" si="155"/>
        <v>0.25684489923183701</v>
      </c>
    </row>
    <row r="2436" spans="1:18">
      <c r="A2436" s="18">
        <v>3435</v>
      </c>
      <c r="B2436" s="19" t="s">
        <v>816</v>
      </c>
      <c r="C2436" s="18">
        <v>2025</v>
      </c>
      <c r="D2436" s="18" t="s">
        <v>64</v>
      </c>
      <c r="E2436" s="18" t="s">
        <v>88</v>
      </c>
      <c r="F2436" s="18" t="s">
        <v>110</v>
      </c>
      <c r="G2436" s="18" t="s">
        <v>50</v>
      </c>
      <c r="H2436" s="18" t="s">
        <v>83</v>
      </c>
      <c r="I2436" s="18" t="s">
        <v>58</v>
      </c>
      <c r="J2436" s="18" t="s">
        <v>102</v>
      </c>
      <c r="K2436" s="18">
        <v>1</v>
      </c>
      <c r="L2436" s="20">
        <v>3511.86</v>
      </c>
      <c r="M2436" s="21">
        <v>0.05</v>
      </c>
      <c r="N2436" s="21">
        <v>0.672149192187808</v>
      </c>
      <c r="O2436" s="20">
        <f t="shared" si="152"/>
        <v>3336.2669999999998</v>
      </c>
      <c r="P2436" s="20">
        <f t="shared" si="153"/>
        <v>2242.4691689728415</v>
      </c>
      <c r="Q2436" s="20">
        <f t="shared" si="154"/>
        <v>1093.7978310271583</v>
      </c>
      <c r="R2436" s="22">
        <f t="shared" si="155"/>
        <v>0.327850807812192</v>
      </c>
    </row>
    <row r="2437" spans="1:18">
      <c r="A2437" s="18">
        <v>3436</v>
      </c>
      <c r="B2437" s="19" t="s">
        <v>816</v>
      </c>
      <c r="C2437" s="18">
        <v>2025</v>
      </c>
      <c r="D2437" s="18" t="s">
        <v>64</v>
      </c>
      <c r="E2437" s="18" t="s">
        <v>88</v>
      </c>
      <c r="F2437" s="18" t="s">
        <v>89</v>
      </c>
      <c r="G2437" s="18" t="s">
        <v>47</v>
      </c>
      <c r="H2437" s="18" t="s">
        <v>81</v>
      </c>
      <c r="I2437" s="18" t="s">
        <v>40</v>
      </c>
      <c r="J2437" s="18" t="s">
        <v>82</v>
      </c>
      <c r="K2437" s="18">
        <v>12</v>
      </c>
      <c r="L2437" s="20">
        <v>815.64</v>
      </c>
      <c r="M2437" s="21">
        <v>0.15</v>
      </c>
      <c r="N2437" s="21">
        <v>0.68739264898550601</v>
      </c>
      <c r="O2437" s="20">
        <f t="shared" si="152"/>
        <v>8319.5280000000002</v>
      </c>
      <c r="P2437" s="20">
        <f t="shared" si="153"/>
        <v>5718.7823902290893</v>
      </c>
      <c r="Q2437" s="20">
        <f t="shared" si="154"/>
        <v>2600.745609770911</v>
      </c>
      <c r="R2437" s="22">
        <f t="shared" si="155"/>
        <v>0.31260735101449394</v>
      </c>
    </row>
    <row r="2438" spans="1:18">
      <c r="A2438" s="18">
        <v>3437</v>
      </c>
      <c r="B2438" s="19" t="s">
        <v>816</v>
      </c>
      <c r="C2438" s="18">
        <v>2025</v>
      </c>
      <c r="D2438" s="18" t="s">
        <v>64</v>
      </c>
      <c r="E2438" s="18" t="s">
        <v>88</v>
      </c>
      <c r="F2438" s="18" t="s">
        <v>110</v>
      </c>
      <c r="G2438" s="18" t="s">
        <v>44</v>
      </c>
      <c r="H2438" s="18" t="s">
        <v>114</v>
      </c>
      <c r="I2438" s="18" t="s">
        <v>52</v>
      </c>
      <c r="J2438" s="18" t="s">
        <v>102</v>
      </c>
      <c r="K2438" s="18">
        <v>11</v>
      </c>
      <c r="L2438" s="20">
        <v>9091.35</v>
      </c>
      <c r="M2438" s="21">
        <v>0</v>
      </c>
      <c r="N2438" s="21">
        <v>0.572590944591577</v>
      </c>
      <c r="O2438" s="20">
        <f t="shared" si="152"/>
        <v>100004.85</v>
      </c>
      <c r="P2438" s="20">
        <f t="shared" si="153"/>
        <v>57261.871525238974</v>
      </c>
      <c r="Q2438" s="20">
        <f t="shared" si="154"/>
        <v>42742.978474761032</v>
      </c>
      <c r="R2438" s="22">
        <f t="shared" si="155"/>
        <v>0.427409055408423</v>
      </c>
    </row>
    <row r="2439" spans="1:18">
      <c r="A2439" s="18">
        <v>3438</v>
      </c>
      <c r="B2439" s="19" t="s">
        <v>817</v>
      </c>
      <c r="C2439" s="18">
        <v>2025</v>
      </c>
      <c r="D2439" s="18" t="s">
        <v>64</v>
      </c>
      <c r="E2439" s="18" t="s">
        <v>85</v>
      </c>
      <c r="F2439" s="18" t="s">
        <v>121</v>
      </c>
      <c r="G2439" s="18" t="s">
        <v>41</v>
      </c>
      <c r="H2439" s="18" t="s">
        <v>112</v>
      </c>
      <c r="I2439" s="18" t="s">
        <v>62</v>
      </c>
      <c r="J2439" s="18" t="s">
        <v>82</v>
      </c>
      <c r="K2439" s="18">
        <v>2</v>
      </c>
      <c r="L2439" s="20">
        <v>6070.16</v>
      </c>
      <c r="M2439" s="21">
        <v>0.15</v>
      </c>
      <c r="N2439" s="21">
        <v>0.63783784089960305</v>
      </c>
      <c r="O2439" s="20">
        <f t="shared" si="152"/>
        <v>10319.271999999999</v>
      </c>
      <c r="P2439" s="20">
        <f t="shared" si="153"/>
        <v>6582.0221721357275</v>
      </c>
      <c r="Q2439" s="20">
        <f t="shared" si="154"/>
        <v>3737.2498278642715</v>
      </c>
      <c r="R2439" s="22">
        <f t="shared" si="155"/>
        <v>0.36216215910039701</v>
      </c>
    </row>
    <row r="2440" spans="1:18">
      <c r="A2440" s="18">
        <v>3439</v>
      </c>
      <c r="B2440" s="19" t="s">
        <v>817</v>
      </c>
      <c r="C2440" s="18">
        <v>2025</v>
      </c>
      <c r="D2440" s="18" t="s">
        <v>64</v>
      </c>
      <c r="E2440" s="18" t="s">
        <v>79</v>
      </c>
      <c r="F2440" s="18" t="s">
        <v>105</v>
      </c>
      <c r="G2440" s="18" t="s">
        <v>47</v>
      </c>
      <c r="H2440" s="18" t="s">
        <v>103</v>
      </c>
      <c r="I2440" s="18" t="s">
        <v>60</v>
      </c>
      <c r="J2440" s="18" t="s">
        <v>82</v>
      </c>
      <c r="K2440" s="18">
        <v>5</v>
      </c>
      <c r="L2440" s="20">
        <v>3114.24</v>
      </c>
      <c r="M2440" s="21">
        <v>0.15</v>
      </c>
      <c r="N2440" s="21">
        <v>0.69849982973303504</v>
      </c>
      <c r="O2440" s="20">
        <f t="shared" si="152"/>
        <v>13235.519999999999</v>
      </c>
      <c r="P2440" s="20">
        <f t="shared" si="153"/>
        <v>9245.0084664281785</v>
      </c>
      <c r="Q2440" s="20">
        <f t="shared" si="154"/>
        <v>3990.5115335718201</v>
      </c>
      <c r="R2440" s="22">
        <f t="shared" si="155"/>
        <v>0.30150017026696502</v>
      </c>
    </row>
    <row r="2441" spans="1:18">
      <c r="A2441" s="18">
        <v>3440</v>
      </c>
      <c r="B2441" s="19" t="s">
        <v>817</v>
      </c>
      <c r="C2441" s="18">
        <v>2025</v>
      </c>
      <c r="D2441" s="18" t="s">
        <v>64</v>
      </c>
      <c r="E2441" s="18" t="s">
        <v>98</v>
      </c>
      <c r="F2441" s="18" t="s">
        <v>99</v>
      </c>
      <c r="G2441" s="18" t="s">
        <v>44</v>
      </c>
      <c r="H2441" s="18" t="s">
        <v>119</v>
      </c>
      <c r="I2441" s="18" t="s">
        <v>46</v>
      </c>
      <c r="J2441" s="18" t="s">
        <v>102</v>
      </c>
      <c r="K2441" s="18">
        <v>11</v>
      </c>
      <c r="L2441" s="20">
        <v>7225.42</v>
      </c>
      <c r="M2441" s="21">
        <v>0</v>
      </c>
      <c r="N2441" s="21">
        <v>0.64318168271285203</v>
      </c>
      <c r="O2441" s="20">
        <f t="shared" si="152"/>
        <v>79479.62</v>
      </c>
      <c r="P2441" s="20">
        <f t="shared" si="153"/>
        <v>51119.835732978048</v>
      </c>
      <c r="Q2441" s="20">
        <f t="shared" si="154"/>
        <v>28359.784267021947</v>
      </c>
      <c r="R2441" s="22">
        <f t="shared" si="155"/>
        <v>0.35681831728714791</v>
      </c>
    </row>
    <row r="2442" spans="1:18">
      <c r="A2442" s="18">
        <v>3441</v>
      </c>
      <c r="B2442" s="19" t="s">
        <v>817</v>
      </c>
      <c r="C2442" s="18">
        <v>2025</v>
      </c>
      <c r="D2442" s="18" t="s">
        <v>64</v>
      </c>
      <c r="E2442" s="18" t="s">
        <v>79</v>
      </c>
      <c r="F2442" s="18" t="s">
        <v>105</v>
      </c>
      <c r="G2442" s="18" t="s">
        <v>50</v>
      </c>
      <c r="H2442" s="18" t="s">
        <v>87</v>
      </c>
      <c r="I2442" s="18" t="s">
        <v>40</v>
      </c>
      <c r="J2442" s="18" t="s">
        <v>91</v>
      </c>
      <c r="K2442" s="18">
        <v>11</v>
      </c>
      <c r="L2442" s="20">
        <v>9383.06</v>
      </c>
      <c r="M2442" s="21">
        <v>0.2</v>
      </c>
      <c r="N2442" s="21">
        <v>0.60421586135525096</v>
      </c>
      <c r="O2442" s="20">
        <f t="shared" si="152"/>
        <v>82570.928</v>
      </c>
      <c r="P2442" s="20">
        <f t="shared" si="153"/>
        <v>49890.664384422409</v>
      </c>
      <c r="Q2442" s="20">
        <f t="shared" si="154"/>
        <v>32680.263615577591</v>
      </c>
      <c r="R2442" s="22">
        <f t="shared" si="155"/>
        <v>0.39578413864474904</v>
      </c>
    </row>
    <row r="2443" spans="1:18">
      <c r="A2443" s="18">
        <v>3442</v>
      </c>
      <c r="B2443" s="19" t="s">
        <v>818</v>
      </c>
      <c r="C2443" s="18">
        <v>2025</v>
      </c>
      <c r="D2443" s="18" t="s">
        <v>64</v>
      </c>
      <c r="E2443" s="18" t="s">
        <v>79</v>
      </c>
      <c r="F2443" s="18" t="s">
        <v>105</v>
      </c>
      <c r="G2443" s="18" t="s">
        <v>41</v>
      </c>
      <c r="H2443" s="18" t="s">
        <v>90</v>
      </c>
      <c r="I2443" s="18" t="s">
        <v>56</v>
      </c>
      <c r="J2443" s="18" t="s">
        <v>102</v>
      </c>
      <c r="K2443" s="18">
        <v>5</v>
      </c>
      <c r="L2443" s="20">
        <v>18688.47</v>
      </c>
      <c r="M2443" s="21">
        <v>0.15</v>
      </c>
      <c r="N2443" s="21">
        <v>0.734201614145507</v>
      </c>
      <c r="O2443" s="20">
        <f t="shared" si="152"/>
        <v>79425.997499999998</v>
      </c>
      <c r="P2443" s="20">
        <f t="shared" si="153"/>
        <v>58314.695569617004</v>
      </c>
      <c r="Q2443" s="20">
        <f t="shared" si="154"/>
        <v>21111.301930382993</v>
      </c>
      <c r="R2443" s="22">
        <f t="shared" si="155"/>
        <v>0.26579838585449295</v>
      </c>
    </row>
    <row r="2444" spans="1:18">
      <c r="A2444" s="18">
        <v>3443</v>
      </c>
      <c r="B2444" s="19" t="s">
        <v>818</v>
      </c>
      <c r="C2444" s="18">
        <v>2025</v>
      </c>
      <c r="D2444" s="18" t="s">
        <v>64</v>
      </c>
      <c r="E2444" s="18" t="s">
        <v>88</v>
      </c>
      <c r="F2444" s="18" t="s">
        <v>93</v>
      </c>
      <c r="G2444" s="18" t="s">
        <v>41</v>
      </c>
      <c r="H2444" s="18" t="s">
        <v>106</v>
      </c>
      <c r="I2444" s="18" t="s">
        <v>40</v>
      </c>
      <c r="J2444" s="18" t="s">
        <v>82</v>
      </c>
      <c r="K2444" s="18">
        <v>8</v>
      </c>
      <c r="L2444" s="20">
        <v>2568.6799999999998</v>
      </c>
      <c r="M2444" s="21">
        <v>0</v>
      </c>
      <c r="N2444" s="21">
        <v>0.64519079782724298</v>
      </c>
      <c r="O2444" s="20">
        <f t="shared" si="152"/>
        <v>20549.439999999999</v>
      </c>
      <c r="P2444" s="20">
        <f t="shared" si="153"/>
        <v>13258.30958850306</v>
      </c>
      <c r="Q2444" s="20">
        <f t="shared" si="154"/>
        <v>7291.1304114969389</v>
      </c>
      <c r="R2444" s="22">
        <f t="shared" si="155"/>
        <v>0.35480920217275697</v>
      </c>
    </row>
    <row r="2445" spans="1:18">
      <c r="A2445" s="18">
        <v>3444</v>
      </c>
      <c r="B2445" s="19" t="s">
        <v>818</v>
      </c>
      <c r="C2445" s="18">
        <v>2025</v>
      </c>
      <c r="D2445" s="18" t="s">
        <v>64</v>
      </c>
      <c r="E2445" s="18" t="s">
        <v>88</v>
      </c>
      <c r="F2445" s="18" t="s">
        <v>89</v>
      </c>
      <c r="G2445" s="18" t="s">
        <v>47</v>
      </c>
      <c r="H2445" s="18" t="s">
        <v>81</v>
      </c>
      <c r="I2445" s="18" t="s">
        <v>58</v>
      </c>
      <c r="J2445" s="18" t="s">
        <v>82</v>
      </c>
      <c r="K2445" s="18">
        <v>4</v>
      </c>
      <c r="L2445" s="20">
        <v>762.49</v>
      </c>
      <c r="M2445" s="21">
        <v>0.2</v>
      </c>
      <c r="N2445" s="21">
        <v>0.65788424615777397</v>
      </c>
      <c r="O2445" s="20">
        <f t="shared" si="152"/>
        <v>2439.9680000000003</v>
      </c>
      <c r="P2445" s="20">
        <f t="shared" si="153"/>
        <v>1605.2165083290915</v>
      </c>
      <c r="Q2445" s="20">
        <f t="shared" si="154"/>
        <v>834.75149167090876</v>
      </c>
      <c r="R2445" s="22">
        <f t="shared" si="155"/>
        <v>0.34211575384222609</v>
      </c>
    </row>
    <row r="2446" spans="1:18">
      <c r="A2446" s="18">
        <v>3445</v>
      </c>
      <c r="B2446" s="19" t="s">
        <v>819</v>
      </c>
      <c r="C2446" s="18">
        <v>2025</v>
      </c>
      <c r="D2446" s="18" t="s">
        <v>64</v>
      </c>
      <c r="E2446" s="18" t="s">
        <v>85</v>
      </c>
      <c r="F2446" s="18" t="s">
        <v>86</v>
      </c>
      <c r="G2446" s="18" t="s">
        <v>50</v>
      </c>
      <c r="H2446" s="18" t="s">
        <v>83</v>
      </c>
      <c r="I2446" s="18" t="s">
        <v>60</v>
      </c>
      <c r="J2446" s="18" t="s">
        <v>82</v>
      </c>
      <c r="K2446" s="18">
        <v>10</v>
      </c>
      <c r="L2446" s="20">
        <v>3656.05</v>
      </c>
      <c r="M2446" s="21">
        <v>0.15</v>
      </c>
      <c r="N2446" s="21">
        <v>0.584770649151924</v>
      </c>
      <c r="O2446" s="20">
        <f t="shared" si="152"/>
        <v>31076.424999999999</v>
      </c>
      <c r="P2446" s="20">
        <f t="shared" si="153"/>
        <v>18172.581220571079</v>
      </c>
      <c r="Q2446" s="20">
        <f t="shared" si="154"/>
        <v>12903.84377942892</v>
      </c>
      <c r="R2446" s="22">
        <f t="shared" si="155"/>
        <v>0.415229350848076</v>
      </c>
    </row>
    <row r="2447" spans="1:18">
      <c r="A2447" s="18">
        <v>3446</v>
      </c>
      <c r="B2447" s="19" t="s">
        <v>819</v>
      </c>
      <c r="C2447" s="18">
        <v>2025</v>
      </c>
      <c r="D2447" s="18" t="s">
        <v>64</v>
      </c>
      <c r="E2447" s="18" t="s">
        <v>98</v>
      </c>
      <c r="F2447" s="18" t="s">
        <v>109</v>
      </c>
      <c r="G2447" s="18" t="s">
        <v>47</v>
      </c>
      <c r="H2447" s="18" t="s">
        <v>81</v>
      </c>
      <c r="I2447" s="18" t="s">
        <v>40</v>
      </c>
      <c r="J2447" s="18" t="s">
        <v>91</v>
      </c>
      <c r="K2447" s="18">
        <v>3</v>
      </c>
      <c r="L2447" s="20">
        <v>801.31</v>
      </c>
      <c r="M2447" s="21">
        <v>0.2</v>
      </c>
      <c r="N2447" s="21">
        <v>0.66589072490623702</v>
      </c>
      <c r="O2447" s="20">
        <f t="shared" si="152"/>
        <v>1923.144</v>
      </c>
      <c r="P2447" s="20">
        <f t="shared" si="153"/>
        <v>1280.6037522590802</v>
      </c>
      <c r="Q2447" s="20">
        <f t="shared" si="154"/>
        <v>642.54024774091977</v>
      </c>
      <c r="R2447" s="22">
        <f t="shared" si="155"/>
        <v>0.33410927509376298</v>
      </c>
    </row>
    <row r="2448" spans="1:18">
      <c r="A2448" s="18">
        <v>3447</v>
      </c>
      <c r="B2448" s="19" t="s">
        <v>820</v>
      </c>
      <c r="C2448" s="18">
        <v>2025</v>
      </c>
      <c r="D2448" s="18" t="s">
        <v>64</v>
      </c>
      <c r="E2448" s="18" t="s">
        <v>88</v>
      </c>
      <c r="F2448" s="18" t="s">
        <v>93</v>
      </c>
      <c r="G2448" s="18" t="s">
        <v>50</v>
      </c>
      <c r="H2448" s="18" t="s">
        <v>87</v>
      </c>
      <c r="I2448" s="18" t="s">
        <v>52</v>
      </c>
      <c r="J2448" s="18" t="s">
        <v>82</v>
      </c>
      <c r="K2448" s="18">
        <v>2</v>
      </c>
      <c r="L2448" s="20">
        <v>9423</v>
      </c>
      <c r="M2448" s="21">
        <v>0</v>
      </c>
      <c r="N2448" s="21">
        <v>0.63459646990457097</v>
      </c>
      <c r="O2448" s="20">
        <f t="shared" si="152"/>
        <v>18846</v>
      </c>
      <c r="P2448" s="20">
        <f t="shared" si="153"/>
        <v>11959.605071821545</v>
      </c>
      <c r="Q2448" s="20">
        <f t="shared" si="154"/>
        <v>6886.3949281784553</v>
      </c>
      <c r="R2448" s="22">
        <f t="shared" si="155"/>
        <v>0.36540353009542903</v>
      </c>
    </row>
    <row r="2449" spans="1:18">
      <c r="A2449" s="18">
        <v>3448</v>
      </c>
      <c r="B2449" s="19" t="s">
        <v>820</v>
      </c>
      <c r="C2449" s="18">
        <v>2025</v>
      </c>
      <c r="D2449" s="18" t="s">
        <v>64</v>
      </c>
      <c r="E2449" s="18" t="s">
        <v>79</v>
      </c>
      <c r="F2449" s="18" t="s">
        <v>80</v>
      </c>
      <c r="G2449" s="18" t="s">
        <v>50</v>
      </c>
      <c r="H2449" s="18" t="s">
        <v>83</v>
      </c>
      <c r="I2449" s="18" t="s">
        <v>46</v>
      </c>
      <c r="J2449" s="18" t="s">
        <v>91</v>
      </c>
      <c r="K2449" s="18">
        <v>7</v>
      </c>
      <c r="L2449" s="20">
        <v>3462.17</v>
      </c>
      <c r="M2449" s="21">
        <v>0</v>
      </c>
      <c r="N2449" s="21">
        <v>0.66149386172457603</v>
      </c>
      <c r="O2449" s="20">
        <f t="shared" si="152"/>
        <v>24235.190000000002</v>
      </c>
      <c r="P2449" s="20">
        <f t="shared" si="153"/>
        <v>16031.42942272883</v>
      </c>
      <c r="Q2449" s="20">
        <f t="shared" si="154"/>
        <v>8203.7605772711722</v>
      </c>
      <c r="R2449" s="22">
        <f t="shared" si="155"/>
        <v>0.33850613827542392</v>
      </c>
    </row>
    <row r="2450" spans="1:18">
      <c r="A2450" s="18">
        <v>3449</v>
      </c>
      <c r="B2450" s="19" t="s">
        <v>820</v>
      </c>
      <c r="C2450" s="18">
        <v>2025</v>
      </c>
      <c r="D2450" s="18" t="s">
        <v>64</v>
      </c>
      <c r="E2450" s="18" t="s">
        <v>88</v>
      </c>
      <c r="F2450" s="18" t="s">
        <v>110</v>
      </c>
      <c r="G2450" s="18" t="s">
        <v>44</v>
      </c>
      <c r="H2450" s="18" t="s">
        <v>95</v>
      </c>
      <c r="I2450" s="18" t="s">
        <v>43</v>
      </c>
      <c r="J2450" s="18" t="s">
        <v>91</v>
      </c>
      <c r="K2450" s="18">
        <v>1</v>
      </c>
      <c r="L2450" s="20">
        <v>4561.0200000000004</v>
      </c>
      <c r="M2450" s="21">
        <v>0</v>
      </c>
      <c r="N2450" s="21">
        <v>0.74885307985965999</v>
      </c>
      <c r="O2450" s="20">
        <f t="shared" si="152"/>
        <v>4561.0200000000004</v>
      </c>
      <c r="P2450" s="20">
        <f t="shared" si="153"/>
        <v>3415.5338743015068</v>
      </c>
      <c r="Q2450" s="20">
        <f t="shared" si="154"/>
        <v>1145.4861256984937</v>
      </c>
      <c r="R2450" s="22">
        <f t="shared" si="155"/>
        <v>0.25114692014034001</v>
      </c>
    </row>
    <row r="2451" spans="1:18">
      <c r="A2451" s="18">
        <v>3450</v>
      </c>
      <c r="B2451" s="19" t="s">
        <v>820</v>
      </c>
      <c r="C2451" s="18">
        <v>2025</v>
      </c>
      <c r="D2451" s="18" t="s">
        <v>64</v>
      </c>
      <c r="E2451" s="18" t="s">
        <v>85</v>
      </c>
      <c r="F2451" s="18" t="s">
        <v>86</v>
      </c>
      <c r="G2451" s="18" t="s">
        <v>47</v>
      </c>
      <c r="H2451" s="18" t="s">
        <v>107</v>
      </c>
      <c r="I2451" s="18" t="s">
        <v>52</v>
      </c>
      <c r="J2451" s="18" t="s">
        <v>82</v>
      </c>
      <c r="K2451" s="18">
        <v>6</v>
      </c>
      <c r="L2451" s="20">
        <v>2266.6799999999998</v>
      </c>
      <c r="M2451" s="21">
        <v>0.1</v>
      </c>
      <c r="N2451" s="21">
        <v>0.67604281403267497</v>
      </c>
      <c r="O2451" s="20">
        <f t="shared" si="152"/>
        <v>12240.071999999998</v>
      </c>
      <c r="P2451" s="20">
        <f t="shared" si="153"/>
        <v>8274.8127188425515</v>
      </c>
      <c r="Q2451" s="20">
        <f t="shared" si="154"/>
        <v>3965.2592811574468</v>
      </c>
      <c r="R2451" s="22">
        <f t="shared" si="155"/>
        <v>0.32395718596732498</v>
      </c>
    </row>
    <row r="2452" spans="1:18">
      <c r="A2452" s="18">
        <v>3451</v>
      </c>
      <c r="B2452" s="19" t="s">
        <v>821</v>
      </c>
      <c r="C2452" s="18">
        <v>2025</v>
      </c>
      <c r="D2452" s="18" t="s">
        <v>64</v>
      </c>
      <c r="E2452" s="18" t="s">
        <v>98</v>
      </c>
      <c r="F2452" s="18" t="s">
        <v>109</v>
      </c>
      <c r="G2452" s="18" t="s">
        <v>50</v>
      </c>
      <c r="H2452" s="18" t="s">
        <v>83</v>
      </c>
      <c r="I2452" s="18" t="s">
        <v>43</v>
      </c>
      <c r="J2452" s="18" t="s">
        <v>82</v>
      </c>
      <c r="K2452" s="18">
        <v>1</v>
      </c>
      <c r="L2452" s="20">
        <v>3582.52</v>
      </c>
      <c r="M2452" s="21">
        <v>0.05</v>
      </c>
      <c r="N2452" s="21">
        <v>0.71210129061628002</v>
      </c>
      <c r="O2452" s="20">
        <f t="shared" si="152"/>
        <v>3403.3939999999998</v>
      </c>
      <c r="P2452" s="20">
        <f t="shared" si="153"/>
        <v>2423.5612598757034</v>
      </c>
      <c r="Q2452" s="20">
        <f t="shared" si="154"/>
        <v>979.83274012429638</v>
      </c>
      <c r="R2452" s="22">
        <f t="shared" si="155"/>
        <v>0.28789870938372003</v>
      </c>
    </row>
    <row r="2453" spans="1:18">
      <c r="A2453" s="18">
        <v>3452</v>
      </c>
      <c r="B2453" s="19" t="s">
        <v>821</v>
      </c>
      <c r="C2453" s="18">
        <v>2025</v>
      </c>
      <c r="D2453" s="18" t="s">
        <v>64</v>
      </c>
      <c r="E2453" s="18" t="s">
        <v>88</v>
      </c>
      <c r="F2453" s="18" t="s">
        <v>89</v>
      </c>
      <c r="G2453" s="18" t="s">
        <v>44</v>
      </c>
      <c r="H2453" s="18" t="s">
        <v>95</v>
      </c>
      <c r="I2453" s="18" t="s">
        <v>54</v>
      </c>
      <c r="J2453" s="18" t="s">
        <v>82</v>
      </c>
      <c r="K2453" s="18">
        <v>7</v>
      </c>
      <c r="L2453" s="20">
        <v>4543.5</v>
      </c>
      <c r="M2453" s="21">
        <v>0.15</v>
      </c>
      <c r="N2453" s="21">
        <v>0.56800495526014005</v>
      </c>
      <c r="O2453" s="20">
        <f t="shared" si="152"/>
        <v>27033.825000000001</v>
      </c>
      <c r="P2453" s="20">
        <f t="shared" si="153"/>
        <v>15355.346559635456</v>
      </c>
      <c r="Q2453" s="20">
        <f t="shared" si="154"/>
        <v>11678.478440364544</v>
      </c>
      <c r="R2453" s="22">
        <f t="shared" si="155"/>
        <v>0.43199504473985995</v>
      </c>
    </row>
    <row r="2454" spans="1:18">
      <c r="A2454" s="18">
        <v>3453</v>
      </c>
      <c r="B2454" s="19" t="s">
        <v>821</v>
      </c>
      <c r="C2454" s="18">
        <v>2025</v>
      </c>
      <c r="D2454" s="18" t="s">
        <v>64</v>
      </c>
      <c r="E2454" s="18" t="s">
        <v>88</v>
      </c>
      <c r="F2454" s="18" t="s">
        <v>110</v>
      </c>
      <c r="G2454" s="18" t="s">
        <v>50</v>
      </c>
      <c r="H2454" s="18" t="s">
        <v>97</v>
      </c>
      <c r="I2454" s="18" t="s">
        <v>49</v>
      </c>
      <c r="J2454" s="18" t="s">
        <v>82</v>
      </c>
      <c r="K2454" s="18">
        <v>3</v>
      </c>
      <c r="L2454" s="20">
        <v>12061.58</v>
      </c>
      <c r="M2454" s="21">
        <v>0.05</v>
      </c>
      <c r="N2454" s="21">
        <v>0.66397524245284401</v>
      </c>
      <c r="O2454" s="20">
        <f t="shared" si="152"/>
        <v>34375.502999999997</v>
      </c>
      <c r="P2454" s="20">
        <f t="shared" si="153"/>
        <v>22824.482938863464</v>
      </c>
      <c r="Q2454" s="20">
        <f t="shared" si="154"/>
        <v>11551.020061136533</v>
      </c>
      <c r="R2454" s="22">
        <f t="shared" si="155"/>
        <v>0.33602475754715599</v>
      </c>
    </row>
    <row r="2455" spans="1:18">
      <c r="A2455" s="18">
        <v>3454</v>
      </c>
      <c r="B2455" s="19" t="s">
        <v>822</v>
      </c>
      <c r="C2455" s="18">
        <v>2025</v>
      </c>
      <c r="D2455" s="18" t="s">
        <v>64</v>
      </c>
      <c r="E2455" s="18" t="s">
        <v>79</v>
      </c>
      <c r="F2455" s="18" t="s">
        <v>100</v>
      </c>
      <c r="G2455" s="18" t="s">
        <v>50</v>
      </c>
      <c r="H2455" s="18" t="s">
        <v>87</v>
      </c>
      <c r="I2455" s="18" t="s">
        <v>58</v>
      </c>
      <c r="J2455" s="18" t="s">
        <v>82</v>
      </c>
      <c r="K2455" s="18">
        <v>3</v>
      </c>
      <c r="L2455" s="20">
        <v>9897.3799999999992</v>
      </c>
      <c r="M2455" s="21">
        <v>0.05</v>
      </c>
      <c r="N2455" s="21">
        <v>0.59845660980855298</v>
      </c>
      <c r="O2455" s="20">
        <f t="shared" si="152"/>
        <v>28207.532999999999</v>
      </c>
      <c r="P2455" s="20">
        <f t="shared" si="153"/>
        <v>16880.984570242883</v>
      </c>
      <c r="Q2455" s="20">
        <f t="shared" si="154"/>
        <v>11326.548429757117</v>
      </c>
      <c r="R2455" s="22">
        <f t="shared" si="155"/>
        <v>0.40154339019144697</v>
      </c>
    </row>
    <row r="2456" spans="1:18">
      <c r="A2456" s="18">
        <v>3455</v>
      </c>
      <c r="B2456" s="19" t="s">
        <v>822</v>
      </c>
      <c r="C2456" s="18">
        <v>2025</v>
      </c>
      <c r="D2456" s="18" t="s">
        <v>64</v>
      </c>
      <c r="E2456" s="18" t="s">
        <v>98</v>
      </c>
      <c r="F2456" s="18" t="s">
        <v>117</v>
      </c>
      <c r="G2456" s="18" t="s">
        <v>47</v>
      </c>
      <c r="H2456" s="18" t="s">
        <v>81</v>
      </c>
      <c r="I2456" s="18" t="s">
        <v>54</v>
      </c>
      <c r="J2456" s="18" t="s">
        <v>91</v>
      </c>
      <c r="K2456" s="18">
        <v>4</v>
      </c>
      <c r="L2456" s="20">
        <v>815.87</v>
      </c>
      <c r="M2456" s="21">
        <v>0.1</v>
      </c>
      <c r="N2456" s="21">
        <v>0.60116843804900699</v>
      </c>
      <c r="O2456" s="20">
        <f t="shared" si="152"/>
        <v>2937.1320000000001</v>
      </c>
      <c r="P2456" s="20">
        <f t="shared" si="153"/>
        <v>1765.711056783756</v>
      </c>
      <c r="Q2456" s="20">
        <f t="shared" si="154"/>
        <v>1171.420943216244</v>
      </c>
      <c r="R2456" s="22">
        <f t="shared" si="155"/>
        <v>0.39883156195099301</v>
      </c>
    </row>
    <row r="2457" spans="1:18">
      <c r="A2457" s="18">
        <v>3456</v>
      </c>
      <c r="B2457" s="19" t="s">
        <v>822</v>
      </c>
      <c r="C2457" s="18">
        <v>2025</v>
      </c>
      <c r="D2457" s="18" t="s">
        <v>64</v>
      </c>
      <c r="E2457" s="18" t="s">
        <v>79</v>
      </c>
      <c r="F2457" s="18" t="s">
        <v>80</v>
      </c>
      <c r="G2457" s="18" t="s">
        <v>50</v>
      </c>
      <c r="H2457" s="18" t="s">
        <v>97</v>
      </c>
      <c r="I2457" s="18" t="s">
        <v>52</v>
      </c>
      <c r="J2457" s="18" t="s">
        <v>102</v>
      </c>
      <c r="K2457" s="18">
        <v>1</v>
      </c>
      <c r="L2457" s="20">
        <v>12565.08</v>
      </c>
      <c r="M2457" s="21">
        <v>0.1</v>
      </c>
      <c r="N2457" s="21">
        <v>0.715413809868226</v>
      </c>
      <c r="O2457" s="20">
        <f t="shared" si="152"/>
        <v>11308.572</v>
      </c>
      <c r="P2457" s="20">
        <f t="shared" si="153"/>
        <v>8090.3085786891443</v>
      </c>
      <c r="Q2457" s="20">
        <f t="shared" si="154"/>
        <v>3218.2634213108558</v>
      </c>
      <c r="R2457" s="22">
        <f t="shared" si="155"/>
        <v>0.284586190131774</v>
      </c>
    </row>
    <row r="2458" spans="1:18">
      <c r="A2458" s="18">
        <v>3457</v>
      </c>
      <c r="B2458" s="19" t="s">
        <v>822</v>
      </c>
      <c r="C2458" s="18">
        <v>2025</v>
      </c>
      <c r="D2458" s="18" t="s">
        <v>64</v>
      </c>
      <c r="E2458" s="18" t="s">
        <v>98</v>
      </c>
      <c r="F2458" s="18" t="s">
        <v>99</v>
      </c>
      <c r="G2458" s="18" t="s">
        <v>44</v>
      </c>
      <c r="H2458" s="18" t="s">
        <v>119</v>
      </c>
      <c r="I2458" s="18" t="s">
        <v>54</v>
      </c>
      <c r="J2458" s="18" t="s">
        <v>102</v>
      </c>
      <c r="K2458" s="18">
        <v>10</v>
      </c>
      <c r="L2458" s="20">
        <v>6966.24</v>
      </c>
      <c r="M2458" s="21">
        <v>0.1</v>
      </c>
      <c r="N2458" s="21">
        <v>0.599753936406628</v>
      </c>
      <c r="O2458" s="20">
        <f t="shared" si="152"/>
        <v>62696.159999999996</v>
      </c>
      <c r="P2458" s="20">
        <f t="shared" si="153"/>
        <v>37602.268757579768</v>
      </c>
      <c r="Q2458" s="20">
        <f t="shared" si="154"/>
        <v>25093.891242420228</v>
      </c>
      <c r="R2458" s="22">
        <f t="shared" si="155"/>
        <v>0.40024606359337206</v>
      </c>
    </row>
    <row r="2459" spans="1:18">
      <c r="A2459" s="18">
        <v>3458</v>
      </c>
      <c r="B2459" s="19" t="s">
        <v>822</v>
      </c>
      <c r="C2459" s="18">
        <v>2025</v>
      </c>
      <c r="D2459" s="18" t="s">
        <v>64</v>
      </c>
      <c r="E2459" s="18" t="s">
        <v>98</v>
      </c>
      <c r="F2459" s="18" t="s">
        <v>109</v>
      </c>
      <c r="G2459" s="18" t="s">
        <v>50</v>
      </c>
      <c r="H2459" s="18" t="s">
        <v>97</v>
      </c>
      <c r="I2459" s="18" t="s">
        <v>46</v>
      </c>
      <c r="J2459" s="18" t="s">
        <v>82</v>
      </c>
      <c r="K2459" s="18">
        <v>3</v>
      </c>
      <c r="L2459" s="20">
        <v>11676.99</v>
      </c>
      <c r="M2459" s="21">
        <v>0</v>
      </c>
      <c r="N2459" s="21">
        <v>0.626231897478152</v>
      </c>
      <c r="O2459" s="20">
        <f t="shared" si="152"/>
        <v>35030.97</v>
      </c>
      <c r="P2459" s="20">
        <f t="shared" si="153"/>
        <v>21937.51081360022</v>
      </c>
      <c r="Q2459" s="20">
        <f t="shared" si="154"/>
        <v>13093.459186399781</v>
      </c>
      <c r="R2459" s="22">
        <f t="shared" si="155"/>
        <v>0.373768102521848</v>
      </c>
    </row>
    <row r="2460" spans="1:18">
      <c r="A2460" s="18">
        <v>3459</v>
      </c>
      <c r="B2460" s="19" t="s">
        <v>823</v>
      </c>
      <c r="C2460" s="18">
        <v>2025</v>
      </c>
      <c r="D2460" s="18" t="s">
        <v>64</v>
      </c>
      <c r="E2460" s="18" t="s">
        <v>85</v>
      </c>
      <c r="F2460" s="18" t="s">
        <v>121</v>
      </c>
      <c r="G2460" s="18" t="s">
        <v>41</v>
      </c>
      <c r="H2460" s="18" t="s">
        <v>101</v>
      </c>
      <c r="I2460" s="18" t="s">
        <v>54</v>
      </c>
      <c r="J2460" s="18" t="s">
        <v>102</v>
      </c>
      <c r="K2460" s="18">
        <v>5</v>
      </c>
      <c r="L2460" s="20">
        <v>55368.21</v>
      </c>
      <c r="M2460" s="21">
        <v>0.1</v>
      </c>
      <c r="N2460" s="21">
        <v>0.74355812357570406</v>
      </c>
      <c r="O2460" s="20">
        <f t="shared" si="152"/>
        <v>249156.94500000001</v>
      </c>
      <c r="P2460" s="20">
        <f t="shared" si="153"/>
        <v>185262.6705000549</v>
      </c>
      <c r="Q2460" s="20">
        <f t="shared" si="154"/>
        <v>63894.27449994511</v>
      </c>
      <c r="R2460" s="22">
        <f t="shared" si="155"/>
        <v>0.25644187642429594</v>
      </c>
    </row>
    <row r="2461" spans="1:18">
      <c r="A2461" s="18">
        <v>3460</v>
      </c>
      <c r="B2461" s="19" t="s">
        <v>823</v>
      </c>
      <c r="C2461" s="18">
        <v>2025</v>
      </c>
      <c r="D2461" s="18" t="s">
        <v>64</v>
      </c>
      <c r="E2461" s="18" t="s">
        <v>88</v>
      </c>
      <c r="F2461" s="18" t="s">
        <v>110</v>
      </c>
      <c r="G2461" s="18" t="s">
        <v>41</v>
      </c>
      <c r="H2461" s="18" t="s">
        <v>106</v>
      </c>
      <c r="I2461" s="18" t="s">
        <v>46</v>
      </c>
      <c r="J2461" s="18" t="s">
        <v>102</v>
      </c>
      <c r="K2461" s="18">
        <v>9</v>
      </c>
      <c r="L2461" s="20">
        <v>2471.7399999999998</v>
      </c>
      <c r="M2461" s="21">
        <v>0</v>
      </c>
      <c r="N2461" s="21">
        <v>0.74224920185018906</v>
      </c>
      <c r="O2461" s="20">
        <f t="shared" si="152"/>
        <v>22245.659999999996</v>
      </c>
      <c r="P2461" s="20">
        <f t="shared" si="153"/>
        <v>16511.823379630674</v>
      </c>
      <c r="Q2461" s="20">
        <f t="shared" si="154"/>
        <v>5733.8366203693222</v>
      </c>
      <c r="R2461" s="22">
        <f t="shared" si="155"/>
        <v>0.25775079814981094</v>
      </c>
    </row>
    <row r="2462" spans="1:18">
      <c r="A2462" s="18">
        <v>3461</v>
      </c>
      <c r="B2462" s="19" t="s">
        <v>823</v>
      </c>
      <c r="C2462" s="18">
        <v>2025</v>
      </c>
      <c r="D2462" s="18" t="s">
        <v>64</v>
      </c>
      <c r="E2462" s="18" t="s">
        <v>88</v>
      </c>
      <c r="F2462" s="18" t="s">
        <v>110</v>
      </c>
      <c r="G2462" s="18" t="s">
        <v>50</v>
      </c>
      <c r="H2462" s="18" t="s">
        <v>97</v>
      </c>
      <c r="I2462" s="18" t="s">
        <v>56</v>
      </c>
      <c r="J2462" s="18" t="s">
        <v>82</v>
      </c>
      <c r="K2462" s="18">
        <v>8</v>
      </c>
      <c r="L2462" s="20">
        <v>12538.35</v>
      </c>
      <c r="M2462" s="21">
        <v>0.15</v>
      </c>
      <c r="N2462" s="21">
        <v>0.66668137670782401</v>
      </c>
      <c r="O2462" s="20">
        <f t="shared" si="152"/>
        <v>85260.78</v>
      </c>
      <c r="P2462" s="20">
        <f t="shared" si="153"/>
        <v>56841.774189582909</v>
      </c>
      <c r="Q2462" s="20">
        <f t="shared" si="154"/>
        <v>28419.005810417089</v>
      </c>
      <c r="R2462" s="22">
        <f t="shared" si="155"/>
        <v>0.33331862329217593</v>
      </c>
    </row>
    <row r="2463" spans="1:18">
      <c r="A2463" s="18">
        <v>3462</v>
      </c>
      <c r="B2463" s="19" t="s">
        <v>823</v>
      </c>
      <c r="C2463" s="18">
        <v>2025</v>
      </c>
      <c r="D2463" s="18" t="s">
        <v>64</v>
      </c>
      <c r="E2463" s="18" t="s">
        <v>88</v>
      </c>
      <c r="F2463" s="18" t="s">
        <v>110</v>
      </c>
      <c r="G2463" s="18" t="s">
        <v>47</v>
      </c>
      <c r="H2463" s="18" t="s">
        <v>107</v>
      </c>
      <c r="I2463" s="18" t="s">
        <v>62</v>
      </c>
      <c r="J2463" s="18" t="s">
        <v>102</v>
      </c>
      <c r="K2463" s="18">
        <v>10</v>
      </c>
      <c r="L2463" s="20">
        <v>2234.61</v>
      </c>
      <c r="M2463" s="21">
        <v>0</v>
      </c>
      <c r="N2463" s="21">
        <v>0.66759754108609703</v>
      </c>
      <c r="O2463" s="20">
        <f t="shared" si="152"/>
        <v>22346.100000000002</v>
      </c>
      <c r="P2463" s="20">
        <f t="shared" si="153"/>
        <v>14918.201412864035</v>
      </c>
      <c r="Q2463" s="20">
        <f t="shared" si="154"/>
        <v>7427.8985871359673</v>
      </c>
      <c r="R2463" s="22">
        <f t="shared" si="155"/>
        <v>0.33240245891390297</v>
      </c>
    </row>
    <row r="2464" spans="1:18">
      <c r="A2464" s="18">
        <v>3463</v>
      </c>
      <c r="B2464" s="19" t="s">
        <v>823</v>
      </c>
      <c r="C2464" s="18">
        <v>2025</v>
      </c>
      <c r="D2464" s="18" t="s">
        <v>64</v>
      </c>
      <c r="E2464" s="18" t="s">
        <v>88</v>
      </c>
      <c r="F2464" s="18" t="s">
        <v>110</v>
      </c>
      <c r="G2464" s="18" t="s">
        <v>47</v>
      </c>
      <c r="H2464" s="18" t="s">
        <v>103</v>
      </c>
      <c r="I2464" s="18" t="s">
        <v>58</v>
      </c>
      <c r="J2464" s="18" t="s">
        <v>91</v>
      </c>
      <c r="K2464" s="18">
        <v>9</v>
      </c>
      <c r="L2464" s="20">
        <v>3204.73</v>
      </c>
      <c r="M2464" s="21">
        <v>0.2</v>
      </c>
      <c r="N2464" s="21">
        <v>0.64908644326171305</v>
      </c>
      <c r="O2464" s="20">
        <f t="shared" si="152"/>
        <v>23074.056</v>
      </c>
      <c r="P2464" s="20">
        <f t="shared" si="153"/>
        <v>14977.05694066159</v>
      </c>
      <c r="Q2464" s="20">
        <f t="shared" si="154"/>
        <v>8096.99905933841</v>
      </c>
      <c r="R2464" s="22">
        <f t="shared" si="155"/>
        <v>0.35091355673828695</v>
      </c>
    </row>
    <row r="2465" spans="1:18">
      <c r="A2465" s="18">
        <v>3464</v>
      </c>
      <c r="B2465" s="19" t="s">
        <v>824</v>
      </c>
      <c r="C2465" s="18">
        <v>2025</v>
      </c>
      <c r="D2465" s="18" t="s">
        <v>64</v>
      </c>
      <c r="E2465" s="18" t="s">
        <v>98</v>
      </c>
      <c r="F2465" s="18" t="s">
        <v>109</v>
      </c>
      <c r="G2465" s="18" t="s">
        <v>41</v>
      </c>
      <c r="H2465" s="18" t="s">
        <v>106</v>
      </c>
      <c r="I2465" s="18" t="s">
        <v>43</v>
      </c>
      <c r="J2465" s="18" t="s">
        <v>82</v>
      </c>
      <c r="K2465" s="18">
        <v>5</v>
      </c>
      <c r="L2465" s="20">
        <v>2506.3000000000002</v>
      </c>
      <c r="M2465" s="21">
        <v>0</v>
      </c>
      <c r="N2465" s="21">
        <v>0.65465146295357801</v>
      </c>
      <c r="O2465" s="20">
        <f t="shared" si="152"/>
        <v>12531.5</v>
      </c>
      <c r="P2465" s="20">
        <f t="shared" si="153"/>
        <v>8203.7648080027629</v>
      </c>
      <c r="Q2465" s="20">
        <f t="shared" si="154"/>
        <v>4327.7351919972371</v>
      </c>
      <c r="R2465" s="22">
        <f t="shared" si="155"/>
        <v>0.34534853704642199</v>
      </c>
    </row>
    <row r="2466" spans="1:18">
      <c r="A2466" s="18">
        <v>3465</v>
      </c>
      <c r="B2466" s="19" t="s">
        <v>824</v>
      </c>
      <c r="C2466" s="18">
        <v>2025</v>
      </c>
      <c r="D2466" s="18" t="s">
        <v>64</v>
      </c>
      <c r="E2466" s="18" t="s">
        <v>98</v>
      </c>
      <c r="F2466" s="18" t="s">
        <v>99</v>
      </c>
      <c r="G2466" s="18" t="s">
        <v>44</v>
      </c>
      <c r="H2466" s="18" t="s">
        <v>119</v>
      </c>
      <c r="I2466" s="18" t="s">
        <v>54</v>
      </c>
      <c r="J2466" s="18" t="s">
        <v>82</v>
      </c>
      <c r="K2466" s="18">
        <v>10</v>
      </c>
      <c r="L2466" s="20">
        <v>7019.52</v>
      </c>
      <c r="M2466" s="21">
        <v>0</v>
      </c>
      <c r="N2466" s="21">
        <v>0.74520965034430597</v>
      </c>
      <c r="O2466" s="20">
        <f t="shared" si="152"/>
        <v>70195.200000000012</v>
      </c>
      <c r="P2466" s="20">
        <f t="shared" si="153"/>
        <v>52310.140447848637</v>
      </c>
      <c r="Q2466" s="20">
        <f t="shared" si="154"/>
        <v>17885.059552151375</v>
      </c>
      <c r="R2466" s="22">
        <f t="shared" si="155"/>
        <v>0.25479034965569403</v>
      </c>
    </row>
    <row r="2467" spans="1:18">
      <c r="A2467" s="18">
        <v>3466</v>
      </c>
      <c r="B2467" s="19" t="s">
        <v>824</v>
      </c>
      <c r="C2467" s="18">
        <v>2025</v>
      </c>
      <c r="D2467" s="18" t="s">
        <v>64</v>
      </c>
      <c r="E2467" s="18" t="s">
        <v>79</v>
      </c>
      <c r="F2467" s="18" t="s">
        <v>100</v>
      </c>
      <c r="G2467" s="18" t="s">
        <v>44</v>
      </c>
      <c r="H2467" s="18" t="s">
        <v>114</v>
      </c>
      <c r="I2467" s="18" t="s">
        <v>40</v>
      </c>
      <c r="J2467" s="18" t="s">
        <v>82</v>
      </c>
      <c r="K2467" s="18">
        <v>1</v>
      </c>
      <c r="L2467" s="20">
        <v>9357.1200000000008</v>
      </c>
      <c r="M2467" s="21">
        <v>0.05</v>
      </c>
      <c r="N2467" s="21">
        <v>0.60949816860209505</v>
      </c>
      <c r="O2467" s="20">
        <f t="shared" si="152"/>
        <v>8889.264000000001</v>
      </c>
      <c r="P2467" s="20">
        <f t="shared" si="153"/>
        <v>5417.9901282205346</v>
      </c>
      <c r="Q2467" s="20">
        <f t="shared" si="154"/>
        <v>3471.2738717794664</v>
      </c>
      <c r="R2467" s="22">
        <f t="shared" si="155"/>
        <v>0.39050183139790495</v>
      </c>
    </row>
    <row r="2468" spans="1:18">
      <c r="A2468" s="18">
        <v>3467</v>
      </c>
      <c r="B2468" s="19" t="s">
        <v>825</v>
      </c>
      <c r="C2468" s="18">
        <v>2025</v>
      </c>
      <c r="D2468" s="18" t="s">
        <v>64</v>
      </c>
      <c r="E2468" s="18" t="s">
        <v>85</v>
      </c>
      <c r="F2468" s="18" t="s">
        <v>86</v>
      </c>
      <c r="G2468" s="18" t="s">
        <v>41</v>
      </c>
      <c r="H2468" s="18" t="s">
        <v>106</v>
      </c>
      <c r="I2468" s="18" t="s">
        <v>49</v>
      </c>
      <c r="J2468" s="18" t="s">
        <v>82</v>
      </c>
      <c r="K2468" s="18">
        <v>5</v>
      </c>
      <c r="L2468" s="20">
        <v>2557.77</v>
      </c>
      <c r="M2468" s="21">
        <v>0.15</v>
      </c>
      <c r="N2468" s="21">
        <v>0.564143392768096</v>
      </c>
      <c r="O2468" s="20">
        <f t="shared" si="152"/>
        <v>10870.522499999999</v>
      </c>
      <c r="P2468" s="20">
        <f t="shared" si="153"/>
        <v>6132.5334443119245</v>
      </c>
      <c r="Q2468" s="20">
        <f t="shared" si="154"/>
        <v>4737.9890556880746</v>
      </c>
      <c r="R2468" s="22">
        <f t="shared" si="155"/>
        <v>0.435856607231904</v>
      </c>
    </row>
    <row r="2469" spans="1:18">
      <c r="A2469" s="18">
        <v>3468</v>
      </c>
      <c r="B2469" s="19" t="s">
        <v>825</v>
      </c>
      <c r="C2469" s="18">
        <v>2025</v>
      </c>
      <c r="D2469" s="18" t="s">
        <v>64</v>
      </c>
      <c r="E2469" s="18" t="s">
        <v>98</v>
      </c>
      <c r="F2469" s="18" t="s">
        <v>117</v>
      </c>
      <c r="G2469" s="18" t="s">
        <v>41</v>
      </c>
      <c r="H2469" s="18" t="s">
        <v>101</v>
      </c>
      <c r="I2469" s="18" t="s">
        <v>60</v>
      </c>
      <c r="J2469" s="18" t="s">
        <v>102</v>
      </c>
      <c r="K2469" s="18">
        <v>8</v>
      </c>
      <c r="L2469" s="20">
        <v>54017.68</v>
      </c>
      <c r="M2469" s="21">
        <v>0.2</v>
      </c>
      <c r="N2469" s="21">
        <v>0.71872329792911405</v>
      </c>
      <c r="O2469" s="20">
        <f t="shared" si="152"/>
        <v>345713.152</v>
      </c>
      <c r="P2469" s="20">
        <f t="shared" si="153"/>
        <v>248472.09674290908</v>
      </c>
      <c r="Q2469" s="20">
        <f t="shared" si="154"/>
        <v>97241.05525709092</v>
      </c>
      <c r="R2469" s="22">
        <f t="shared" si="155"/>
        <v>0.28127670207088595</v>
      </c>
    </row>
    <row r="2470" spans="1:18">
      <c r="A2470" s="18">
        <v>3469</v>
      </c>
      <c r="B2470" s="19" t="s">
        <v>825</v>
      </c>
      <c r="C2470" s="18">
        <v>2025</v>
      </c>
      <c r="D2470" s="18" t="s">
        <v>64</v>
      </c>
      <c r="E2470" s="18" t="s">
        <v>85</v>
      </c>
      <c r="F2470" s="18" t="s">
        <v>86</v>
      </c>
      <c r="G2470" s="18" t="s">
        <v>41</v>
      </c>
      <c r="H2470" s="18" t="s">
        <v>112</v>
      </c>
      <c r="I2470" s="18" t="s">
        <v>54</v>
      </c>
      <c r="J2470" s="18" t="s">
        <v>102</v>
      </c>
      <c r="K2470" s="18">
        <v>7</v>
      </c>
      <c r="L2470" s="20">
        <v>5878.27</v>
      </c>
      <c r="M2470" s="21">
        <v>0.2</v>
      </c>
      <c r="N2470" s="21">
        <v>0.70718086163271898</v>
      </c>
      <c r="O2470" s="20">
        <f t="shared" si="152"/>
        <v>32918.311999999998</v>
      </c>
      <c r="P2470" s="20">
        <f t="shared" si="153"/>
        <v>23279.200243654672</v>
      </c>
      <c r="Q2470" s="20">
        <f t="shared" si="154"/>
        <v>9639.1117563453263</v>
      </c>
      <c r="R2470" s="22">
        <f t="shared" si="155"/>
        <v>0.29281913836728102</v>
      </c>
    </row>
    <row r="2471" spans="1:18">
      <c r="A2471" s="18">
        <v>3470</v>
      </c>
      <c r="B2471" s="19" t="s">
        <v>825</v>
      </c>
      <c r="C2471" s="18">
        <v>2025</v>
      </c>
      <c r="D2471" s="18" t="s">
        <v>64</v>
      </c>
      <c r="E2471" s="18" t="s">
        <v>88</v>
      </c>
      <c r="F2471" s="18" t="s">
        <v>89</v>
      </c>
      <c r="G2471" s="18" t="s">
        <v>41</v>
      </c>
      <c r="H2471" s="18" t="s">
        <v>106</v>
      </c>
      <c r="I2471" s="18" t="s">
        <v>62</v>
      </c>
      <c r="J2471" s="18" t="s">
        <v>102</v>
      </c>
      <c r="K2471" s="18">
        <v>11</v>
      </c>
      <c r="L2471" s="20">
        <v>2412.83</v>
      </c>
      <c r="M2471" s="21">
        <v>0.15</v>
      </c>
      <c r="N2471" s="21">
        <v>0.58653029089202302</v>
      </c>
      <c r="O2471" s="20">
        <f t="shared" si="152"/>
        <v>22559.960499999997</v>
      </c>
      <c r="P2471" s="20">
        <f t="shared" si="153"/>
        <v>13232.100194577548</v>
      </c>
      <c r="Q2471" s="20">
        <f t="shared" si="154"/>
        <v>9327.8603054224495</v>
      </c>
      <c r="R2471" s="22">
        <f t="shared" si="155"/>
        <v>0.41346970910797698</v>
      </c>
    </row>
    <row r="2472" spans="1:18">
      <c r="A2472" s="18">
        <v>3471</v>
      </c>
      <c r="B2472" s="19" t="s">
        <v>825</v>
      </c>
      <c r="C2472" s="18">
        <v>2025</v>
      </c>
      <c r="D2472" s="18" t="s">
        <v>64</v>
      </c>
      <c r="E2472" s="18" t="s">
        <v>98</v>
      </c>
      <c r="F2472" s="18" t="s">
        <v>117</v>
      </c>
      <c r="G2472" s="18" t="s">
        <v>41</v>
      </c>
      <c r="H2472" s="18" t="s">
        <v>112</v>
      </c>
      <c r="I2472" s="18" t="s">
        <v>56</v>
      </c>
      <c r="J2472" s="18" t="s">
        <v>91</v>
      </c>
      <c r="K2472" s="18">
        <v>10</v>
      </c>
      <c r="L2472" s="20">
        <v>6265.45</v>
      </c>
      <c r="M2472" s="21">
        <v>0</v>
      </c>
      <c r="N2472" s="21">
        <v>0.67447705111395895</v>
      </c>
      <c r="O2472" s="20">
        <f t="shared" si="152"/>
        <v>62654.5</v>
      </c>
      <c r="P2472" s="20">
        <f t="shared" si="153"/>
        <v>42259.022399019537</v>
      </c>
      <c r="Q2472" s="20">
        <f t="shared" si="154"/>
        <v>20395.477600980463</v>
      </c>
      <c r="R2472" s="22">
        <f t="shared" si="155"/>
        <v>0.32552294888604111</v>
      </c>
    </row>
    <row r="2473" spans="1:18">
      <c r="A2473" s="18">
        <v>3472</v>
      </c>
      <c r="B2473" s="19" t="s">
        <v>826</v>
      </c>
      <c r="C2473" s="18">
        <v>2025</v>
      </c>
      <c r="D2473" s="18" t="s">
        <v>64</v>
      </c>
      <c r="E2473" s="18" t="s">
        <v>85</v>
      </c>
      <c r="F2473" s="18" t="s">
        <v>86</v>
      </c>
      <c r="G2473" s="18" t="s">
        <v>41</v>
      </c>
      <c r="H2473" s="18" t="s">
        <v>106</v>
      </c>
      <c r="I2473" s="18" t="s">
        <v>56</v>
      </c>
      <c r="J2473" s="18" t="s">
        <v>102</v>
      </c>
      <c r="K2473" s="18">
        <v>3</v>
      </c>
      <c r="L2473" s="20">
        <v>2594.84</v>
      </c>
      <c r="M2473" s="21">
        <v>0</v>
      </c>
      <c r="N2473" s="21">
        <v>0.64477161416244799</v>
      </c>
      <c r="O2473" s="20">
        <f t="shared" si="152"/>
        <v>7784.52</v>
      </c>
      <c r="P2473" s="20">
        <f t="shared" si="153"/>
        <v>5019.2375258798602</v>
      </c>
      <c r="Q2473" s="20">
        <f t="shared" si="154"/>
        <v>2765.2824741201403</v>
      </c>
      <c r="R2473" s="22">
        <f t="shared" si="155"/>
        <v>0.35522838583755195</v>
      </c>
    </row>
    <row r="2474" spans="1:18">
      <c r="A2474" s="18">
        <v>3473</v>
      </c>
      <c r="B2474" s="19" t="s">
        <v>826</v>
      </c>
      <c r="C2474" s="18">
        <v>2025</v>
      </c>
      <c r="D2474" s="18" t="s">
        <v>64</v>
      </c>
      <c r="E2474" s="18" t="s">
        <v>98</v>
      </c>
      <c r="F2474" s="18" t="s">
        <v>117</v>
      </c>
      <c r="G2474" s="18" t="s">
        <v>41</v>
      </c>
      <c r="H2474" s="18" t="s">
        <v>112</v>
      </c>
      <c r="I2474" s="18" t="s">
        <v>62</v>
      </c>
      <c r="J2474" s="18" t="s">
        <v>91</v>
      </c>
      <c r="K2474" s="18">
        <v>7</v>
      </c>
      <c r="L2474" s="20">
        <v>5760.3</v>
      </c>
      <c r="M2474" s="21">
        <v>0.15</v>
      </c>
      <c r="N2474" s="21">
        <v>0.63612268652300696</v>
      </c>
      <c r="O2474" s="20">
        <f t="shared" si="152"/>
        <v>34273.784999999996</v>
      </c>
      <c r="P2474" s="20">
        <f t="shared" si="153"/>
        <v>21802.332191511934</v>
      </c>
      <c r="Q2474" s="20">
        <f t="shared" si="154"/>
        <v>12471.452808488062</v>
      </c>
      <c r="R2474" s="22">
        <f t="shared" si="155"/>
        <v>0.36387731347699309</v>
      </c>
    </row>
    <row r="2475" spans="1:18">
      <c r="A2475" s="18">
        <v>3474</v>
      </c>
      <c r="B2475" s="19" t="s">
        <v>826</v>
      </c>
      <c r="C2475" s="18">
        <v>2025</v>
      </c>
      <c r="D2475" s="18" t="s">
        <v>64</v>
      </c>
      <c r="E2475" s="18" t="s">
        <v>98</v>
      </c>
      <c r="F2475" s="18" t="s">
        <v>109</v>
      </c>
      <c r="G2475" s="18" t="s">
        <v>44</v>
      </c>
      <c r="H2475" s="18" t="s">
        <v>95</v>
      </c>
      <c r="I2475" s="18" t="s">
        <v>52</v>
      </c>
      <c r="J2475" s="18" t="s">
        <v>82</v>
      </c>
      <c r="K2475" s="18">
        <v>5</v>
      </c>
      <c r="L2475" s="20">
        <v>4386.5600000000004</v>
      </c>
      <c r="M2475" s="21">
        <v>0.05</v>
      </c>
      <c r="N2475" s="21">
        <v>0.64815050401930097</v>
      </c>
      <c r="O2475" s="20">
        <f t="shared" si="152"/>
        <v>20836.160000000003</v>
      </c>
      <c r="P2475" s="20">
        <f t="shared" si="153"/>
        <v>13504.9676058268</v>
      </c>
      <c r="Q2475" s="20">
        <f t="shared" si="154"/>
        <v>7331.1923941732039</v>
      </c>
      <c r="R2475" s="22">
        <f t="shared" si="155"/>
        <v>0.35184949598069909</v>
      </c>
    </row>
    <row r="2476" spans="1:18">
      <c r="A2476" s="18">
        <v>3475</v>
      </c>
      <c r="B2476" s="19" t="s">
        <v>826</v>
      </c>
      <c r="C2476" s="18">
        <v>2025</v>
      </c>
      <c r="D2476" s="18" t="s">
        <v>64</v>
      </c>
      <c r="E2476" s="18" t="s">
        <v>79</v>
      </c>
      <c r="F2476" s="18" t="s">
        <v>80</v>
      </c>
      <c r="G2476" s="18" t="s">
        <v>44</v>
      </c>
      <c r="H2476" s="18" t="s">
        <v>114</v>
      </c>
      <c r="I2476" s="18" t="s">
        <v>49</v>
      </c>
      <c r="J2476" s="18" t="s">
        <v>82</v>
      </c>
      <c r="K2476" s="18">
        <v>11</v>
      </c>
      <c r="L2476" s="20">
        <v>8724.75</v>
      </c>
      <c r="M2476" s="21">
        <v>0.2</v>
      </c>
      <c r="N2476" s="21">
        <v>0.67373456107936602</v>
      </c>
      <c r="O2476" s="20">
        <f t="shared" si="152"/>
        <v>76777.8</v>
      </c>
      <c r="P2476" s="20">
        <f t="shared" si="153"/>
        <v>51727.857383639348</v>
      </c>
      <c r="Q2476" s="20">
        <f t="shared" si="154"/>
        <v>25049.942616360655</v>
      </c>
      <c r="R2476" s="22">
        <f t="shared" si="155"/>
        <v>0.32626543892063403</v>
      </c>
    </row>
    <row r="2477" spans="1:18">
      <c r="A2477" s="18">
        <v>3476</v>
      </c>
      <c r="B2477" s="19" t="s">
        <v>827</v>
      </c>
      <c r="C2477" s="18">
        <v>2025</v>
      </c>
      <c r="D2477" s="18" t="s">
        <v>64</v>
      </c>
      <c r="E2477" s="18" t="s">
        <v>79</v>
      </c>
      <c r="F2477" s="18" t="s">
        <v>100</v>
      </c>
      <c r="G2477" s="18" t="s">
        <v>41</v>
      </c>
      <c r="H2477" s="18" t="s">
        <v>112</v>
      </c>
      <c r="I2477" s="18" t="s">
        <v>58</v>
      </c>
      <c r="J2477" s="18" t="s">
        <v>91</v>
      </c>
      <c r="K2477" s="18">
        <v>4</v>
      </c>
      <c r="L2477" s="20">
        <v>6085.42</v>
      </c>
      <c r="M2477" s="21">
        <v>0</v>
      </c>
      <c r="N2477" s="21">
        <v>0.64926581083324497</v>
      </c>
      <c r="O2477" s="20">
        <f t="shared" si="152"/>
        <v>24341.68</v>
      </c>
      <c r="P2477" s="20">
        <f t="shared" si="153"/>
        <v>15804.220602243382</v>
      </c>
      <c r="Q2477" s="20">
        <f t="shared" si="154"/>
        <v>8537.4593977566183</v>
      </c>
      <c r="R2477" s="22">
        <f t="shared" si="155"/>
        <v>0.35073418916675503</v>
      </c>
    </row>
    <row r="2478" spans="1:18">
      <c r="A2478" s="18">
        <v>3477</v>
      </c>
      <c r="B2478" s="19" t="s">
        <v>827</v>
      </c>
      <c r="C2478" s="18">
        <v>2025</v>
      </c>
      <c r="D2478" s="18" t="s">
        <v>64</v>
      </c>
      <c r="E2478" s="18" t="s">
        <v>98</v>
      </c>
      <c r="F2478" s="18" t="s">
        <v>117</v>
      </c>
      <c r="G2478" s="18" t="s">
        <v>44</v>
      </c>
      <c r="H2478" s="18" t="s">
        <v>114</v>
      </c>
      <c r="I2478" s="18" t="s">
        <v>43</v>
      </c>
      <c r="J2478" s="18" t="s">
        <v>102</v>
      </c>
      <c r="K2478" s="18">
        <v>11</v>
      </c>
      <c r="L2478" s="20">
        <v>8711.4</v>
      </c>
      <c r="M2478" s="21">
        <v>0</v>
      </c>
      <c r="N2478" s="21">
        <v>0.57932255073638195</v>
      </c>
      <c r="O2478" s="20">
        <f t="shared" si="152"/>
        <v>95825.4</v>
      </c>
      <c r="P2478" s="20">
        <f t="shared" si="153"/>
        <v>55513.815153334093</v>
      </c>
      <c r="Q2478" s="20">
        <f t="shared" si="154"/>
        <v>40311.584846665901</v>
      </c>
      <c r="R2478" s="22">
        <f t="shared" si="155"/>
        <v>0.42067744926361805</v>
      </c>
    </row>
    <row r="2479" spans="1:18">
      <c r="A2479" s="18">
        <v>3478</v>
      </c>
      <c r="B2479" s="19" t="s">
        <v>827</v>
      </c>
      <c r="C2479" s="18">
        <v>2025</v>
      </c>
      <c r="D2479" s="18" t="s">
        <v>64</v>
      </c>
      <c r="E2479" s="18" t="s">
        <v>98</v>
      </c>
      <c r="F2479" s="18" t="s">
        <v>99</v>
      </c>
      <c r="G2479" s="18" t="s">
        <v>41</v>
      </c>
      <c r="H2479" s="18" t="s">
        <v>101</v>
      </c>
      <c r="I2479" s="18" t="s">
        <v>60</v>
      </c>
      <c r="J2479" s="18" t="s">
        <v>91</v>
      </c>
      <c r="K2479" s="18">
        <v>4</v>
      </c>
      <c r="L2479" s="20">
        <v>53404.82</v>
      </c>
      <c r="M2479" s="21">
        <v>0</v>
      </c>
      <c r="N2479" s="21">
        <v>0.587975460735366</v>
      </c>
      <c r="O2479" s="20">
        <f t="shared" si="152"/>
        <v>213619.28</v>
      </c>
      <c r="P2479" s="20">
        <f t="shared" si="153"/>
        <v>125602.89457995715</v>
      </c>
      <c r="Q2479" s="20">
        <f t="shared" si="154"/>
        <v>88016.385420042847</v>
      </c>
      <c r="R2479" s="22">
        <f t="shared" si="155"/>
        <v>0.412024539264634</v>
      </c>
    </row>
    <row r="2480" spans="1:18">
      <c r="A2480" s="18">
        <v>3479</v>
      </c>
      <c r="B2480" s="19" t="s">
        <v>827</v>
      </c>
      <c r="C2480" s="18">
        <v>2025</v>
      </c>
      <c r="D2480" s="18" t="s">
        <v>64</v>
      </c>
      <c r="E2480" s="18" t="s">
        <v>88</v>
      </c>
      <c r="F2480" s="18" t="s">
        <v>89</v>
      </c>
      <c r="G2480" s="18" t="s">
        <v>47</v>
      </c>
      <c r="H2480" s="18" t="s">
        <v>107</v>
      </c>
      <c r="I2480" s="18" t="s">
        <v>58</v>
      </c>
      <c r="J2480" s="18" t="s">
        <v>91</v>
      </c>
      <c r="K2480" s="18">
        <v>9</v>
      </c>
      <c r="L2480" s="20">
        <v>2223.9699999999998</v>
      </c>
      <c r="M2480" s="21">
        <v>0.05</v>
      </c>
      <c r="N2480" s="21">
        <v>0.64867646013386804</v>
      </c>
      <c r="O2480" s="20">
        <f t="shared" si="152"/>
        <v>19014.943499999998</v>
      </c>
      <c r="P2480" s="20">
        <f t="shared" si="153"/>
        <v>12334.546239225501</v>
      </c>
      <c r="Q2480" s="20">
        <f t="shared" si="154"/>
        <v>6680.3972607744963</v>
      </c>
      <c r="R2480" s="22">
        <f t="shared" si="155"/>
        <v>0.35132353986613196</v>
      </c>
    </row>
    <row r="2481" spans="1:18">
      <c r="A2481" s="18">
        <v>3480</v>
      </c>
      <c r="B2481" s="19" t="s">
        <v>827</v>
      </c>
      <c r="C2481" s="18">
        <v>2025</v>
      </c>
      <c r="D2481" s="18" t="s">
        <v>64</v>
      </c>
      <c r="E2481" s="18" t="s">
        <v>79</v>
      </c>
      <c r="F2481" s="18" t="s">
        <v>105</v>
      </c>
      <c r="G2481" s="18" t="s">
        <v>50</v>
      </c>
      <c r="H2481" s="18" t="s">
        <v>83</v>
      </c>
      <c r="I2481" s="18" t="s">
        <v>49</v>
      </c>
      <c r="J2481" s="18" t="s">
        <v>91</v>
      </c>
      <c r="K2481" s="18">
        <v>2</v>
      </c>
      <c r="L2481" s="20">
        <v>3648.05</v>
      </c>
      <c r="M2481" s="21">
        <v>0</v>
      </c>
      <c r="N2481" s="21">
        <v>0.68836564397356004</v>
      </c>
      <c r="O2481" s="20">
        <f t="shared" si="152"/>
        <v>7296.1</v>
      </c>
      <c r="P2481" s="20">
        <f t="shared" si="153"/>
        <v>5022.3845749954917</v>
      </c>
      <c r="Q2481" s="20">
        <f t="shared" si="154"/>
        <v>2273.7154250045087</v>
      </c>
      <c r="R2481" s="22">
        <f t="shared" si="155"/>
        <v>0.31163435602643996</v>
      </c>
    </row>
    <row r="2482" spans="1:18">
      <c r="A2482" s="18">
        <v>3481</v>
      </c>
      <c r="B2482" s="19" t="s">
        <v>828</v>
      </c>
      <c r="C2482" s="18">
        <v>2025</v>
      </c>
      <c r="D2482" s="18" t="s">
        <v>64</v>
      </c>
      <c r="E2482" s="18" t="s">
        <v>85</v>
      </c>
      <c r="F2482" s="18" t="s">
        <v>121</v>
      </c>
      <c r="G2482" s="18" t="s">
        <v>41</v>
      </c>
      <c r="H2482" s="18" t="s">
        <v>90</v>
      </c>
      <c r="I2482" s="18" t="s">
        <v>58</v>
      </c>
      <c r="J2482" s="18" t="s">
        <v>102</v>
      </c>
      <c r="K2482" s="18">
        <v>1</v>
      </c>
      <c r="L2482" s="20">
        <v>18859.419999999998</v>
      </c>
      <c r="M2482" s="21">
        <v>0.2</v>
      </c>
      <c r="N2482" s="21">
        <v>0.66147262581189303</v>
      </c>
      <c r="O2482" s="20">
        <f t="shared" si="152"/>
        <v>15087.536</v>
      </c>
      <c r="P2482" s="20">
        <f t="shared" si="153"/>
        <v>9979.9920549514645</v>
      </c>
      <c r="Q2482" s="20">
        <f t="shared" si="154"/>
        <v>5107.5439450485355</v>
      </c>
      <c r="R2482" s="22">
        <f t="shared" si="155"/>
        <v>0.33852737418810702</v>
      </c>
    </row>
    <row r="2483" spans="1:18">
      <c r="A2483" s="18">
        <v>3482</v>
      </c>
      <c r="B2483" s="19" t="s">
        <v>828</v>
      </c>
      <c r="C2483" s="18">
        <v>2025</v>
      </c>
      <c r="D2483" s="18" t="s">
        <v>64</v>
      </c>
      <c r="E2483" s="18" t="s">
        <v>98</v>
      </c>
      <c r="F2483" s="18" t="s">
        <v>117</v>
      </c>
      <c r="G2483" s="18" t="s">
        <v>50</v>
      </c>
      <c r="H2483" s="18" t="s">
        <v>87</v>
      </c>
      <c r="I2483" s="18" t="s">
        <v>49</v>
      </c>
      <c r="J2483" s="18" t="s">
        <v>102</v>
      </c>
      <c r="K2483" s="18">
        <v>3</v>
      </c>
      <c r="L2483" s="20">
        <v>9845.68</v>
      </c>
      <c r="M2483" s="21">
        <v>0.15</v>
      </c>
      <c r="N2483" s="21">
        <v>0.61942265641459404</v>
      </c>
      <c r="O2483" s="20">
        <f t="shared" si="152"/>
        <v>25106.484</v>
      </c>
      <c r="P2483" s="20">
        <f t="shared" si="153"/>
        <v>15551.525012510503</v>
      </c>
      <c r="Q2483" s="20">
        <f t="shared" si="154"/>
        <v>9554.9589874894973</v>
      </c>
      <c r="R2483" s="22">
        <f t="shared" si="155"/>
        <v>0.38057734358540596</v>
      </c>
    </row>
    <row r="2484" spans="1:18">
      <c r="A2484" s="18">
        <v>3483</v>
      </c>
      <c r="B2484" s="19" t="s">
        <v>828</v>
      </c>
      <c r="C2484" s="18">
        <v>2025</v>
      </c>
      <c r="D2484" s="18" t="s">
        <v>64</v>
      </c>
      <c r="E2484" s="18" t="s">
        <v>98</v>
      </c>
      <c r="F2484" s="18" t="s">
        <v>109</v>
      </c>
      <c r="G2484" s="18" t="s">
        <v>50</v>
      </c>
      <c r="H2484" s="18" t="s">
        <v>83</v>
      </c>
      <c r="I2484" s="18" t="s">
        <v>52</v>
      </c>
      <c r="J2484" s="18" t="s">
        <v>82</v>
      </c>
      <c r="K2484" s="18">
        <v>10</v>
      </c>
      <c r="L2484" s="20">
        <v>3609.88</v>
      </c>
      <c r="M2484" s="21">
        <v>0.15</v>
      </c>
      <c r="N2484" s="21">
        <v>0.70895717196765196</v>
      </c>
      <c r="O2484" s="20">
        <f t="shared" si="152"/>
        <v>30683.980000000003</v>
      </c>
      <c r="P2484" s="20">
        <f t="shared" si="153"/>
        <v>21753.627685511994</v>
      </c>
      <c r="Q2484" s="20">
        <f t="shared" si="154"/>
        <v>8930.3523144880091</v>
      </c>
      <c r="R2484" s="22">
        <f t="shared" si="155"/>
        <v>0.2910428280323481</v>
      </c>
    </row>
    <row r="2485" spans="1:18">
      <c r="A2485" s="18">
        <v>3484</v>
      </c>
      <c r="B2485" s="19" t="s">
        <v>828</v>
      </c>
      <c r="C2485" s="18">
        <v>2025</v>
      </c>
      <c r="D2485" s="18" t="s">
        <v>64</v>
      </c>
      <c r="E2485" s="18" t="s">
        <v>79</v>
      </c>
      <c r="F2485" s="18" t="s">
        <v>105</v>
      </c>
      <c r="G2485" s="18" t="s">
        <v>47</v>
      </c>
      <c r="H2485" s="18" t="s">
        <v>103</v>
      </c>
      <c r="I2485" s="18" t="s">
        <v>43</v>
      </c>
      <c r="J2485" s="18" t="s">
        <v>102</v>
      </c>
      <c r="K2485" s="18">
        <v>12</v>
      </c>
      <c r="L2485" s="20">
        <v>3298.48</v>
      </c>
      <c r="M2485" s="21">
        <v>0.05</v>
      </c>
      <c r="N2485" s="21">
        <v>0.72903950785870497</v>
      </c>
      <c r="O2485" s="20">
        <f t="shared" si="152"/>
        <v>37602.671999999999</v>
      </c>
      <c r="P2485" s="20">
        <f t="shared" si="153"/>
        <v>27413.833489052304</v>
      </c>
      <c r="Q2485" s="20">
        <f t="shared" si="154"/>
        <v>10188.838510947695</v>
      </c>
      <c r="R2485" s="22">
        <f t="shared" si="155"/>
        <v>0.27096049214129503</v>
      </c>
    </row>
    <row r="2486" spans="1:18">
      <c r="A2486" s="18">
        <v>3485</v>
      </c>
      <c r="B2486" s="19" t="s">
        <v>828</v>
      </c>
      <c r="C2486" s="18">
        <v>2025</v>
      </c>
      <c r="D2486" s="18" t="s">
        <v>64</v>
      </c>
      <c r="E2486" s="18" t="s">
        <v>85</v>
      </c>
      <c r="F2486" s="18" t="s">
        <v>121</v>
      </c>
      <c r="G2486" s="18" t="s">
        <v>47</v>
      </c>
      <c r="H2486" s="18" t="s">
        <v>103</v>
      </c>
      <c r="I2486" s="18" t="s">
        <v>62</v>
      </c>
      <c r="J2486" s="18" t="s">
        <v>91</v>
      </c>
      <c r="K2486" s="18">
        <v>11</v>
      </c>
      <c r="L2486" s="20">
        <v>3157.04</v>
      </c>
      <c r="M2486" s="21">
        <v>0.15</v>
      </c>
      <c r="N2486" s="21">
        <v>0.68328109102990198</v>
      </c>
      <c r="O2486" s="20">
        <f t="shared" si="152"/>
        <v>29518.324000000001</v>
      </c>
      <c r="P2486" s="20">
        <f t="shared" si="153"/>
        <v>20169.31262809414</v>
      </c>
      <c r="Q2486" s="20">
        <f t="shared" si="154"/>
        <v>9349.0113719058609</v>
      </c>
      <c r="R2486" s="22">
        <f t="shared" si="155"/>
        <v>0.31671890897009808</v>
      </c>
    </row>
    <row r="2487" spans="1:18">
      <c r="A2487" s="18">
        <v>3486</v>
      </c>
      <c r="B2487" s="19" t="s">
        <v>829</v>
      </c>
      <c r="C2487" s="18">
        <v>2025</v>
      </c>
      <c r="D2487" s="18" t="s">
        <v>64</v>
      </c>
      <c r="E2487" s="18" t="s">
        <v>79</v>
      </c>
      <c r="F2487" s="18" t="s">
        <v>80</v>
      </c>
      <c r="G2487" s="18" t="s">
        <v>50</v>
      </c>
      <c r="H2487" s="18" t="s">
        <v>97</v>
      </c>
      <c r="I2487" s="18" t="s">
        <v>40</v>
      </c>
      <c r="J2487" s="18" t="s">
        <v>82</v>
      </c>
      <c r="K2487" s="18">
        <v>5</v>
      </c>
      <c r="L2487" s="20">
        <v>11413.57</v>
      </c>
      <c r="M2487" s="21">
        <v>0</v>
      </c>
      <c r="N2487" s="21">
        <v>0.72845214430820104</v>
      </c>
      <c r="O2487" s="20">
        <f t="shared" si="152"/>
        <v>57067.85</v>
      </c>
      <c r="P2487" s="20">
        <f t="shared" si="153"/>
        <v>41571.19770355877</v>
      </c>
      <c r="Q2487" s="20">
        <f t="shared" si="154"/>
        <v>15496.652296441229</v>
      </c>
      <c r="R2487" s="22">
        <f t="shared" si="155"/>
        <v>0.27154785569179896</v>
      </c>
    </row>
    <row r="2488" spans="1:18">
      <c r="A2488" s="18">
        <v>3487</v>
      </c>
      <c r="B2488" s="19" t="s">
        <v>829</v>
      </c>
      <c r="C2488" s="18">
        <v>2025</v>
      </c>
      <c r="D2488" s="18" t="s">
        <v>64</v>
      </c>
      <c r="E2488" s="18" t="s">
        <v>79</v>
      </c>
      <c r="F2488" s="18" t="s">
        <v>80</v>
      </c>
      <c r="G2488" s="18" t="s">
        <v>47</v>
      </c>
      <c r="H2488" s="18" t="s">
        <v>107</v>
      </c>
      <c r="I2488" s="18" t="s">
        <v>52</v>
      </c>
      <c r="J2488" s="18" t="s">
        <v>82</v>
      </c>
      <c r="K2488" s="18">
        <v>9</v>
      </c>
      <c r="L2488" s="20">
        <v>2150.7800000000002</v>
      </c>
      <c r="M2488" s="21">
        <v>0</v>
      </c>
      <c r="N2488" s="21">
        <v>0.748892205597668</v>
      </c>
      <c r="O2488" s="20">
        <f t="shared" si="152"/>
        <v>19357.02</v>
      </c>
      <c r="P2488" s="20">
        <f t="shared" si="153"/>
        <v>14496.321401598172</v>
      </c>
      <c r="Q2488" s="20">
        <f t="shared" si="154"/>
        <v>4860.6985984018283</v>
      </c>
      <c r="R2488" s="22">
        <f t="shared" si="155"/>
        <v>0.251107794402332</v>
      </c>
    </row>
    <row r="2489" spans="1:18">
      <c r="A2489" s="18">
        <v>3488</v>
      </c>
      <c r="B2489" s="19" t="s">
        <v>829</v>
      </c>
      <c r="C2489" s="18">
        <v>2025</v>
      </c>
      <c r="D2489" s="18" t="s">
        <v>64</v>
      </c>
      <c r="E2489" s="18" t="s">
        <v>88</v>
      </c>
      <c r="F2489" s="18" t="s">
        <v>93</v>
      </c>
      <c r="G2489" s="18" t="s">
        <v>44</v>
      </c>
      <c r="H2489" s="18" t="s">
        <v>119</v>
      </c>
      <c r="I2489" s="18" t="s">
        <v>43</v>
      </c>
      <c r="J2489" s="18" t="s">
        <v>102</v>
      </c>
      <c r="K2489" s="18">
        <v>1</v>
      </c>
      <c r="L2489" s="20">
        <v>7126.68</v>
      </c>
      <c r="M2489" s="21">
        <v>0.15</v>
      </c>
      <c r="N2489" s="21">
        <v>0.62652379184016005</v>
      </c>
      <c r="O2489" s="20">
        <f t="shared" si="152"/>
        <v>6057.6779999999999</v>
      </c>
      <c r="P2489" s="20">
        <f t="shared" si="153"/>
        <v>3795.2793903067168</v>
      </c>
      <c r="Q2489" s="20">
        <f t="shared" si="154"/>
        <v>2262.3986096932831</v>
      </c>
      <c r="R2489" s="22">
        <f t="shared" si="155"/>
        <v>0.37347620815984001</v>
      </c>
    </row>
    <row r="2490" spans="1:18">
      <c r="A2490" s="18">
        <v>3489</v>
      </c>
      <c r="B2490" s="19" t="s">
        <v>829</v>
      </c>
      <c r="C2490" s="18">
        <v>2025</v>
      </c>
      <c r="D2490" s="18" t="s">
        <v>64</v>
      </c>
      <c r="E2490" s="18" t="s">
        <v>88</v>
      </c>
      <c r="F2490" s="18" t="s">
        <v>93</v>
      </c>
      <c r="G2490" s="18" t="s">
        <v>41</v>
      </c>
      <c r="H2490" s="18" t="s">
        <v>101</v>
      </c>
      <c r="I2490" s="18" t="s">
        <v>60</v>
      </c>
      <c r="J2490" s="18" t="s">
        <v>91</v>
      </c>
      <c r="K2490" s="18">
        <v>9</v>
      </c>
      <c r="L2490" s="20">
        <v>55300.76</v>
      </c>
      <c r="M2490" s="21">
        <v>0.2</v>
      </c>
      <c r="N2490" s="21">
        <v>0.739703929839583</v>
      </c>
      <c r="O2490" s="20">
        <f t="shared" si="152"/>
        <v>398165.47200000007</v>
      </c>
      <c r="P2490" s="20">
        <f t="shared" si="153"/>
        <v>294524.56436483248</v>
      </c>
      <c r="Q2490" s="20">
        <f t="shared" si="154"/>
        <v>103640.90763516759</v>
      </c>
      <c r="R2490" s="22">
        <f t="shared" si="155"/>
        <v>0.26029607016041706</v>
      </c>
    </row>
    <row r="2491" spans="1:18">
      <c r="A2491" s="18">
        <v>3490</v>
      </c>
      <c r="B2491" s="19" t="s">
        <v>829</v>
      </c>
      <c r="C2491" s="18">
        <v>2025</v>
      </c>
      <c r="D2491" s="18" t="s">
        <v>64</v>
      </c>
      <c r="E2491" s="18" t="s">
        <v>79</v>
      </c>
      <c r="F2491" s="18" t="s">
        <v>80</v>
      </c>
      <c r="G2491" s="18" t="s">
        <v>50</v>
      </c>
      <c r="H2491" s="18" t="s">
        <v>87</v>
      </c>
      <c r="I2491" s="18" t="s">
        <v>60</v>
      </c>
      <c r="J2491" s="18" t="s">
        <v>82</v>
      </c>
      <c r="K2491" s="18">
        <v>3</v>
      </c>
      <c r="L2491" s="20">
        <v>9397.16</v>
      </c>
      <c r="M2491" s="21">
        <v>0</v>
      </c>
      <c r="N2491" s="21">
        <v>0.67161609932454602</v>
      </c>
      <c r="O2491" s="20">
        <f t="shared" si="152"/>
        <v>28191.48</v>
      </c>
      <c r="P2491" s="20">
        <f t="shared" si="153"/>
        <v>18933.851831785953</v>
      </c>
      <c r="Q2491" s="20">
        <f t="shared" si="154"/>
        <v>9257.628168214047</v>
      </c>
      <c r="R2491" s="22">
        <f t="shared" si="155"/>
        <v>0.32838390067545398</v>
      </c>
    </row>
    <row r="2492" spans="1:18">
      <c r="A2492" s="18">
        <v>3491</v>
      </c>
      <c r="B2492" s="19" t="s">
        <v>830</v>
      </c>
      <c r="C2492" s="18">
        <v>2025</v>
      </c>
      <c r="D2492" s="18" t="s">
        <v>64</v>
      </c>
      <c r="E2492" s="18" t="s">
        <v>79</v>
      </c>
      <c r="F2492" s="18" t="s">
        <v>105</v>
      </c>
      <c r="G2492" s="18" t="s">
        <v>47</v>
      </c>
      <c r="H2492" s="18" t="s">
        <v>103</v>
      </c>
      <c r="I2492" s="18" t="s">
        <v>56</v>
      </c>
      <c r="J2492" s="18" t="s">
        <v>102</v>
      </c>
      <c r="K2492" s="18">
        <v>10</v>
      </c>
      <c r="L2492" s="20">
        <v>3106.13</v>
      </c>
      <c r="M2492" s="21">
        <v>0</v>
      </c>
      <c r="N2492" s="21">
        <v>0.69447498207797098</v>
      </c>
      <c r="O2492" s="20">
        <f t="shared" si="152"/>
        <v>31061.300000000003</v>
      </c>
      <c r="P2492" s="20">
        <f t="shared" si="153"/>
        <v>21571.295760818481</v>
      </c>
      <c r="Q2492" s="20">
        <f t="shared" si="154"/>
        <v>9490.0042391815223</v>
      </c>
      <c r="R2492" s="22">
        <f t="shared" si="155"/>
        <v>0.30552501792202907</v>
      </c>
    </row>
    <row r="2493" spans="1:18">
      <c r="A2493" s="18">
        <v>3492</v>
      </c>
      <c r="B2493" s="19" t="s">
        <v>830</v>
      </c>
      <c r="C2493" s="18">
        <v>2025</v>
      </c>
      <c r="D2493" s="18" t="s">
        <v>64</v>
      </c>
      <c r="E2493" s="18" t="s">
        <v>98</v>
      </c>
      <c r="F2493" s="18" t="s">
        <v>99</v>
      </c>
      <c r="G2493" s="18" t="s">
        <v>50</v>
      </c>
      <c r="H2493" s="18" t="s">
        <v>83</v>
      </c>
      <c r="I2493" s="18" t="s">
        <v>49</v>
      </c>
      <c r="J2493" s="18" t="s">
        <v>82</v>
      </c>
      <c r="K2493" s="18">
        <v>4</v>
      </c>
      <c r="L2493" s="20">
        <v>3536.72</v>
      </c>
      <c r="M2493" s="21">
        <v>0.1</v>
      </c>
      <c r="N2493" s="21">
        <v>0.60999621043152696</v>
      </c>
      <c r="O2493" s="20">
        <f t="shared" si="152"/>
        <v>12732.191999999999</v>
      </c>
      <c r="P2493" s="20">
        <f t="shared" si="153"/>
        <v>7766.5888704866038</v>
      </c>
      <c r="Q2493" s="20">
        <f t="shared" si="154"/>
        <v>4965.6031295133953</v>
      </c>
      <c r="R2493" s="22">
        <f t="shared" si="155"/>
        <v>0.39000378956847304</v>
      </c>
    </row>
    <row r="2494" spans="1:18">
      <c r="A2494" s="18">
        <v>3493</v>
      </c>
      <c r="B2494" s="19" t="s">
        <v>830</v>
      </c>
      <c r="C2494" s="18">
        <v>2025</v>
      </c>
      <c r="D2494" s="18" t="s">
        <v>64</v>
      </c>
      <c r="E2494" s="18" t="s">
        <v>79</v>
      </c>
      <c r="F2494" s="18" t="s">
        <v>80</v>
      </c>
      <c r="G2494" s="18" t="s">
        <v>41</v>
      </c>
      <c r="H2494" s="18" t="s">
        <v>112</v>
      </c>
      <c r="I2494" s="18" t="s">
        <v>58</v>
      </c>
      <c r="J2494" s="18" t="s">
        <v>82</v>
      </c>
      <c r="K2494" s="18">
        <v>9</v>
      </c>
      <c r="L2494" s="20">
        <v>6131.9</v>
      </c>
      <c r="M2494" s="21">
        <v>0.15</v>
      </c>
      <c r="N2494" s="21">
        <v>0.661677830640924</v>
      </c>
      <c r="O2494" s="20">
        <f t="shared" si="152"/>
        <v>46909.034999999996</v>
      </c>
      <c r="P2494" s="20">
        <f t="shared" si="153"/>
        <v>31038.668516259175</v>
      </c>
      <c r="Q2494" s="20">
        <f t="shared" si="154"/>
        <v>15870.366483740821</v>
      </c>
      <c r="R2494" s="22">
        <f t="shared" si="155"/>
        <v>0.338322169359076</v>
      </c>
    </row>
    <row r="2495" spans="1:18">
      <c r="A2495" s="18">
        <v>3494</v>
      </c>
      <c r="B2495" s="19" t="s">
        <v>830</v>
      </c>
      <c r="C2495" s="18">
        <v>2025</v>
      </c>
      <c r="D2495" s="18" t="s">
        <v>64</v>
      </c>
      <c r="E2495" s="18" t="s">
        <v>79</v>
      </c>
      <c r="F2495" s="18" t="s">
        <v>80</v>
      </c>
      <c r="G2495" s="18" t="s">
        <v>44</v>
      </c>
      <c r="H2495" s="18" t="s">
        <v>119</v>
      </c>
      <c r="I2495" s="18" t="s">
        <v>43</v>
      </c>
      <c r="J2495" s="18" t="s">
        <v>102</v>
      </c>
      <c r="K2495" s="18">
        <v>12</v>
      </c>
      <c r="L2495" s="20">
        <v>7080.59</v>
      </c>
      <c r="M2495" s="21">
        <v>0.15</v>
      </c>
      <c r="N2495" s="21">
        <v>0.717819135968217</v>
      </c>
      <c r="O2495" s="20">
        <f t="shared" si="152"/>
        <v>72222.017999999996</v>
      </c>
      <c r="P2495" s="20">
        <f t="shared" si="153"/>
        <v>51842.346558641017</v>
      </c>
      <c r="Q2495" s="20">
        <f t="shared" si="154"/>
        <v>20379.67144135898</v>
      </c>
      <c r="R2495" s="22">
        <f t="shared" si="155"/>
        <v>0.28218086403178294</v>
      </c>
    </row>
    <row r="2496" spans="1:18">
      <c r="A2496" s="18">
        <v>3495</v>
      </c>
      <c r="B2496" s="19" t="s">
        <v>831</v>
      </c>
      <c r="C2496" s="18">
        <v>2025</v>
      </c>
      <c r="D2496" s="18" t="s">
        <v>64</v>
      </c>
      <c r="E2496" s="18" t="s">
        <v>88</v>
      </c>
      <c r="F2496" s="18" t="s">
        <v>110</v>
      </c>
      <c r="G2496" s="18" t="s">
        <v>41</v>
      </c>
      <c r="H2496" s="18" t="s">
        <v>101</v>
      </c>
      <c r="I2496" s="18" t="s">
        <v>46</v>
      </c>
      <c r="J2496" s="18" t="s">
        <v>91</v>
      </c>
      <c r="K2496" s="18">
        <v>7</v>
      </c>
      <c r="L2496" s="20">
        <v>52801.43</v>
      </c>
      <c r="M2496" s="21">
        <v>0.05</v>
      </c>
      <c r="N2496" s="21">
        <v>0.65742277246069503</v>
      </c>
      <c r="O2496" s="20">
        <f t="shared" si="152"/>
        <v>351129.50949999999</v>
      </c>
      <c r="P2496" s="20">
        <f t="shared" si="153"/>
        <v>230840.53562825394</v>
      </c>
      <c r="Q2496" s="20">
        <f t="shared" si="154"/>
        <v>120288.97387174604</v>
      </c>
      <c r="R2496" s="22">
        <f t="shared" si="155"/>
        <v>0.34257722753930497</v>
      </c>
    </row>
    <row r="2497" spans="1:18">
      <c r="A2497" s="18">
        <v>3496</v>
      </c>
      <c r="B2497" s="19" t="s">
        <v>831</v>
      </c>
      <c r="C2497" s="18">
        <v>2025</v>
      </c>
      <c r="D2497" s="18" t="s">
        <v>64</v>
      </c>
      <c r="E2497" s="18" t="s">
        <v>98</v>
      </c>
      <c r="F2497" s="18" t="s">
        <v>99</v>
      </c>
      <c r="G2497" s="18" t="s">
        <v>41</v>
      </c>
      <c r="H2497" s="18" t="s">
        <v>106</v>
      </c>
      <c r="I2497" s="18" t="s">
        <v>46</v>
      </c>
      <c r="J2497" s="18" t="s">
        <v>91</v>
      </c>
      <c r="K2497" s="18">
        <v>4</v>
      </c>
      <c r="L2497" s="20">
        <v>2421.62</v>
      </c>
      <c r="M2497" s="21">
        <v>0</v>
      </c>
      <c r="N2497" s="21">
        <v>0.57228767662346303</v>
      </c>
      <c r="O2497" s="20">
        <f t="shared" si="152"/>
        <v>9686.48</v>
      </c>
      <c r="P2497" s="20">
        <f t="shared" si="153"/>
        <v>5543.4531338596416</v>
      </c>
      <c r="Q2497" s="20">
        <f t="shared" si="154"/>
        <v>4143.0268661403579</v>
      </c>
      <c r="R2497" s="22">
        <f t="shared" si="155"/>
        <v>0.42771232337653697</v>
      </c>
    </row>
    <row r="2498" spans="1:18">
      <c r="A2498" s="18">
        <v>3497</v>
      </c>
      <c r="B2498" s="19" t="s">
        <v>831</v>
      </c>
      <c r="C2498" s="18">
        <v>2025</v>
      </c>
      <c r="D2498" s="18" t="s">
        <v>64</v>
      </c>
      <c r="E2498" s="18" t="s">
        <v>85</v>
      </c>
      <c r="F2498" s="18" t="s">
        <v>86</v>
      </c>
      <c r="G2498" s="18" t="s">
        <v>47</v>
      </c>
      <c r="H2498" s="18" t="s">
        <v>107</v>
      </c>
      <c r="I2498" s="18" t="s">
        <v>46</v>
      </c>
      <c r="J2498" s="18" t="s">
        <v>82</v>
      </c>
      <c r="K2498" s="18">
        <v>1</v>
      </c>
      <c r="L2498" s="20">
        <v>2158.98</v>
      </c>
      <c r="M2498" s="21">
        <v>0.15</v>
      </c>
      <c r="N2498" s="21">
        <v>0.73099676589725004</v>
      </c>
      <c r="O2498" s="20">
        <f t="shared" ref="O2498:O2528" si="156">K2498*L2498*(1-M2498)</f>
        <v>1835.133</v>
      </c>
      <c r="P2498" s="20">
        <f t="shared" ref="P2498:P2561" si="157">O2498*N2498</f>
        <v>1341.4762879913183</v>
      </c>
      <c r="Q2498" s="20">
        <f t="shared" ref="Q2498:Q2561" si="158">O2498-P2498</f>
        <v>493.65671200868178</v>
      </c>
      <c r="R2498" s="22">
        <f t="shared" ref="R2498:R2561" si="159">IF(O2498=0,0,Q2498/O2498)</f>
        <v>0.2690032341027499</v>
      </c>
    </row>
    <row r="2499" spans="1:18">
      <c r="A2499" s="18">
        <v>3498</v>
      </c>
      <c r="B2499" s="19" t="s">
        <v>831</v>
      </c>
      <c r="C2499" s="18">
        <v>2025</v>
      </c>
      <c r="D2499" s="18" t="s">
        <v>64</v>
      </c>
      <c r="E2499" s="18" t="s">
        <v>79</v>
      </c>
      <c r="F2499" s="18" t="s">
        <v>105</v>
      </c>
      <c r="G2499" s="18" t="s">
        <v>50</v>
      </c>
      <c r="H2499" s="18" t="s">
        <v>97</v>
      </c>
      <c r="I2499" s="18" t="s">
        <v>54</v>
      </c>
      <c r="J2499" s="18" t="s">
        <v>102</v>
      </c>
      <c r="K2499" s="18">
        <v>5</v>
      </c>
      <c r="L2499" s="20">
        <v>11755.52</v>
      </c>
      <c r="M2499" s="21">
        <v>0.2</v>
      </c>
      <c r="N2499" s="21">
        <v>0.68964478367355497</v>
      </c>
      <c r="O2499" s="20">
        <f t="shared" si="156"/>
        <v>47022.080000000009</v>
      </c>
      <c r="P2499" s="20">
        <f t="shared" si="157"/>
        <v>32428.532189480604</v>
      </c>
      <c r="Q2499" s="20">
        <f t="shared" si="158"/>
        <v>14593.547810519405</v>
      </c>
      <c r="R2499" s="22">
        <f t="shared" si="159"/>
        <v>0.31035521632644497</v>
      </c>
    </row>
    <row r="2500" spans="1:18">
      <c r="A2500" s="18">
        <v>3499</v>
      </c>
      <c r="B2500" s="19" t="s">
        <v>832</v>
      </c>
      <c r="C2500" s="18">
        <v>2025</v>
      </c>
      <c r="D2500" s="18" t="s">
        <v>64</v>
      </c>
      <c r="E2500" s="18" t="s">
        <v>88</v>
      </c>
      <c r="F2500" s="18" t="s">
        <v>93</v>
      </c>
      <c r="G2500" s="18" t="s">
        <v>44</v>
      </c>
      <c r="H2500" s="18" t="s">
        <v>119</v>
      </c>
      <c r="I2500" s="18" t="s">
        <v>58</v>
      </c>
      <c r="J2500" s="18" t="s">
        <v>82</v>
      </c>
      <c r="K2500" s="18">
        <v>5</v>
      </c>
      <c r="L2500" s="20">
        <v>6923.28</v>
      </c>
      <c r="M2500" s="21">
        <v>0</v>
      </c>
      <c r="N2500" s="21">
        <v>0.71457485350606798</v>
      </c>
      <c r="O2500" s="20">
        <f t="shared" si="156"/>
        <v>34616.400000000001</v>
      </c>
      <c r="P2500" s="20">
        <f t="shared" si="157"/>
        <v>24736.008958907452</v>
      </c>
      <c r="Q2500" s="20">
        <f t="shared" si="158"/>
        <v>9880.3910410925491</v>
      </c>
      <c r="R2500" s="22">
        <f t="shared" si="159"/>
        <v>0.28542514649393202</v>
      </c>
    </row>
    <row r="2501" spans="1:18">
      <c r="A2501" s="18">
        <v>3500</v>
      </c>
      <c r="B2501" s="19" t="s">
        <v>832</v>
      </c>
      <c r="C2501" s="18">
        <v>2025</v>
      </c>
      <c r="D2501" s="18" t="s">
        <v>64</v>
      </c>
      <c r="E2501" s="18" t="s">
        <v>98</v>
      </c>
      <c r="F2501" s="18" t="s">
        <v>99</v>
      </c>
      <c r="G2501" s="18" t="s">
        <v>44</v>
      </c>
      <c r="H2501" s="18" t="s">
        <v>95</v>
      </c>
      <c r="I2501" s="18" t="s">
        <v>52</v>
      </c>
      <c r="J2501" s="18" t="s">
        <v>91</v>
      </c>
      <c r="K2501" s="18">
        <v>8</v>
      </c>
      <c r="L2501" s="20">
        <v>4636.76</v>
      </c>
      <c r="M2501" s="21">
        <v>0.1</v>
      </c>
      <c r="N2501" s="21">
        <v>0.57645410429355504</v>
      </c>
      <c r="O2501" s="20">
        <f t="shared" si="156"/>
        <v>33384.672000000006</v>
      </c>
      <c r="P2501" s="20">
        <f t="shared" si="157"/>
        <v>19244.731194894131</v>
      </c>
      <c r="Q2501" s="20">
        <f t="shared" si="158"/>
        <v>14139.940805105874</v>
      </c>
      <c r="R2501" s="22">
        <f t="shared" si="159"/>
        <v>0.42354589570644491</v>
      </c>
    </row>
    <row r="2502" spans="1:18">
      <c r="A2502" s="18">
        <v>3501</v>
      </c>
      <c r="B2502" s="19" t="s">
        <v>833</v>
      </c>
      <c r="C2502" s="18">
        <v>2025</v>
      </c>
      <c r="D2502" s="18" t="s">
        <v>64</v>
      </c>
      <c r="E2502" s="18" t="s">
        <v>88</v>
      </c>
      <c r="F2502" s="18" t="s">
        <v>110</v>
      </c>
      <c r="G2502" s="18" t="s">
        <v>47</v>
      </c>
      <c r="H2502" s="18" t="s">
        <v>103</v>
      </c>
      <c r="I2502" s="18" t="s">
        <v>62</v>
      </c>
      <c r="J2502" s="18" t="s">
        <v>91</v>
      </c>
      <c r="K2502" s="18">
        <v>1</v>
      </c>
      <c r="L2502" s="20">
        <v>3156.26</v>
      </c>
      <c r="M2502" s="21">
        <v>0</v>
      </c>
      <c r="N2502" s="21">
        <v>0.57757357917582997</v>
      </c>
      <c r="O2502" s="20">
        <f t="shared" si="156"/>
        <v>3156.26</v>
      </c>
      <c r="P2502" s="20">
        <f t="shared" si="157"/>
        <v>1822.9723850095052</v>
      </c>
      <c r="Q2502" s="20">
        <f t="shared" si="158"/>
        <v>1333.2876149904951</v>
      </c>
      <c r="R2502" s="22">
        <f t="shared" si="159"/>
        <v>0.42242642082417003</v>
      </c>
    </row>
    <row r="2503" spans="1:18">
      <c r="A2503" s="18">
        <v>3502</v>
      </c>
      <c r="B2503" s="19" t="s">
        <v>833</v>
      </c>
      <c r="C2503" s="18">
        <v>2025</v>
      </c>
      <c r="D2503" s="18" t="s">
        <v>64</v>
      </c>
      <c r="E2503" s="18" t="s">
        <v>85</v>
      </c>
      <c r="F2503" s="18" t="s">
        <v>86</v>
      </c>
      <c r="G2503" s="18" t="s">
        <v>47</v>
      </c>
      <c r="H2503" s="18" t="s">
        <v>81</v>
      </c>
      <c r="I2503" s="18" t="s">
        <v>46</v>
      </c>
      <c r="J2503" s="18" t="s">
        <v>91</v>
      </c>
      <c r="K2503" s="18">
        <v>8</v>
      </c>
      <c r="L2503" s="20">
        <v>825.04</v>
      </c>
      <c r="M2503" s="21">
        <v>0.1</v>
      </c>
      <c r="N2503" s="21">
        <v>0.55118753197205295</v>
      </c>
      <c r="O2503" s="20">
        <f t="shared" si="156"/>
        <v>5940.2879999999996</v>
      </c>
      <c r="P2503" s="20">
        <f t="shared" si="157"/>
        <v>3274.2126819232021</v>
      </c>
      <c r="Q2503" s="20">
        <f t="shared" si="158"/>
        <v>2666.0753180767974</v>
      </c>
      <c r="R2503" s="22">
        <f t="shared" si="159"/>
        <v>0.44881246802794705</v>
      </c>
    </row>
    <row r="2504" spans="1:18">
      <c r="A2504" s="18">
        <v>3503</v>
      </c>
      <c r="B2504" s="19" t="s">
        <v>833</v>
      </c>
      <c r="C2504" s="18">
        <v>2025</v>
      </c>
      <c r="D2504" s="18" t="s">
        <v>64</v>
      </c>
      <c r="E2504" s="18" t="s">
        <v>85</v>
      </c>
      <c r="F2504" s="18" t="s">
        <v>94</v>
      </c>
      <c r="G2504" s="18" t="s">
        <v>50</v>
      </c>
      <c r="H2504" s="18" t="s">
        <v>83</v>
      </c>
      <c r="I2504" s="18" t="s">
        <v>54</v>
      </c>
      <c r="J2504" s="18" t="s">
        <v>82</v>
      </c>
      <c r="K2504" s="18">
        <v>7</v>
      </c>
      <c r="L2504" s="20">
        <v>3407.78</v>
      </c>
      <c r="M2504" s="21">
        <v>0.1</v>
      </c>
      <c r="N2504" s="21">
        <v>0.629161948321322</v>
      </c>
      <c r="O2504" s="20">
        <f t="shared" si="156"/>
        <v>21469.014000000003</v>
      </c>
      <c r="P2504" s="20">
        <f t="shared" si="157"/>
        <v>13507.48667677774</v>
      </c>
      <c r="Q2504" s="20">
        <f t="shared" si="158"/>
        <v>7961.5273232222626</v>
      </c>
      <c r="R2504" s="22">
        <f t="shared" si="159"/>
        <v>0.370838051678678</v>
      </c>
    </row>
    <row r="2505" spans="1:18">
      <c r="A2505" s="18">
        <v>3504</v>
      </c>
      <c r="B2505" s="19" t="s">
        <v>833</v>
      </c>
      <c r="C2505" s="18">
        <v>2025</v>
      </c>
      <c r="D2505" s="18" t="s">
        <v>64</v>
      </c>
      <c r="E2505" s="18" t="s">
        <v>85</v>
      </c>
      <c r="F2505" s="18" t="s">
        <v>86</v>
      </c>
      <c r="G2505" s="18" t="s">
        <v>47</v>
      </c>
      <c r="H2505" s="18" t="s">
        <v>81</v>
      </c>
      <c r="I2505" s="18" t="s">
        <v>46</v>
      </c>
      <c r="J2505" s="18" t="s">
        <v>102</v>
      </c>
      <c r="K2505" s="18">
        <v>9</v>
      </c>
      <c r="L2505" s="20">
        <v>830.97</v>
      </c>
      <c r="M2505" s="21">
        <v>0</v>
      </c>
      <c r="N2505" s="21">
        <v>0.67939587031794701</v>
      </c>
      <c r="O2505" s="20">
        <f t="shared" si="156"/>
        <v>7478.7300000000005</v>
      </c>
      <c r="P2505" s="20">
        <f t="shared" si="157"/>
        <v>5081.01827722294</v>
      </c>
      <c r="Q2505" s="20">
        <f t="shared" si="158"/>
        <v>2397.7117227770605</v>
      </c>
      <c r="R2505" s="22">
        <f t="shared" si="159"/>
        <v>0.32060412968205299</v>
      </c>
    </row>
    <row r="2506" spans="1:18">
      <c r="A2506" s="18">
        <v>3505</v>
      </c>
      <c r="B2506" s="19" t="s">
        <v>833</v>
      </c>
      <c r="C2506" s="18">
        <v>2025</v>
      </c>
      <c r="D2506" s="18" t="s">
        <v>64</v>
      </c>
      <c r="E2506" s="18" t="s">
        <v>85</v>
      </c>
      <c r="F2506" s="18" t="s">
        <v>121</v>
      </c>
      <c r="G2506" s="18" t="s">
        <v>41</v>
      </c>
      <c r="H2506" s="18" t="s">
        <v>90</v>
      </c>
      <c r="I2506" s="18" t="s">
        <v>40</v>
      </c>
      <c r="J2506" s="18" t="s">
        <v>82</v>
      </c>
      <c r="K2506" s="18">
        <v>10</v>
      </c>
      <c r="L2506" s="20">
        <v>17178.84</v>
      </c>
      <c r="M2506" s="21">
        <v>0</v>
      </c>
      <c r="N2506" s="21">
        <v>0.74768732363717105</v>
      </c>
      <c r="O2506" s="20">
        <f t="shared" si="156"/>
        <v>171788.4</v>
      </c>
      <c r="P2506" s="20">
        <f t="shared" si="157"/>
        <v>128444.00902791179</v>
      </c>
      <c r="Q2506" s="20">
        <f t="shared" si="158"/>
        <v>43344.390972088207</v>
      </c>
      <c r="R2506" s="22">
        <f t="shared" si="159"/>
        <v>0.25231267636282895</v>
      </c>
    </row>
    <row r="2507" spans="1:18">
      <c r="A2507" s="18">
        <v>3506</v>
      </c>
      <c r="B2507" s="19" t="s">
        <v>834</v>
      </c>
      <c r="C2507" s="18">
        <v>2025</v>
      </c>
      <c r="D2507" s="18" t="s">
        <v>64</v>
      </c>
      <c r="E2507" s="18" t="s">
        <v>88</v>
      </c>
      <c r="F2507" s="18" t="s">
        <v>93</v>
      </c>
      <c r="G2507" s="18" t="s">
        <v>41</v>
      </c>
      <c r="H2507" s="18" t="s">
        <v>101</v>
      </c>
      <c r="I2507" s="18" t="s">
        <v>54</v>
      </c>
      <c r="J2507" s="18" t="s">
        <v>82</v>
      </c>
      <c r="K2507" s="18">
        <v>1</v>
      </c>
      <c r="L2507" s="20">
        <v>55595.71</v>
      </c>
      <c r="M2507" s="21">
        <v>0.05</v>
      </c>
      <c r="N2507" s="21">
        <v>0.58161591841065796</v>
      </c>
      <c r="O2507" s="20">
        <f t="shared" si="156"/>
        <v>52815.924499999994</v>
      </c>
      <c r="P2507" s="20">
        <f t="shared" si="157"/>
        <v>30718.582434775468</v>
      </c>
      <c r="Q2507" s="20">
        <f t="shared" si="158"/>
        <v>22097.342065224526</v>
      </c>
      <c r="R2507" s="22">
        <f t="shared" si="159"/>
        <v>0.41838408158934204</v>
      </c>
    </row>
    <row r="2508" spans="1:18">
      <c r="A2508" s="18">
        <v>3507</v>
      </c>
      <c r="B2508" s="19" t="s">
        <v>834</v>
      </c>
      <c r="C2508" s="18">
        <v>2025</v>
      </c>
      <c r="D2508" s="18" t="s">
        <v>64</v>
      </c>
      <c r="E2508" s="18" t="s">
        <v>88</v>
      </c>
      <c r="F2508" s="18" t="s">
        <v>89</v>
      </c>
      <c r="G2508" s="18" t="s">
        <v>47</v>
      </c>
      <c r="H2508" s="18" t="s">
        <v>103</v>
      </c>
      <c r="I2508" s="18" t="s">
        <v>58</v>
      </c>
      <c r="J2508" s="18" t="s">
        <v>102</v>
      </c>
      <c r="K2508" s="18">
        <v>10</v>
      </c>
      <c r="L2508" s="20">
        <v>3157.33</v>
      </c>
      <c r="M2508" s="21">
        <v>0</v>
      </c>
      <c r="N2508" s="21">
        <v>0.66489562041948302</v>
      </c>
      <c r="O2508" s="20">
        <f t="shared" si="156"/>
        <v>31573.3</v>
      </c>
      <c r="P2508" s="20">
        <f t="shared" si="157"/>
        <v>20992.948892190463</v>
      </c>
      <c r="Q2508" s="20">
        <f t="shared" si="158"/>
        <v>10580.351107809536</v>
      </c>
      <c r="R2508" s="22">
        <f t="shared" si="159"/>
        <v>0.33510437958051698</v>
      </c>
    </row>
    <row r="2509" spans="1:18">
      <c r="A2509" s="18">
        <v>3508</v>
      </c>
      <c r="B2509" s="19" t="s">
        <v>835</v>
      </c>
      <c r="C2509" s="18">
        <v>2025</v>
      </c>
      <c r="D2509" s="18" t="s">
        <v>64</v>
      </c>
      <c r="E2509" s="18" t="s">
        <v>85</v>
      </c>
      <c r="F2509" s="18" t="s">
        <v>86</v>
      </c>
      <c r="G2509" s="18" t="s">
        <v>41</v>
      </c>
      <c r="H2509" s="18" t="s">
        <v>112</v>
      </c>
      <c r="I2509" s="18" t="s">
        <v>40</v>
      </c>
      <c r="J2509" s="18" t="s">
        <v>82</v>
      </c>
      <c r="K2509" s="18">
        <v>8</v>
      </c>
      <c r="L2509" s="20">
        <v>5909.29</v>
      </c>
      <c r="M2509" s="21">
        <v>0.1</v>
      </c>
      <c r="N2509" s="21">
        <v>0.73688895150315104</v>
      </c>
      <c r="O2509" s="20">
        <f t="shared" si="156"/>
        <v>42546.887999999999</v>
      </c>
      <c r="P2509" s="20">
        <f t="shared" si="157"/>
        <v>31352.331688041999</v>
      </c>
      <c r="Q2509" s="20">
        <f t="shared" si="158"/>
        <v>11194.556311958</v>
      </c>
      <c r="R2509" s="22">
        <f t="shared" si="159"/>
        <v>0.26311104849684896</v>
      </c>
    </row>
    <row r="2510" spans="1:18">
      <c r="A2510" s="18">
        <v>3509</v>
      </c>
      <c r="B2510" s="19" t="s">
        <v>835</v>
      </c>
      <c r="C2510" s="18">
        <v>2025</v>
      </c>
      <c r="D2510" s="18" t="s">
        <v>64</v>
      </c>
      <c r="E2510" s="18" t="s">
        <v>98</v>
      </c>
      <c r="F2510" s="18" t="s">
        <v>109</v>
      </c>
      <c r="G2510" s="18" t="s">
        <v>47</v>
      </c>
      <c r="H2510" s="18" t="s">
        <v>103</v>
      </c>
      <c r="I2510" s="18" t="s">
        <v>62</v>
      </c>
      <c r="J2510" s="18" t="s">
        <v>82</v>
      </c>
      <c r="K2510" s="18">
        <v>1</v>
      </c>
      <c r="L2510" s="20">
        <v>3142.09</v>
      </c>
      <c r="M2510" s="21">
        <v>0.2</v>
      </c>
      <c r="N2510" s="21">
        <v>0.66136737013257196</v>
      </c>
      <c r="O2510" s="20">
        <f t="shared" si="156"/>
        <v>2513.6720000000005</v>
      </c>
      <c r="P2510" s="20">
        <f t="shared" si="157"/>
        <v>1662.4606400158827</v>
      </c>
      <c r="Q2510" s="20">
        <f t="shared" si="158"/>
        <v>851.21135998411773</v>
      </c>
      <c r="R2510" s="22">
        <f t="shared" si="159"/>
        <v>0.33863262986742804</v>
      </c>
    </row>
    <row r="2511" spans="1:18">
      <c r="A2511" s="18">
        <v>3510</v>
      </c>
      <c r="B2511" s="19" t="s">
        <v>835</v>
      </c>
      <c r="C2511" s="18">
        <v>2025</v>
      </c>
      <c r="D2511" s="18" t="s">
        <v>64</v>
      </c>
      <c r="E2511" s="18" t="s">
        <v>98</v>
      </c>
      <c r="F2511" s="18" t="s">
        <v>99</v>
      </c>
      <c r="G2511" s="18" t="s">
        <v>47</v>
      </c>
      <c r="H2511" s="18" t="s">
        <v>107</v>
      </c>
      <c r="I2511" s="18" t="s">
        <v>49</v>
      </c>
      <c r="J2511" s="18" t="s">
        <v>102</v>
      </c>
      <c r="K2511" s="18">
        <v>2</v>
      </c>
      <c r="L2511" s="20">
        <v>2117.36</v>
      </c>
      <c r="M2511" s="21">
        <v>0</v>
      </c>
      <c r="N2511" s="21">
        <v>0.67612434113183595</v>
      </c>
      <c r="O2511" s="20">
        <f t="shared" si="156"/>
        <v>4234.72</v>
      </c>
      <c r="P2511" s="20">
        <f t="shared" si="157"/>
        <v>2863.1972698778086</v>
      </c>
      <c r="Q2511" s="20">
        <f t="shared" si="158"/>
        <v>1371.5227301221917</v>
      </c>
      <c r="R2511" s="22">
        <f t="shared" si="159"/>
        <v>0.32387565886816405</v>
      </c>
    </row>
    <row r="2512" spans="1:18">
      <c r="A2512" s="18">
        <v>3511</v>
      </c>
      <c r="B2512" s="19" t="s">
        <v>836</v>
      </c>
      <c r="C2512" s="18">
        <v>2025</v>
      </c>
      <c r="D2512" s="18" t="s">
        <v>64</v>
      </c>
      <c r="E2512" s="18" t="s">
        <v>85</v>
      </c>
      <c r="F2512" s="18" t="s">
        <v>121</v>
      </c>
      <c r="G2512" s="18" t="s">
        <v>47</v>
      </c>
      <c r="H2512" s="18" t="s">
        <v>103</v>
      </c>
      <c r="I2512" s="18" t="s">
        <v>49</v>
      </c>
      <c r="J2512" s="18" t="s">
        <v>91</v>
      </c>
      <c r="K2512" s="18">
        <v>5</v>
      </c>
      <c r="L2512" s="20">
        <v>3283.87</v>
      </c>
      <c r="M2512" s="21">
        <v>0.1</v>
      </c>
      <c r="N2512" s="21">
        <v>0.74607018143854198</v>
      </c>
      <c r="O2512" s="20">
        <f t="shared" si="156"/>
        <v>14777.414999999999</v>
      </c>
      <c r="P2512" s="20">
        <f t="shared" si="157"/>
        <v>11024.988690242631</v>
      </c>
      <c r="Q2512" s="20">
        <f t="shared" si="158"/>
        <v>3752.4263097573676</v>
      </c>
      <c r="R2512" s="22">
        <f t="shared" si="159"/>
        <v>0.25392981856145802</v>
      </c>
    </row>
    <row r="2513" spans="1:18">
      <c r="A2513" s="18">
        <v>3512</v>
      </c>
      <c r="B2513" s="19" t="s">
        <v>836</v>
      </c>
      <c r="C2513" s="18">
        <v>2025</v>
      </c>
      <c r="D2513" s="18" t="s">
        <v>64</v>
      </c>
      <c r="E2513" s="18" t="s">
        <v>88</v>
      </c>
      <c r="F2513" s="18" t="s">
        <v>110</v>
      </c>
      <c r="G2513" s="18" t="s">
        <v>47</v>
      </c>
      <c r="H2513" s="18" t="s">
        <v>81</v>
      </c>
      <c r="I2513" s="18" t="s">
        <v>43</v>
      </c>
      <c r="J2513" s="18" t="s">
        <v>91</v>
      </c>
      <c r="K2513" s="18">
        <v>10</v>
      </c>
      <c r="L2513" s="20">
        <v>799.6</v>
      </c>
      <c r="M2513" s="21">
        <v>0.05</v>
      </c>
      <c r="N2513" s="21">
        <v>0.68988227010876102</v>
      </c>
      <c r="O2513" s="20">
        <f t="shared" si="156"/>
        <v>7596.2</v>
      </c>
      <c r="P2513" s="20">
        <f t="shared" si="157"/>
        <v>5240.4837002001705</v>
      </c>
      <c r="Q2513" s="20">
        <f t="shared" si="158"/>
        <v>2355.7162997998294</v>
      </c>
      <c r="R2513" s="22">
        <f t="shared" si="159"/>
        <v>0.31011772989123898</v>
      </c>
    </row>
    <row r="2514" spans="1:18">
      <c r="A2514" s="18">
        <v>3513</v>
      </c>
      <c r="B2514" s="19" t="s">
        <v>837</v>
      </c>
      <c r="C2514" s="18">
        <v>2025</v>
      </c>
      <c r="D2514" s="18" t="s">
        <v>64</v>
      </c>
      <c r="E2514" s="18" t="s">
        <v>79</v>
      </c>
      <c r="F2514" s="18" t="s">
        <v>100</v>
      </c>
      <c r="G2514" s="18" t="s">
        <v>50</v>
      </c>
      <c r="H2514" s="18" t="s">
        <v>83</v>
      </c>
      <c r="I2514" s="18" t="s">
        <v>56</v>
      </c>
      <c r="J2514" s="18" t="s">
        <v>82</v>
      </c>
      <c r="K2514" s="18">
        <v>5</v>
      </c>
      <c r="L2514" s="20">
        <v>3514.62</v>
      </c>
      <c r="M2514" s="21">
        <v>0</v>
      </c>
      <c r="N2514" s="21">
        <v>0.63952898980749395</v>
      </c>
      <c r="O2514" s="20">
        <f t="shared" si="156"/>
        <v>17573.099999999999</v>
      </c>
      <c r="P2514" s="20">
        <f t="shared" si="157"/>
        <v>11238.506890786071</v>
      </c>
      <c r="Q2514" s="20">
        <f t="shared" si="158"/>
        <v>6334.5931092139272</v>
      </c>
      <c r="R2514" s="22">
        <f t="shared" si="159"/>
        <v>0.36047101019250605</v>
      </c>
    </row>
    <row r="2515" spans="1:18">
      <c r="A2515" s="18">
        <v>3514</v>
      </c>
      <c r="B2515" s="19" t="s">
        <v>837</v>
      </c>
      <c r="C2515" s="18">
        <v>2025</v>
      </c>
      <c r="D2515" s="18" t="s">
        <v>64</v>
      </c>
      <c r="E2515" s="18" t="s">
        <v>98</v>
      </c>
      <c r="F2515" s="18" t="s">
        <v>109</v>
      </c>
      <c r="G2515" s="18" t="s">
        <v>44</v>
      </c>
      <c r="H2515" s="18" t="s">
        <v>114</v>
      </c>
      <c r="I2515" s="18" t="s">
        <v>56</v>
      </c>
      <c r="J2515" s="18" t="s">
        <v>82</v>
      </c>
      <c r="K2515" s="18">
        <v>3</v>
      </c>
      <c r="L2515" s="20">
        <v>8727.07</v>
      </c>
      <c r="M2515" s="21">
        <v>0</v>
      </c>
      <c r="N2515" s="21">
        <v>0.62319449559445395</v>
      </c>
      <c r="O2515" s="20">
        <f t="shared" si="156"/>
        <v>26181.21</v>
      </c>
      <c r="P2515" s="20">
        <f t="shared" si="157"/>
        <v>16315.985960002474</v>
      </c>
      <c r="Q2515" s="20">
        <f t="shared" si="158"/>
        <v>9865.2240399975253</v>
      </c>
      <c r="R2515" s="22">
        <f t="shared" si="159"/>
        <v>0.376805504405546</v>
      </c>
    </row>
    <row r="2516" spans="1:18">
      <c r="A2516" s="18">
        <v>3515</v>
      </c>
      <c r="B2516" s="19" t="s">
        <v>837</v>
      </c>
      <c r="C2516" s="18">
        <v>2025</v>
      </c>
      <c r="D2516" s="18" t="s">
        <v>64</v>
      </c>
      <c r="E2516" s="18" t="s">
        <v>98</v>
      </c>
      <c r="F2516" s="18" t="s">
        <v>117</v>
      </c>
      <c r="G2516" s="18" t="s">
        <v>41</v>
      </c>
      <c r="H2516" s="18" t="s">
        <v>106</v>
      </c>
      <c r="I2516" s="18" t="s">
        <v>49</v>
      </c>
      <c r="J2516" s="18" t="s">
        <v>102</v>
      </c>
      <c r="K2516" s="18">
        <v>1</v>
      </c>
      <c r="L2516" s="20">
        <v>2391.96</v>
      </c>
      <c r="M2516" s="21">
        <v>0</v>
      </c>
      <c r="N2516" s="21">
        <v>0.68587814826642801</v>
      </c>
      <c r="O2516" s="20">
        <f t="shared" si="156"/>
        <v>2391.96</v>
      </c>
      <c r="P2516" s="20">
        <f t="shared" si="157"/>
        <v>1640.5930955273652</v>
      </c>
      <c r="Q2516" s="20">
        <f t="shared" si="158"/>
        <v>751.36690447263481</v>
      </c>
      <c r="R2516" s="22">
        <f t="shared" si="159"/>
        <v>0.31412185173357199</v>
      </c>
    </row>
    <row r="2517" spans="1:18">
      <c r="A2517" s="18">
        <v>3516</v>
      </c>
      <c r="B2517" s="19" t="s">
        <v>837</v>
      </c>
      <c r="C2517" s="18">
        <v>2025</v>
      </c>
      <c r="D2517" s="18" t="s">
        <v>64</v>
      </c>
      <c r="E2517" s="18" t="s">
        <v>79</v>
      </c>
      <c r="F2517" s="18" t="s">
        <v>105</v>
      </c>
      <c r="G2517" s="18" t="s">
        <v>50</v>
      </c>
      <c r="H2517" s="18" t="s">
        <v>83</v>
      </c>
      <c r="I2517" s="18" t="s">
        <v>54</v>
      </c>
      <c r="J2517" s="18" t="s">
        <v>91</v>
      </c>
      <c r="K2517" s="18">
        <v>1</v>
      </c>
      <c r="L2517" s="20">
        <v>3446.4</v>
      </c>
      <c r="M2517" s="21">
        <v>0.1</v>
      </c>
      <c r="N2517" s="21">
        <v>0.66441632220422997</v>
      </c>
      <c r="O2517" s="20">
        <f t="shared" si="156"/>
        <v>3101.76</v>
      </c>
      <c r="P2517" s="20">
        <f t="shared" si="157"/>
        <v>2060.8599715601927</v>
      </c>
      <c r="Q2517" s="20">
        <f t="shared" si="158"/>
        <v>1040.9000284398076</v>
      </c>
      <c r="R2517" s="22">
        <f t="shared" si="159"/>
        <v>0.33558367779576997</v>
      </c>
    </row>
    <row r="2518" spans="1:18">
      <c r="A2518" s="18">
        <v>3517</v>
      </c>
      <c r="B2518" s="19" t="s">
        <v>837</v>
      </c>
      <c r="C2518" s="18">
        <v>2025</v>
      </c>
      <c r="D2518" s="18" t="s">
        <v>64</v>
      </c>
      <c r="E2518" s="18" t="s">
        <v>98</v>
      </c>
      <c r="F2518" s="18" t="s">
        <v>117</v>
      </c>
      <c r="G2518" s="18" t="s">
        <v>44</v>
      </c>
      <c r="H2518" s="18" t="s">
        <v>114</v>
      </c>
      <c r="I2518" s="18" t="s">
        <v>52</v>
      </c>
      <c r="J2518" s="18" t="s">
        <v>82</v>
      </c>
      <c r="K2518" s="18">
        <v>4</v>
      </c>
      <c r="L2518" s="20">
        <v>8770.77</v>
      </c>
      <c r="M2518" s="21">
        <v>0.05</v>
      </c>
      <c r="N2518" s="21">
        <v>0.61151814824691098</v>
      </c>
      <c r="O2518" s="20">
        <f t="shared" si="156"/>
        <v>33328.925999999999</v>
      </c>
      <c r="P2518" s="20">
        <f t="shared" si="157"/>
        <v>20381.243110578325</v>
      </c>
      <c r="Q2518" s="20">
        <f t="shared" si="158"/>
        <v>12947.682889421674</v>
      </c>
      <c r="R2518" s="22">
        <f t="shared" si="159"/>
        <v>0.38848185175308902</v>
      </c>
    </row>
    <row r="2519" spans="1:18">
      <c r="A2519" s="18">
        <v>3518</v>
      </c>
      <c r="B2519" s="19" t="s">
        <v>838</v>
      </c>
      <c r="C2519" s="18">
        <v>2025</v>
      </c>
      <c r="D2519" s="18" t="s">
        <v>64</v>
      </c>
      <c r="E2519" s="18" t="s">
        <v>79</v>
      </c>
      <c r="F2519" s="18" t="s">
        <v>80</v>
      </c>
      <c r="G2519" s="18" t="s">
        <v>50</v>
      </c>
      <c r="H2519" s="18" t="s">
        <v>97</v>
      </c>
      <c r="I2519" s="18" t="s">
        <v>54</v>
      </c>
      <c r="J2519" s="18" t="s">
        <v>82</v>
      </c>
      <c r="K2519" s="18">
        <v>2</v>
      </c>
      <c r="L2519" s="20">
        <v>12216.01</v>
      </c>
      <c r="M2519" s="21">
        <v>0.05</v>
      </c>
      <c r="N2519" s="21">
        <v>0.68887932142461705</v>
      </c>
      <c r="O2519" s="20">
        <f t="shared" si="156"/>
        <v>23210.418999999998</v>
      </c>
      <c r="P2519" s="20">
        <f t="shared" si="157"/>
        <v>15989.177690701037</v>
      </c>
      <c r="Q2519" s="20">
        <f t="shared" si="158"/>
        <v>7221.2413092989609</v>
      </c>
      <c r="R2519" s="22">
        <f t="shared" si="159"/>
        <v>0.31112067857538295</v>
      </c>
    </row>
    <row r="2520" spans="1:18">
      <c r="A2520" s="18">
        <v>3519</v>
      </c>
      <c r="B2520" s="19" t="s">
        <v>838</v>
      </c>
      <c r="C2520" s="18">
        <v>2025</v>
      </c>
      <c r="D2520" s="18" t="s">
        <v>64</v>
      </c>
      <c r="E2520" s="18" t="s">
        <v>85</v>
      </c>
      <c r="F2520" s="18" t="s">
        <v>94</v>
      </c>
      <c r="G2520" s="18" t="s">
        <v>41</v>
      </c>
      <c r="H2520" s="18" t="s">
        <v>106</v>
      </c>
      <c r="I2520" s="18" t="s">
        <v>58</v>
      </c>
      <c r="J2520" s="18" t="s">
        <v>82</v>
      </c>
      <c r="K2520" s="18">
        <v>10</v>
      </c>
      <c r="L2520" s="20">
        <v>2608.39</v>
      </c>
      <c r="M2520" s="21">
        <v>0</v>
      </c>
      <c r="N2520" s="21">
        <v>0.70169425404516705</v>
      </c>
      <c r="O2520" s="20">
        <f t="shared" si="156"/>
        <v>26083.899999999998</v>
      </c>
      <c r="P2520" s="20">
        <f t="shared" si="157"/>
        <v>18302.922753088733</v>
      </c>
      <c r="Q2520" s="20">
        <f t="shared" si="158"/>
        <v>7780.977246911265</v>
      </c>
      <c r="R2520" s="22">
        <f t="shared" si="159"/>
        <v>0.29830574595483289</v>
      </c>
    </row>
    <row r="2521" spans="1:18">
      <c r="A2521" s="18">
        <v>3520</v>
      </c>
      <c r="B2521" s="19" t="s">
        <v>838</v>
      </c>
      <c r="C2521" s="18">
        <v>2025</v>
      </c>
      <c r="D2521" s="18" t="s">
        <v>64</v>
      </c>
      <c r="E2521" s="18" t="s">
        <v>85</v>
      </c>
      <c r="F2521" s="18" t="s">
        <v>121</v>
      </c>
      <c r="G2521" s="18" t="s">
        <v>47</v>
      </c>
      <c r="H2521" s="18" t="s">
        <v>103</v>
      </c>
      <c r="I2521" s="18" t="s">
        <v>56</v>
      </c>
      <c r="J2521" s="18" t="s">
        <v>102</v>
      </c>
      <c r="K2521" s="18">
        <v>4</v>
      </c>
      <c r="L2521" s="20">
        <v>3177.5</v>
      </c>
      <c r="M2521" s="21">
        <v>0.1</v>
      </c>
      <c r="N2521" s="21">
        <v>0.72703494149901804</v>
      </c>
      <c r="O2521" s="20">
        <f t="shared" si="156"/>
        <v>11439</v>
      </c>
      <c r="P2521" s="20">
        <f t="shared" si="157"/>
        <v>8316.5526958072678</v>
      </c>
      <c r="Q2521" s="20">
        <f t="shared" si="158"/>
        <v>3122.4473041927322</v>
      </c>
      <c r="R2521" s="22">
        <f t="shared" si="159"/>
        <v>0.27296505850098191</v>
      </c>
    </row>
    <row r="2522" spans="1:18">
      <c r="A2522" s="18">
        <v>3521</v>
      </c>
      <c r="B2522" s="19" t="s">
        <v>838</v>
      </c>
      <c r="C2522" s="18">
        <v>2025</v>
      </c>
      <c r="D2522" s="18" t="s">
        <v>64</v>
      </c>
      <c r="E2522" s="18" t="s">
        <v>88</v>
      </c>
      <c r="F2522" s="18" t="s">
        <v>110</v>
      </c>
      <c r="G2522" s="18" t="s">
        <v>47</v>
      </c>
      <c r="H2522" s="18" t="s">
        <v>103</v>
      </c>
      <c r="I2522" s="18" t="s">
        <v>62</v>
      </c>
      <c r="J2522" s="18" t="s">
        <v>91</v>
      </c>
      <c r="K2522" s="18">
        <v>5</v>
      </c>
      <c r="L2522" s="20">
        <v>3240.7</v>
      </c>
      <c r="M2522" s="21">
        <v>0.15</v>
      </c>
      <c r="N2522" s="21">
        <v>0.64200121372340302</v>
      </c>
      <c r="O2522" s="20">
        <f t="shared" si="156"/>
        <v>13772.975</v>
      </c>
      <c r="P2522" s="20">
        <f t="shared" si="157"/>
        <v>8842.2666665820871</v>
      </c>
      <c r="Q2522" s="20">
        <f t="shared" si="158"/>
        <v>4930.7083334179133</v>
      </c>
      <c r="R2522" s="22">
        <f t="shared" si="159"/>
        <v>0.35799878627659698</v>
      </c>
    </row>
    <row r="2523" spans="1:18">
      <c r="A2523" s="18">
        <v>3522</v>
      </c>
      <c r="B2523" s="19" t="s">
        <v>839</v>
      </c>
      <c r="C2523" s="18">
        <v>2025</v>
      </c>
      <c r="D2523" s="18" t="s">
        <v>64</v>
      </c>
      <c r="E2523" s="18" t="s">
        <v>98</v>
      </c>
      <c r="F2523" s="18" t="s">
        <v>99</v>
      </c>
      <c r="G2523" s="18" t="s">
        <v>50</v>
      </c>
      <c r="H2523" s="18" t="s">
        <v>83</v>
      </c>
      <c r="I2523" s="18" t="s">
        <v>46</v>
      </c>
      <c r="J2523" s="18" t="s">
        <v>82</v>
      </c>
      <c r="K2523" s="18">
        <v>12</v>
      </c>
      <c r="L2523" s="20">
        <v>3567.92</v>
      </c>
      <c r="M2523" s="21">
        <v>0.1</v>
      </c>
      <c r="N2523" s="21">
        <v>0.71025777270054302</v>
      </c>
      <c r="O2523" s="20">
        <f t="shared" si="156"/>
        <v>38533.536</v>
      </c>
      <c r="P2523" s="20">
        <f t="shared" si="157"/>
        <v>27368.743453636191</v>
      </c>
      <c r="Q2523" s="20">
        <f t="shared" si="158"/>
        <v>11164.792546363809</v>
      </c>
      <c r="R2523" s="22">
        <f t="shared" si="159"/>
        <v>0.28974222729945703</v>
      </c>
    </row>
    <row r="2524" spans="1:18">
      <c r="A2524" s="18">
        <v>3523</v>
      </c>
      <c r="B2524" s="19" t="s">
        <v>839</v>
      </c>
      <c r="C2524" s="18">
        <v>2025</v>
      </c>
      <c r="D2524" s="18" t="s">
        <v>64</v>
      </c>
      <c r="E2524" s="18" t="s">
        <v>79</v>
      </c>
      <c r="F2524" s="18" t="s">
        <v>80</v>
      </c>
      <c r="G2524" s="18" t="s">
        <v>47</v>
      </c>
      <c r="H2524" s="18" t="s">
        <v>81</v>
      </c>
      <c r="I2524" s="18" t="s">
        <v>40</v>
      </c>
      <c r="J2524" s="18" t="s">
        <v>102</v>
      </c>
      <c r="K2524" s="18">
        <v>2</v>
      </c>
      <c r="L2524" s="20">
        <v>805.09</v>
      </c>
      <c r="M2524" s="21">
        <v>0</v>
      </c>
      <c r="N2524" s="21">
        <v>0.55510668695490095</v>
      </c>
      <c r="O2524" s="20">
        <f t="shared" si="156"/>
        <v>1610.18</v>
      </c>
      <c r="P2524" s="20">
        <f t="shared" si="157"/>
        <v>893.82168520104244</v>
      </c>
      <c r="Q2524" s="20">
        <f t="shared" si="158"/>
        <v>716.35831479895762</v>
      </c>
      <c r="R2524" s="22">
        <f t="shared" si="159"/>
        <v>0.44489331304509905</v>
      </c>
    </row>
    <row r="2525" spans="1:18">
      <c r="A2525" s="18">
        <v>3524</v>
      </c>
      <c r="B2525" s="19" t="s">
        <v>840</v>
      </c>
      <c r="C2525" s="18">
        <v>2025</v>
      </c>
      <c r="D2525" s="18" t="s">
        <v>64</v>
      </c>
      <c r="E2525" s="18" t="s">
        <v>85</v>
      </c>
      <c r="F2525" s="18" t="s">
        <v>121</v>
      </c>
      <c r="G2525" s="18" t="s">
        <v>44</v>
      </c>
      <c r="H2525" s="18" t="s">
        <v>119</v>
      </c>
      <c r="I2525" s="18" t="s">
        <v>49</v>
      </c>
      <c r="J2525" s="18" t="s">
        <v>82</v>
      </c>
      <c r="K2525" s="18">
        <v>12</v>
      </c>
      <c r="L2525" s="20">
        <v>7144.53</v>
      </c>
      <c r="M2525" s="21">
        <v>0.2</v>
      </c>
      <c r="N2525" s="21">
        <v>0.64581159682974398</v>
      </c>
      <c r="O2525" s="20">
        <f t="shared" si="156"/>
        <v>68587.487999999998</v>
      </c>
      <c r="P2525" s="20">
        <f t="shared" si="157"/>
        <v>44294.595147820903</v>
      </c>
      <c r="Q2525" s="20">
        <f t="shared" si="158"/>
        <v>24292.892852179095</v>
      </c>
      <c r="R2525" s="22">
        <f t="shared" si="159"/>
        <v>0.35418840317025602</v>
      </c>
    </row>
    <row r="2526" spans="1:18">
      <c r="A2526" s="18">
        <v>3525</v>
      </c>
      <c r="B2526" s="19" t="s">
        <v>840</v>
      </c>
      <c r="C2526" s="18">
        <v>2025</v>
      </c>
      <c r="D2526" s="18" t="s">
        <v>64</v>
      </c>
      <c r="E2526" s="18" t="s">
        <v>88</v>
      </c>
      <c r="F2526" s="18" t="s">
        <v>110</v>
      </c>
      <c r="G2526" s="18" t="s">
        <v>50</v>
      </c>
      <c r="H2526" s="18" t="s">
        <v>97</v>
      </c>
      <c r="I2526" s="18" t="s">
        <v>52</v>
      </c>
      <c r="J2526" s="18" t="s">
        <v>82</v>
      </c>
      <c r="K2526" s="18">
        <v>3</v>
      </c>
      <c r="L2526" s="20">
        <v>12442.29</v>
      </c>
      <c r="M2526" s="21">
        <v>0</v>
      </c>
      <c r="N2526" s="21">
        <v>0.61443200296174505</v>
      </c>
      <c r="O2526" s="20">
        <f t="shared" si="156"/>
        <v>37326.870000000003</v>
      </c>
      <c r="P2526" s="20">
        <f t="shared" si="157"/>
        <v>22934.823498392674</v>
      </c>
      <c r="Q2526" s="20">
        <f t="shared" si="158"/>
        <v>14392.046501607329</v>
      </c>
      <c r="R2526" s="22">
        <f t="shared" si="159"/>
        <v>0.38556799703825495</v>
      </c>
    </row>
    <row r="2527" spans="1:18">
      <c r="A2527" s="18">
        <v>3526</v>
      </c>
      <c r="B2527" s="19" t="s">
        <v>840</v>
      </c>
      <c r="C2527" s="18">
        <v>2025</v>
      </c>
      <c r="D2527" s="18" t="s">
        <v>64</v>
      </c>
      <c r="E2527" s="18" t="s">
        <v>88</v>
      </c>
      <c r="F2527" s="18" t="s">
        <v>89</v>
      </c>
      <c r="G2527" s="18" t="s">
        <v>50</v>
      </c>
      <c r="H2527" s="18" t="s">
        <v>97</v>
      </c>
      <c r="I2527" s="18" t="s">
        <v>62</v>
      </c>
      <c r="J2527" s="18" t="s">
        <v>102</v>
      </c>
      <c r="K2527" s="18">
        <v>11</v>
      </c>
      <c r="L2527" s="20">
        <v>11624.2</v>
      </c>
      <c r="M2527" s="21">
        <v>0</v>
      </c>
      <c r="N2527" s="21">
        <v>0.63785921107738897</v>
      </c>
      <c r="O2527" s="20">
        <f t="shared" si="156"/>
        <v>127866.20000000001</v>
      </c>
      <c r="P2527" s="20">
        <f t="shared" si="157"/>
        <v>81560.633455463641</v>
      </c>
      <c r="Q2527" s="20">
        <f t="shared" si="158"/>
        <v>46305.56654453637</v>
      </c>
      <c r="R2527" s="22">
        <f t="shared" si="159"/>
        <v>0.36214078892261103</v>
      </c>
    </row>
    <row r="2528" spans="1:18">
      <c r="A2528" s="18">
        <v>3527</v>
      </c>
      <c r="B2528" s="19" t="s">
        <v>840</v>
      </c>
      <c r="C2528" s="18">
        <v>2025</v>
      </c>
      <c r="D2528" s="18" t="s">
        <v>64</v>
      </c>
      <c r="E2528" s="18" t="s">
        <v>88</v>
      </c>
      <c r="F2528" s="18" t="s">
        <v>93</v>
      </c>
      <c r="G2528" s="18" t="s">
        <v>44</v>
      </c>
      <c r="H2528" s="18" t="s">
        <v>119</v>
      </c>
      <c r="I2528" s="18" t="s">
        <v>60</v>
      </c>
      <c r="J2528" s="18" t="s">
        <v>91</v>
      </c>
      <c r="K2528" s="18">
        <v>11</v>
      </c>
      <c r="L2528" s="20">
        <v>6748.48</v>
      </c>
      <c r="M2528" s="21">
        <v>0</v>
      </c>
      <c r="N2528" s="21">
        <v>0.59765969468058699</v>
      </c>
      <c r="O2528" s="20">
        <f t="shared" si="156"/>
        <v>74233.279999999999</v>
      </c>
      <c r="P2528" s="20">
        <f t="shared" si="157"/>
        <v>44366.239459938522</v>
      </c>
      <c r="Q2528" s="20">
        <f t="shared" si="158"/>
        <v>29867.040540061476</v>
      </c>
      <c r="R2528" s="22">
        <f t="shared" si="159"/>
        <v>0.40234030531941301</v>
      </c>
    </row>
  </sheetData>
  <pageMargins left="0.75" right="0.75" top="1" bottom="1" header="0.511811023622047" footer="0.511811023622047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showGridLines="0" workbookViewId="0">
      <selection activeCell="F17" sqref="F17"/>
    </sheetView>
  </sheetViews>
  <sheetFormatPr baseColWidth="10" defaultColWidth="8.6640625" defaultRowHeight="14" x14ac:dyDescent="0"/>
  <cols>
    <col min="1" max="1" width="32" customWidth="1"/>
    <col min="2" max="2" width="20" customWidth="1"/>
    <col min="3" max="3" width="30" customWidth="1"/>
    <col min="4" max="4" width="16" customWidth="1"/>
  </cols>
  <sheetData>
    <row r="1" spans="1:4" ht="18">
      <c r="A1" s="6" t="s">
        <v>841</v>
      </c>
    </row>
    <row r="2" spans="1:4">
      <c r="A2" s="7" t="s">
        <v>842</v>
      </c>
    </row>
    <row r="4" spans="1:4" ht="15">
      <c r="A4" s="12" t="s">
        <v>843</v>
      </c>
      <c r="B4" s="13"/>
      <c r="C4" s="13"/>
      <c r="D4" s="13"/>
    </row>
    <row r="5" spans="1:4">
      <c r="A5" t="s">
        <v>68</v>
      </c>
      <c r="B5" s="23" t="s">
        <v>88</v>
      </c>
      <c r="C5" s="15" t="s">
        <v>844</v>
      </c>
      <c r="D5" s="16">
        <f>SUMIFS(Raw_Sales_Data!$O$2:$O$2528,Raw_Sales_Data!$E$2:$E$2528,B5)</f>
        <v>33845972.002500013</v>
      </c>
    </row>
    <row r="6" spans="1:4">
      <c r="A6" t="s">
        <v>38</v>
      </c>
      <c r="B6" s="23" t="s">
        <v>41</v>
      </c>
      <c r="C6" s="15" t="s">
        <v>845</v>
      </c>
      <c r="D6" s="16">
        <f>SUMIFS(Raw_Sales_Data!$Q$2:$Q$2528,Raw_Sales_Data!$G$2:$G$2528,B6)</f>
        <v>23826161.122115366</v>
      </c>
    </row>
    <row r="7" spans="1:4">
      <c r="A7" t="s">
        <v>846</v>
      </c>
      <c r="D7" s="16">
        <f>SUMIFS(Raw_Sales_Data!$O$2:$O$2528,Raw_Sales_Data!$E$2:$E$2528,B5,Raw_Sales_Data!$G$2:$G$2528,B6)</f>
        <v>17181602.548500001</v>
      </c>
    </row>
    <row r="9" spans="1:4" ht="15">
      <c r="A9" s="12" t="s">
        <v>847</v>
      </c>
      <c r="B9" s="13"/>
      <c r="C9" s="13"/>
      <c r="D9" s="13"/>
    </row>
    <row r="10" spans="1:4">
      <c r="A10" t="s">
        <v>65</v>
      </c>
      <c r="B10" s="23">
        <v>1011</v>
      </c>
      <c r="C10" s="15" t="s">
        <v>848</v>
      </c>
      <c r="D10" t="str">
        <f ca="1">IFERROR(xlookup(B10,Raw_Sales_Data!$A$2:$A$2528,Raw_Sales_Data!$I$2:$I$2528),INDEX(Raw_Sales_Data!$I$2:$I$2528,MATCH(B10,Raw_Sales_Data!$A$2:$A$2528,0)))</f>
        <v>Karan Malhotra</v>
      </c>
    </row>
    <row r="11" spans="1:4">
      <c r="C11" t="s">
        <v>849</v>
      </c>
      <c r="D11" s="16">
        <f ca="1">IFERROR(xlookup(B10,Raw_Sales_Data!$A$2:$A$2528,Raw_Sales_Data!$O$2:$O$2528),INDEX(Raw_Sales_Data!$O$2:$O$2528,MATCH(B10,Raw_Sales_Data!$A$2:$A$2528,0)))</f>
        <v>39889.839999999997</v>
      </c>
    </row>
    <row r="12" spans="1:4">
      <c r="A12" s="7" t="s">
        <v>850</v>
      </c>
    </row>
    <row r="14" spans="1:4" ht="15">
      <c r="A14" s="12" t="s">
        <v>851</v>
      </c>
      <c r="B14" s="13"/>
      <c r="C14" s="13"/>
      <c r="D14" s="13"/>
    </row>
    <row r="15" spans="1:4">
      <c r="A15" t="s">
        <v>852</v>
      </c>
      <c r="C15" t="s">
        <v>853</v>
      </c>
      <c r="D15" t="str">
        <f>INDEX(Raw_Sales_Data!$G$2:$G$2528,MATCH(B10,Raw_Sales_Data!$A$2:$A$2528,0))</f>
        <v>Home Appliances</v>
      </c>
    </row>
    <row r="17" spans="1:4" ht="15">
      <c r="A17" s="12" t="s">
        <v>854</v>
      </c>
      <c r="B17" s="13"/>
      <c r="C17" s="13"/>
      <c r="D17" s="13"/>
    </row>
    <row r="18" spans="1:4">
      <c r="A18" t="s">
        <v>36</v>
      </c>
      <c r="B18" s="23" t="s">
        <v>40</v>
      </c>
    </row>
    <row r="19" spans="1:4">
      <c r="A19" t="s">
        <v>855</v>
      </c>
      <c r="B19" s="16">
        <f>SUMIFS(Raw_Sales_Data!$O$2:$O$2528,Raw_Sales_Data!$I$2:$I$2528,B18)</f>
        <v>13592167.469999991</v>
      </c>
    </row>
    <row r="20" spans="1:4">
      <c r="A20" t="s">
        <v>856</v>
      </c>
      <c r="B20" t="str">
        <f>IF(B19&gt;3000000,"Gold - 8%",IF(B19&gt;1500000,"Silver - 5%",IF(B19&gt;0,"Bronze - 3%","No Sales")))</f>
        <v>Gold - 8%</v>
      </c>
    </row>
    <row r="21" spans="1:4">
      <c r="A21" t="s">
        <v>857</v>
      </c>
      <c r="B21" s="16">
        <f>B19*IF(B19&gt;3000000,0.08,IF(B19&gt;1500000,0.05,IF(B19&gt;0,0.03,0)))</f>
        <v>1087373.3975999993</v>
      </c>
    </row>
    <row r="23" spans="1:4" ht="15">
      <c r="A23" s="12" t="s">
        <v>858</v>
      </c>
      <c r="B23" s="13"/>
      <c r="C23" s="13"/>
      <c r="D23" s="13"/>
    </row>
    <row r="24" spans="1:4">
      <c r="A24" t="s">
        <v>859</v>
      </c>
      <c r="B24" s="16">
        <f>MAX(Raw_Sales_Data!$O$2:$O$2528)</f>
        <v>673217.76</v>
      </c>
    </row>
    <row r="25" spans="1:4">
      <c r="A25" t="s">
        <v>860</v>
      </c>
      <c r="B25" s="16">
        <f>AVERAGE(Raw_Sales_Data!$O$2:$O$2528)</f>
        <v>53772.695190146515</v>
      </c>
    </row>
    <row r="26" spans="1:4">
      <c r="A26" t="s">
        <v>861</v>
      </c>
      <c r="B26">
        <f>COUNTA(Raw_Sales_Data!$A$2:$A$2528)</f>
        <v>2527</v>
      </c>
    </row>
    <row r="27" spans="1:4">
      <c r="A27" t="s">
        <v>862</v>
      </c>
      <c r="B27" s="24">
        <f>COUNTIFS(Raw_Sales_Data!$M$2:$M$2528,"&gt;0")/COUNTA(Raw_Sales_Data!$A$2:$A$2528)</f>
        <v>0.66442421844083899</v>
      </c>
    </row>
  </sheetData>
  <pageMargins left="0.75" right="0.75" top="1" bottom="1" header="0.511811023622047" footer="0.511811023622047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showGridLines="0" workbookViewId="0">
      <selection activeCell="G36" sqref="G36"/>
    </sheetView>
  </sheetViews>
  <sheetFormatPr baseColWidth="10" defaultColWidth="8.6640625" defaultRowHeight="14" x14ac:dyDescent="0"/>
  <cols>
    <col min="1" max="1" width="22" customWidth="1"/>
    <col min="2" max="14" width="13" customWidth="1"/>
  </cols>
  <sheetData>
    <row r="1" spans="1:16" ht="18">
      <c r="A1" s="6" t="s">
        <v>863</v>
      </c>
    </row>
    <row r="2" spans="1:16">
      <c r="A2" s="7" t="s">
        <v>864</v>
      </c>
    </row>
    <row r="4" spans="1:16" ht="15">
      <c r="A4" s="12" t="s">
        <v>865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6">
      <c r="A5" s="14" t="s">
        <v>68</v>
      </c>
      <c r="B5" s="25" t="s">
        <v>39</v>
      </c>
      <c r="C5" s="25" t="s">
        <v>42</v>
      </c>
      <c r="D5" s="25" t="s">
        <v>45</v>
      </c>
      <c r="E5" s="25" t="s">
        <v>48</v>
      </c>
      <c r="F5" s="25" t="s">
        <v>51</v>
      </c>
      <c r="G5" s="25" t="s">
        <v>53</v>
      </c>
      <c r="H5" s="25" t="s">
        <v>55</v>
      </c>
      <c r="I5" s="25" t="s">
        <v>57</v>
      </c>
      <c r="J5" s="25" t="s">
        <v>59</v>
      </c>
      <c r="K5" s="25" t="s">
        <v>61</v>
      </c>
      <c r="L5" s="25" t="s">
        <v>63</v>
      </c>
      <c r="M5" s="25" t="s">
        <v>64</v>
      </c>
      <c r="N5" s="37"/>
      <c r="O5" s="25" t="s">
        <v>866</v>
      </c>
      <c r="P5" s="37"/>
    </row>
    <row r="6" spans="1:16">
      <c r="A6" s="10" t="s">
        <v>79</v>
      </c>
      <c r="B6" s="35">
        <f>SUMIFS(Raw_Sales_Data!$O$2:$O$2528,Raw_Sales_Data!$E$2:$E$2528,$A6,Raw_Sales_Data!$D$2:$D$2528,B$5,Raw_Sales_Data!$C$2:$C$2528,2025)</f>
        <v>714837.23850000009</v>
      </c>
      <c r="C6" s="35">
        <f>SUMIFS(Raw_Sales_Data!$O$2:$O$2528,Raw_Sales_Data!$E$2:$E$2528,$A6,Raw_Sales_Data!$D$2:$D$2528,C$5,Raw_Sales_Data!$C$2:$C$2528,2025)</f>
        <v>1025893.5044999999</v>
      </c>
      <c r="D6" s="35">
        <f>SUMIFS(Raw_Sales_Data!$O$2:$O$2528,Raw_Sales_Data!$E$2:$E$2528,$A6,Raw_Sales_Data!$D$2:$D$2528,D$5,Raw_Sales_Data!$C$2:$C$2528,2025)</f>
        <v>1551611.8635000002</v>
      </c>
      <c r="E6" s="35">
        <f>SUMIFS(Raw_Sales_Data!$O$2:$O$2528,Raw_Sales_Data!$E$2:$E$2528,$A6,Raw_Sales_Data!$D$2:$D$2528,E$5,Raw_Sales_Data!$C$2:$C$2528,2025)</f>
        <v>1137705.0479999997</v>
      </c>
      <c r="F6" s="35">
        <f>SUMIFS(Raw_Sales_Data!$O$2:$O$2528,Raw_Sales_Data!$E$2:$E$2528,$A6,Raw_Sales_Data!$D$2:$D$2528,F$5,Raw_Sales_Data!$C$2:$C$2528,2025)</f>
        <v>1727952.9489999998</v>
      </c>
      <c r="G6" s="35">
        <f>SUMIFS(Raw_Sales_Data!$O$2:$O$2528,Raw_Sales_Data!$E$2:$E$2528,$A6,Raw_Sales_Data!$D$2:$D$2528,G$5,Raw_Sales_Data!$C$2:$C$2528,2025)</f>
        <v>1816745.7319999996</v>
      </c>
      <c r="H6" s="35">
        <f>SUMIFS(Raw_Sales_Data!$O$2:$O$2528,Raw_Sales_Data!$E$2:$E$2528,$A6,Raw_Sales_Data!$D$2:$D$2528,H$5,Raw_Sales_Data!$C$2:$C$2528,2025)</f>
        <v>2492717.7479999992</v>
      </c>
      <c r="I6" s="35">
        <f>SUMIFS(Raw_Sales_Data!$O$2:$O$2528,Raw_Sales_Data!$E$2:$E$2528,$A6,Raw_Sales_Data!$D$2:$D$2528,I$5,Raw_Sales_Data!$C$2:$C$2528,2025)</f>
        <v>2263057.3954999996</v>
      </c>
      <c r="J6" s="35">
        <f>SUMIFS(Raw_Sales_Data!$O$2:$O$2528,Raw_Sales_Data!$E$2:$E$2528,$A6,Raw_Sales_Data!$D$2:$D$2528,J$5,Raw_Sales_Data!$C$2:$C$2528,2025)</f>
        <v>1137899.628</v>
      </c>
      <c r="K6" s="35">
        <f>SUMIFS(Raw_Sales_Data!$O$2:$O$2528,Raw_Sales_Data!$E$2:$E$2528,$A6,Raw_Sales_Data!$D$2:$D$2528,K$5,Raw_Sales_Data!$C$2:$C$2528,2025)</f>
        <v>1387377.628</v>
      </c>
      <c r="L6" s="35">
        <f>SUMIFS(Raw_Sales_Data!$O$2:$O$2528,Raw_Sales_Data!$E$2:$E$2528,$A6,Raw_Sales_Data!$D$2:$D$2528,L$5,Raw_Sales_Data!$C$2:$C$2528,2025)</f>
        <v>1159051.3105000001</v>
      </c>
      <c r="M6" s="35">
        <f>SUMIFS(Raw_Sales_Data!$O$2:$O$2528,Raw_Sales_Data!$E$2:$E$2528,$A6,Raw_Sales_Data!$D$2:$D$2528,M$5,Raw_Sales_Data!$C$2:$C$2528,2025)</f>
        <v>914290.96500000008</v>
      </c>
      <c r="N6" s="37"/>
      <c r="O6" s="33">
        <f>SUM(B6:M6)</f>
        <v>17329141.010499999</v>
      </c>
      <c r="P6" s="37"/>
    </row>
    <row r="7" spans="1:16">
      <c r="A7" s="10" t="s">
        <v>88</v>
      </c>
      <c r="B7" s="35">
        <f>SUMIFS(Raw_Sales_Data!$O$2:$O$2528,Raw_Sales_Data!$E$2:$E$2528,$A7,Raw_Sales_Data!$D$2:$D$2528,B$5,Raw_Sales_Data!$C$2:$C$2528,2025)</f>
        <v>1218354.5790000001</v>
      </c>
      <c r="C7" s="35">
        <f>SUMIFS(Raw_Sales_Data!$O$2:$O$2528,Raw_Sales_Data!$E$2:$E$2528,$A7,Raw_Sales_Data!$D$2:$D$2528,C$5,Raw_Sales_Data!$C$2:$C$2528,2025)</f>
        <v>1656728.8025000002</v>
      </c>
      <c r="D7" s="35">
        <f>SUMIFS(Raw_Sales_Data!$O$2:$O$2528,Raw_Sales_Data!$E$2:$E$2528,$A7,Raw_Sales_Data!$D$2:$D$2528,D$5,Raw_Sales_Data!$C$2:$C$2528,2025)</f>
        <v>984737.24050000031</v>
      </c>
      <c r="E7" s="35">
        <f>SUMIFS(Raw_Sales_Data!$O$2:$O$2528,Raw_Sales_Data!$E$2:$E$2528,$A7,Raw_Sales_Data!$D$2:$D$2528,E$5,Raw_Sales_Data!$C$2:$C$2528,2025)</f>
        <v>928050.03400000022</v>
      </c>
      <c r="F7" s="35">
        <f>SUMIFS(Raw_Sales_Data!$O$2:$O$2528,Raw_Sales_Data!$E$2:$E$2528,$A7,Raw_Sales_Data!$D$2:$D$2528,F$5,Raw_Sales_Data!$C$2:$C$2528,2025)</f>
        <v>2324683.4070000001</v>
      </c>
      <c r="G7" s="35">
        <f>SUMIFS(Raw_Sales_Data!$O$2:$O$2528,Raw_Sales_Data!$E$2:$E$2528,$A7,Raw_Sales_Data!$D$2:$D$2528,G$5,Raw_Sales_Data!$C$2:$C$2528,2025)</f>
        <v>808543.40800000017</v>
      </c>
      <c r="H7" s="35">
        <f>SUMIFS(Raw_Sales_Data!$O$2:$O$2528,Raw_Sales_Data!$E$2:$E$2528,$A7,Raw_Sales_Data!$D$2:$D$2528,H$5,Raw_Sales_Data!$C$2:$C$2528,2025)</f>
        <v>1313561.3114999998</v>
      </c>
      <c r="I7" s="35">
        <f>SUMIFS(Raw_Sales_Data!$O$2:$O$2528,Raw_Sales_Data!$E$2:$E$2528,$A7,Raw_Sales_Data!$D$2:$D$2528,I$5,Raw_Sales_Data!$C$2:$C$2528,2025)</f>
        <v>887562.37849999999</v>
      </c>
      <c r="J7" s="35">
        <f>SUMIFS(Raw_Sales_Data!$O$2:$O$2528,Raw_Sales_Data!$E$2:$E$2528,$A7,Raw_Sales_Data!$D$2:$D$2528,J$5,Raw_Sales_Data!$C$2:$C$2528,2025)</f>
        <v>1270623.9459999998</v>
      </c>
      <c r="K7" s="35">
        <f>SUMIFS(Raw_Sales_Data!$O$2:$O$2528,Raw_Sales_Data!$E$2:$E$2528,$A7,Raw_Sales_Data!$D$2:$D$2528,K$5,Raw_Sales_Data!$C$2:$C$2528,2025)</f>
        <v>1832683.7599999998</v>
      </c>
      <c r="L7" s="35">
        <f>SUMIFS(Raw_Sales_Data!$O$2:$O$2528,Raw_Sales_Data!$E$2:$E$2528,$A7,Raw_Sales_Data!$D$2:$D$2528,L$5,Raw_Sales_Data!$C$2:$C$2528,2025)</f>
        <v>1829809.8835000002</v>
      </c>
      <c r="M7" s="35">
        <f>SUMIFS(Raw_Sales_Data!$O$2:$O$2528,Raw_Sales_Data!$E$2:$E$2528,$A7,Raw_Sales_Data!$D$2:$D$2528,M$5,Raw_Sales_Data!$C$2:$C$2528,2025)</f>
        <v>1800397.8049999999</v>
      </c>
      <c r="N7" s="37"/>
      <c r="O7" s="33">
        <f>SUM(B7:M7)</f>
        <v>16855736.555500001</v>
      </c>
      <c r="P7" s="37"/>
    </row>
    <row r="8" spans="1:16">
      <c r="A8" s="10" t="s">
        <v>98</v>
      </c>
      <c r="B8" s="35">
        <f>SUMIFS(Raw_Sales_Data!$O$2:$O$2528,Raw_Sales_Data!$E$2:$E$2528,$A8,Raw_Sales_Data!$D$2:$D$2528,B$5,Raw_Sales_Data!$C$2:$C$2528,2025)</f>
        <v>2090411.9235000003</v>
      </c>
      <c r="C8" s="35">
        <f>SUMIFS(Raw_Sales_Data!$O$2:$O$2528,Raw_Sales_Data!$E$2:$E$2528,$A8,Raw_Sales_Data!$D$2:$D$2528,C$5,Raw_Sales_Data!$C$2:$C$2528,2025)</f>
        <v>960402.26849999989</v>
      </c>
      <c r="D8" s="35">
        <f>SUMIFS(Raw_Sales_Data!$O$2:$O$2528,Raw_Sales_Data!$E$2:$E$2528,$A8,Raw_Sales_Data!$D$2:$D$2528,D$5,Raw_Sales_Data!$C$2:$C$2528,2025)</f>
        <v>1730817.4569999999</v>
      </c>
      <c r="E8" s="35">
        <f>SUMIFS(Raw_Sales_Data!$O$2:$O$2528,Raw_Sales_Data!$E$2:$E$2528,$A8,Raw_Sales_Data!$D$2:$D$2528,E$5,Raw_Sales_Data!$C$2:$C$2528,2025)</f>
        <v>1539830.6764999998</v>
      </c>
      <c r="F8" s="35">
        <f>SUMIFS(Raw_Sales_Data!$O$2:$O$2528,Raw_Sales_Data!$E$2:$E$2528,$A8,Raw_Sales_Data!$D$2:$D$2528,F$5,Raw_Sales_Data!$C$2:$C$2528,2025)</f>
        <v>1609638.9759999996</v>
      </c>
      <c r="G8" s="35">
        <f>SUMIFS(Raw_Sales_Data!$O$2:$O$2528,Raw_Sales_Data!$E$2:$E$2528,$A8,Raw_Sales_Data!$D$2:$D$2528,G$5,Raw_Sales_Data!$C$2:$C$2528,2025)</f>
        <v>1296485.7414999998</v>
      </c>
      <c r="H8" s="35">
        <f>SUMIFS(Raw_Sales_Data!$O$2:$O$2528,Raw_Sales_Data!$E$2:$E$2528,$A8,Raw_Sales_Data!$D$2:$D$2528,H$5,Raw_Sales_Data!$C$2:$C$2528,2025)</f>
        <v>1463665.3795000005</v>
      </c>
      <c r="I8" s="35">
        <f>SUMIFS(Raw_Sales_Data!$O$2:$O$2528,Raw_Sales_Data!$E$2:$E$2528,$A8,Raw_Sales_Data!$D$2:$D$2528,I$5,Raw_Sales_Data!$C$2:$C$2528,2025)</f>
        <v>982236.32149999985</v>
      </c>
      <c r="J8" s="35">
        <f>SUMIFS(Raw_Sales_Data!$O$2:$O$2528,Raw_Sales_Data!$E$2:$E$2528,$A8,Raw_Sales_Data!$D$2:$D$2528,J$5,Raw_Sales_Data!$C$2:$C$2528,2025)</f>
        <v>1361090.3765000005</v>
      </c>
      <c r="K8" s="35">
        <f>SUMIFS(Raw_Sales_Data!$O$2:$O$2528,Raw_Sales_Data!$E$2:$E$2528,$A8,Raw_Sales_Data!$D$2:$D$2528,K$5,Raw_Sales_Data!$C$2:$C$2528,2025)</f>
        <v>1333088.2464999992</v>
      </c>
      <c r="L8" s="35">
        <f>SUMIFS(Raw_Sales_Data!$O$2:$O$2528,Raw_Sales_Data!$E$2:$E$2528,$A8,Raw_Sales_Data!$D$2:$D$2528,L$5,Raw_Sales_Data!$C$2:$C$2528,2025)</f>
        <v>941895.0765000002</v>
      </c>
      <c r="M8" s="35">
        <f>SUMIFS(Raw_Sales_Data!$O$2:$O$2528,Raw_Sales_Data!$E$2:$E$2528,$A8,Raw_Sales_Data!$D$2:$D$2528,M$5,Raw_Sales_Data!$C$2:$C$2528,2025)</f>
        <v>1564714.703</v>
      </c>
      <c r="N8" s="37"/>
      <c r="O8" s="33">
        <f>SUM(B8:M8)</f>
        <v>16874277.146499999</v>
      </c>
      <c r="P8" s="37"/>
    </row>
    <row r="9" spans="1:16">
      <c r="A9" s="10" t="s">
        <v>85</v>
      </c>
      <c r="B9" s="35">
        <f>SUMIFS(Raw_Sales_Data!$O$2:$O$2528,Raw_Sales_Data!$E$2:$E$2528,$A9,Raw_Sales_Data!$D$2:$D$2528,B$5,Raw_Sales_Data!$C$2:$C$2528,2025)</f>
        <v>2971524.0839999998</v>
      </c>
      <c r="C9" s="35">
        <f>SUMIFS(Raw_Sales_Data!$O$2:$O$2528,Raw_Sales_Data!$E$2:$E$2528,$A9,Raw_Sales_Data!$D$2:$D$2528,C$5,Raw_Sales_Data!$C$2:$C$2528,2025)</f>
        <v>1168552.8909999998</v>
      </c>
      <c r="D9" s="35">
        <f>SUMIFS(Raw_Sales_Data!$O$2:$O$2528,Raw_Sales_Data!$E$2:$E$2528,$A9,Raw_Sales_Data!$D$2:$D$2528,D$5,Raw_Sales_Data!$C$2:$C$2528,2025)</f>
        <v>931985.44949999987</v>
      </c>
      <c r="E9" s="35">
        <f>SUMIFS(Raw_Sales_Data!$O$2:$O$2528,Raw_Sales_Data!$E$2:$E$2528,$A9,Raw_Sales_Data!$D$2:$D$2528,E$5,Raw_Sales_Data!$C$2:$C$2528,2025)</f>
        <v>1001899.0525000003</v>
      </c>
      <c r="F9" s="35">
        <f>SUMIFS(Raw_Sales_Data!$O$2:$O$2528,Raw_Sales_Data!$E$2:$E$2528,$A9,Raw_Sales_Data!$D$2:$D$2528,F$5,Raw_Sales_Data!$C$2:$C$2528,2025)</f>
        <v>1858650.2614999996</v>
      </c>
      <c r="G9" s="35">
        <f>SUMIFS(Raw_Sales_Data!$O$2:$O$2528,Raw_Sales_Data!$E$2:$E$2528,$A9,Raw_Sales_Data!$D$2:$D$2528,G$5,Raw_Sales_Data!$C$2:$C$2528,2025)</f>
        <v>3699088.8225000002</v>
      </c>
      <c r="H9" s="35">
        <f>SUMIFS(Raw_Sales_Data!$O$2:$O$2528,Raw_Sales_Data!$E$2:$E$2528,$A9,Raw_Sales_Data!$D$2:$D$2528,H$5,Raw_Sales_Data!$C$2:$C$2528,2025)</f>
        <v>1955626.7599999995</v>
      </c>
      <c r="I9" s="35">
        <f>SUMIFS(Raw_Sales_Data!$O$2:$O$2528,Raw_Sales_Data!$E$2:$E$2528,$A9,Raw_Sales_Data!$D$2:$D$2528,I$5,Raw_Sales_Data!$C$2:$C$2528,2025)</f>
        <v>1115398.7255000002</v>
      </c>
      <c r="J9" s="35">
        <f>SUMIFS(Raw_Sales_Data!$O$2:$O$2528,Raw_Sales_Data!$E$2:$E$2528,$A9,Raw_Sales_Data!$D$2:$D$2528,J$5,Raw_Sales_Data!$C$2:$C$2528,2025)</f>
        <v>1688943.5094999999</v>
      </c>
      <c r="K9" s="35">
        <f>SUMIFS(Raw_Sales_Data!$O$2:$O$2528,Raw_Sales_Data!$E$2:$E$2528,$A9,Raw_Sales_Data!$D$2:$D$2528,K$5,Raw_Sales_Data!$C$2:$C$2528,2025)</f>
        <v>872712.245</v>
      </c>
      <c r="L9" s="35">
        <f>SUMIFS(Raw_Sales_Data!$O$2:$O$2528,Raw_Sales_Data!$E$2:$E$2528,$A9,Raw_Sales_Data!$D$2:$D$2528,L$5,Raw_Sales_Data!$C$2:$C$2528,2025)</f>
        <v>838763.98149999988</v>
      </c>
      <c r="M9" s="35">
        <f>SUMIFS(Raw_Sales_Data!$O$2:$O$2528,Raw_Sales_Data!$E$2:$E$2528,$A9,Raw_Sales_Data!$D$2:$D$2528,M$5,Raw_Sales_Data!$C$2:$C$2528,2025)</f>
        <v>890111.40850000002</v>
      </c>
      <c r="N9" s="37"/>
      <c r="O9" s="33">
        <f>SUM(B9:M9)</f>
        <v>18993257.191</v>
      </c>
      <c r="P9" s="37"/>
    </row>
    <row r="10" spans="1:16">
      <c r="A10" s="10" t="s">
        <v>866</v>
      </c>
      <c r="B10" s="36">
        <f t="shared" ref="B10:M10" si="0">SUM(B6:B9)</f>
        <v>6995127.8250000002</v>
      </c>
      <c r="C10" s="36">
        <f t="shared" si="0"/>
        <v>4811577.4664999992</v>
      </c>
      <c r="D10" s="36">
        <f t="shared" si="0"/>
        <v>5199152.0105000008</v>
      </c>
      <c r="E10" s="36">
        <f t="shared" si="0"/>
        <v>4607484.8109999998</v>
      </c>
      <c r="F10" s="36">
        <f t="shared" si="0"/>
        <v>7520925.5934999995</v>
      </c>
      <c r="G10" s="36">
        <f t="shared" si="0"/>
        <v>7620863.7039999999</v>
      </c>
      <c r="H10" s="36">
        <f t="shared" si="0"/>
        <v>7225571.1989999991</v>
      </c>
      <c r="I10" s="36">
        <f t="shared" si="0"/>
        <v>5248254.8210000005</v>
      </c>
      <c r="J10" s="36">
        <f t="shared" si="0"/>
        <v>5458557.46</v>
      </c>
      <c r="K10" s="36">
        <f t="shared" si="0"/>
        <v>5425861.8794999989</v>
      </c>
      <c r="L10" s="36">
        <f t="shared" si="0"/>
        <v>4769520.2520000003</v>
      </c>
      <c r="M10" s="36">
        <f t="shared" si="0"/>
        <v>5169514.8815000001</v>
      </c>
      <c r="N10" s="37"/>
      <c r="O10" s="37"/>
      <c r="P10" s="37"/>
    </row>
    <row r="13" spans="1:16" ht="15">
      <c r="A13" s="12" t="s">
        <v>867</v>
      </c>
      <c r="B13" s="13"/>
      <c r="C13" s="13"/>
      <c r="D13" s="13"/>
      <c r="E13" s="13"/>
    </row>
    <row r="14" spans="1:16">
      <c r="A14" s="14" t="s">
        <v>38</v>
      </c>
      <c r="B14" s="14" t="s">
        <v>29</v>
      </c>
      <c r="C14" s="14" t="s">
        <v>30</v>
      </c>
      <c r="D14" s="14" t="s">
        <v>868</v>
      </c>
      <c r="E14" s="14" t="s">
        <v>72</v>
      </c>
    </row>
    <row r="15" spans="1:16">
      <c r="A15" t="s">
        <v>41</v>
      </c>
      <c r="B15" s="16">
        <f>SUMIFS(Raw_Sales_Data!$O$2:$O$2528,Raw_Sales_Data!$G$2:$G$2528,A15)</f>
        <v>68609050.560499936</v>
      </c>
      <c r="C15" s="16">
        <f>SUMIFS(Raw_Sales_Data!$Q$2:$Q$2528,Raw_Sales_Data!$G$2:$G$2528,A15)</f>
        <v>23826161.122115366</v>
      </c>
      <c r="D15" s="24">
        <f>IF(B15=0,0,C15/B15)</f>
        <v>0.34727431625227478</v>
      </c>
      <c r="E15" s="15">
        <f>SUMIFS(Raw_Sales_Data!$K$2:$K$2528,Raw_Sales_Data!$G$2:$G$2528,A15)</f>
        <v>3610</v>
      </c>
    </row>
    <row r="16" spans="1:16">
      <c r="A16" t="s">
        <v>44</v>
      </c>
      <c r="B16" s="16">
        <f>SUMIFS(Raw_Sales_Data!$O$2:$O$2528,Raw_Sales_Data!$G$2:$G$2528,A16)</f>
        <v>26154326.558499996</v>
      </c>
      <c r="C16" s="16">
        <f>SUMIFS(Raw_Sales_Data!$Q$2:$Q$2528,Raw_Sales_Data!$G$2:$G$2528,A16)</f>
        <v>9235002.9979962595</v>
      </c>
      <c r="D16" s="24">
        <f>IF(B16=0,0,C16/B16)</f>
        <v>0.35309656998202998</v>
      </c>
      <c r="E16" s="15">
        <f>SUMIFS(Raw_Sales_Data!$K$2:$K$2528,Raw_Sales_Data!$G$2:$G$2528,A16)</f>
        <v>4074</v>
      </c>
    </row>
    <row r="17" spans="1:5">
      <c r="A17" t="s">
        <v>47</v>
      </c>
      <c r="B17" s="16">
        <f>SUMIFS(Raw_Sales_Data!$O$2:$O$2528,Raw_Sales_Data!$G$2:$G$2528,A17)</f>
        <v>8103017.4180000024</v>
      </c>
      <c r="C17" s="16">
        <f>SUMIFS(Raw_Sales_Data!$Q$2:$Q$2528,Raw_Sales_Data!$G$2:$G$2528,A17)</f>
        <v>2877311.2906041779</v>
      </c>
      <c r="D17" s="24">
        <f>IF(B17=0,0,C17/B17)</f>
        <v>0.35509133723599468</v>
      </c>
      <c r="E17" s="15">
        <f>SUMIFS(Raw_Sales_Data!$K$2:$K$2528,Raw_Sales_Data!$G$2:$G$2528,A17)</f>
        <v>4327</v>
      </c>
    </row>
    <row r="18" spans="1:5">
      <c r="A18" t="s">
        <v>50</v>
      </c>
      <c r="B18" s="16">
        <f>SUMIFS(Raw_Sales_Data!$O$2:$O$2528,Raw_Sales_Data!$G$2:$G$2528,A18)</f>
        <v>33017206.208499957</v>
      </c>
      <c r="C18" s="16">
        <f>SUMIFS(Raw_Sales_Data!$Q$2:$Q$2528,Raw_Sales_Data!$G$2:$G$2528,A18)</f>
        <v>11613131.474599149</v>
      </c>
      <c r="D18" s="24">
        <f>IF(B18=0,0,C18/B18)</f>
        <v>0.3517296830405191</v>
      </c>
      <c r="E18" s="15">
        <f>SUMIFS(Raw_Sales_Data!$K$2:$K$2528,Raw_Sales_Data!$G$2:$G$2528,A18)</f>
        <v>4294</v>
      </c>
    </row>
    <row r="21" spans="1:5" ht="15">
      <c r="A21" s="12" t="s">
        <v>869</v>
      </c>
      <c r="B21" s="13"/>
      <c r="C21" s="13"/>
      <c r="D21" s="13"/>
    </row>
    <row r="22" spans="1:5">
      <c r="A22" s="14" t="s">
        <v>36</v>
      </c>
      <c r="B22" s="14" t="s">
        <v>29</v>
      </c>
      <c r="C22" s="31" t="s">
        <v>30</v>
      </c>
      <c r="D22" s="25" t="s">
        <v>870</v>
      </c>
    </row>
    <row r="23" spans="1:5">
      <c r="A23" t="s">
        <v>40</v>
      </c>
      <c r="B23" s="16">
        <f>SUMIFS(Raw_Sales_Data!$O$2:$O$2528,Raw_Sales_Data!$I$2:$I$2528,A23)</f>
        <v>13592167.469999991</v>
      </c>
      <c r="C23" s="32">
        <f>SUMIFS(Raw_Sales_Data!$Q$2:$Q$2528,Raw_Sales_Data!$I$2:$I$2528,A23)</f>
        <v>4850921.0888755219</v>
      </c>
      <c r="D23" s="34">
        <f>RANK(C23,C23:C32)</f>
        <v>3</v>
      </c>
    </row>
    <row r="24" spans="1:5">
      <c r="A24" t="s">
        <v>43</v>
      </c>
      <c r="B24" s="16">
        <f>SUMIFS(Raw_Sales_Data!$O$2:$O$2528,Raw_Sales_Data!$I$2:$I$2528,A24)</f>
        <v>13698539.465999993</v>
      </c>
      <c r="C24" s="32">
        <f>SUMIFS(Raw_Sales_Data!$Q$2:$Q$2528,Raw_Sales_Data!$I$2:$I$2528,A24)</f>
        <v>4833031.4509695657</v>
      </c>
      <c r="D24" s="34">
        <f>RANK(C24,C23:C32)</f>
        <v>4</v>
      </c>
    </row>
    <row r="25" spans="1:5">
      <c r="A25" t="s">
        <v>46</v>
      </c>
      <c r="B25" s="16">
        <f>SUMIFS(Raw_Sales_Data!$O$2:$O$2528,Raw_Sales_Data!$I$2:$I$2528,A25)</f>
        <v>15882288.813499987</v>
      </c>
      <c r="C25" s="32">
        <f>SUMIFS(Raw_Sales_Data!$Q$2:$Q$2528,Raw_Sales_Data!$I$2:$I$2528,A25)</f>
        <v>5591192.758676419</v>
      </c>
      <c r="D25" s="34">
        <f>RANK(C25,C23:C32)</f>
        <v>1</v>
      </c>
    </row>
    <row r="26" spans="1:5">
      <c r="A26" t="s">
        <v>49</v>
      </c>
      <c r="B26" s="16">
        <f>SUMIFS(Raw_Sales_Data!$O$2:$O$2528,Raw_Sales_Data!$I$2:$I$2528,A26)</f>
        <v>13460977.828500004</v>
      </c>
      <c r="C26" s="32">
        <f>SUMIFS(Raw_Sales_Data!$Q$2:$Q$2528,Raw_Sales_Data!$I$2:$I$2528,A26)</f>
        <v>4787603.3677588673</v>
      </c>
      <c r="D26" s="34">
        <f>RANK(C26,C23:C32)</f>
        <v>5</v>
      </c>
    </row>
    <row r="27" spans="1:5">
      <c r="A27" t="s">
        <v>52</v>
      </c>
      <c r="B27" s="16">
        <f>SUMIFS(Raw_Sales_Data!$O$2:$O$2528,Raw_Sales_Data!$I$2:$I$2528,A27)</f>
        <v>12012333.237000002</v>
      </c>
      <c r="C27" s="32">
        <f>SUMIFS(Raw_Sales_Data!$Q$2:$Q$2528,Raw_Sales_Data!$I$2:$I$2528,A27)</f>
        <v>4094033.7929952526</v>
      </c>
      <c r="D27" s="34">
        <f>RANK(C27,C23:C32)</f>
        <v>10</v>
      </c>
    </row>
    <row r="28" spans="1:5">
      <c r="A28" t="s">
        <v>54</v>
      </c>
      <c r="B28" s="16">
        <f>SUMIFS(Raw_Sales_Data!$O$2:$O$2528,Raw_Sales_Data!$I$2:$I$2528,A28)</f>
        <v>12408040.088500004</v>
      </c>
      <c r="C28" s="32">
        <f>SUMIFS(Raw_Sales_Data!$Q$2:$Q$2528,Raw_Sales_Data!$I$2:$I$2528,A28)</f>
        <v>4314727.6613141401</v>
      </c>
      <c r="D28" s="34">
        <f>RANK(C28,C23:C32)</f>
        <v>9</v>
      </c>
    </row>
    <row r="29" spans="1:5">
      <c r="A29" t="s">
        <v>56</v>
      </c>
      <c r="B29" s="16">
        <f>SUMIFS(Raw_Sales_Data!$O$2:$O$2528,Raw_Sales_Data!$I$2:$I$2528,A29)</f>
        <v>12778212.088500002</v>
      </c>
      <c r="C29" s="32">
        <f>SUMIFS(Raw_Sales_Data!$Q$2:$Q$2528,Raw_Sales_Data!$I$2:$I$2528,A29)</f>
        <v>4703168.7511350689</v>
      </c>
      <c r="D29" s="34">
        <f>RANK(C29,C23:C32)</f>
        <v>6</v>
      </c>
    </row>
    <row r="30" spans="1:5">
      <c r="A30" t="s">
        <v>58</v>
      </c>
      <c r="B30" s="16">
        <f>SUMIFS(Raw_Sales_Data!$O$2:$O$2528,Raw_Sales_Data!$I$2:$I$2528,A30)</f>
        <v>13284892.816</v>
      </c>
      <c r="C30" s="32">
        <f>SUMIFS(Raw_Sales_Data!$Q$2:$Q$2528,Raw_Sales_Data!$I$2:$I$2528,A30)</f>
        <v>4521625.7980841314</v>
      </c>
      <c r="D30" s="34">
        <f>RANK(C30,C23:C32)</f>
        <v>8</v>
      </c>
    </row>
    <row r="31" spans="1:5">
      <c r="A31" t="s">
        <v>60</v>
      </c>
      <c r="B31" s="16">
        <f>SUMIFS(Raw_Sales_Data!$O$2:$O$2528,Raw_Sales_Data!$I$2:$I$2528,A31)</f>
        <v>15277536.509000001</v>
      </c>
      <c r="C31" s="32">
        <f>SUMIFS(Raw_Sales_Data!$Q$2:$Q$2528,Raw_Sales_Data!$I$2:$I$2528,A31)</f>
        <v>5185426.1620794795</v>
      </c>
      <c r="D31" s="34">
        <f>RANK(C31,C23:C32)</f>
        <v>2</v>
      </c>
    </row>
    <row r="32" spans="1:5">
      <c r="A32" t="s">
        <v>62</v>
      </c>
      <c r="B32" s="16">
        <f>SUMIFS(Raw_Sales_Data!$O$2:$O$2528,Raw_Sales_Data!$I$2:$I$2528,A32)</f>
        <v>13488612.428499987</v>
      </c>
      <c r="C32" s="32">
        <f>SUMIFS(Raw_Sales_Data!$Q$2:$Q$2528,Raw_Sales_Data!$I$2:$I$2528,A32)</f>
        <v>4669876.0534265041</v>
      </c>
      <c r="D32" s="34">
        <f>RANK(C32,C23:C32)</f>
        <v>7</v>
      </c>
    </row>
  </sheetData>
  <conditionalFormatting sqref="D15:D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:C32">
    <cfRule type="iconSet" priority="3">
      <iconSet>
        <cfvo type="percent" val="0"/>
        <cfvo type="percent" val="33"/>
        <cfvo type="percent" val="67"/>
      </iconSet>
    </cfRule>
  </conditionalFormatting>
  <pageMargins left="0.75" right="0.75" top="1" bottom="1" header="0.511811023622047" footer="0.511811023622047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showGridLines="0" workbookViewId="0"/>
  </sheetViews>
  <sheetFormatPr baseColWidth="10" defaultColWidth="8.6640625" defaultRowHeight="14" x14ac:dyDescent="0"/>
  <cols>
    <col min="1" max="1" width="32" customWidth="1"/>
    <col min="2" max="4" width="16" customWidth="1"/>
  </cols>
  <sheetData>
    <row r="1" spans="1:4" ht="18">
      <c r="A1" s="6" t="s">
        <v>871</v>
      </c>
    </row>
    <row r="2" spans="1:4">
      <c r="A2" s="7" t="s">
        <v>872</v>
      </c>
    </row>
    <row r="4" spans="1:4" ht="15">
      <c r="A4" s="12" t="s">
        <v>873</v>
      </c>
      <c r="B4" s="13"/>
      <c r="C4" s="13"/>
      <c r="D4" s="13"/>
    </row>
    <row r="5" spans="1:4">
      <c r="A5" t="s">
        <v>874</v>
      </c>
      <c r="B5" s="23" t="s">
        <v>875</v>
      </c>
    </row>
    <row r="6" spans="1:4">
      <c r="B6" s="26" t="s">
        <v>876</v>
      </c>
      <c r="C6" s="26" t="s">
        <v>875</v>
      </c>
      <c r="D6" s="26" t="s">
        <v>877</v>
      </c>
    </row>
    <row r="7" spans="1:4">
      <c r="A7" t="s">
        <v>878</v>
      </c>
      <c r="B7" s="27">
        <v>0.03</v>
      </c>
      <c r="C7" s="27">
        <v>0.08</v>
      </c>
      <c r="D7" s="27">
        <v>0.15</v>
      </c>
    </row>
    <row r="8" spans="1:4">
      <c r="A8" t="s">
        <v>879</v>
      </c>
      <c r="B8" s="27">
        <v>0.18</v>
      </c>
      <c r="C8" s="27">
        <v>0.08</v>
      </c>
      <c r="D8" s="27">
        <v>-0.05</v>
      </c>
    </row>
    <row r="9" spans="1:4">
      <c r="A9" t="s">
        <v>75</v>
      </c>
      <c r="B9" s="27">
        <v>0.6</v>
      </c>
      <c r="C9" s="27">
        <v>0.65</v>
      </c>
      <c r="D9" s="27">
        <v>0.72</v>
      </c>
    </row>
    <row r="11" spans="1:4" ht="15">
      <c r="A11" s="12" t="s">
        <v>880</v>
      </c>
      <c r="B11" s="13"/>
      <c r="C11" s="13"/>
      <c r="D11" s="13"/>
    </row>
    <row r="12" spans="1:4">
      <c r="A12" t="s">
        <v>881</v>
      </c>
      <c r="B12" s="28">
        <f>INDEX(B7:D7,MATCH(B5,B6:D6,0))</f>
        <v>0.08</v>
      </c>
    </row>
    <row r="13" spans="1:4">
      <c r="A13" t="s">
        <v>882</v>
      </c>
      <c r="B13" s="28">
        <f>INDEX(B8:D8,MATCH(B5,B6:D6,0))</f>
        <v>0.08</v>
      </c>
    </row>
    <row r="14" spans="1:4">
      <c r="A14" t="s">
        <v>883</v>
      </c>
      <c r="B14" s="28">
        <f>INDEX(B9:D9,MATCH(B5,B6:D6,0))</f>
        <v>0.65</v>
      </c>
    </row>
    <row r="15" spans="1:4">
      <c r="A15" t="s">
        <v>884</v>
      </c>
      <c r="B15" s="16">
        <f>SUM(Raw_Sales_Data!$O$2:$O$2528)</f>
        <v>135883600.74550024</v>
      </c>
    </row>
    <row r="16" spans="1:4">
      <c r="A16" t="s">
        <v>885</v>
      </c>
      <c r="B16" s="16">
        <f>B15*(1+B13)*(1-B12)</f>
        <v>135013945.70072904</v>
      </c>
    </row>
    <row r="17" spans="1:2">
      <c r="A17" t="s">
        <v>886</v>
      </c>
      <c r="B17" s="16">
        <f>B16*B14</f>
        <v>87759064.705473885</v>
      </c>
    </row>
    <row r="18" spans="1:2">
      <c r="A18" s="26" t="s">
        <v>887</v>
      </c>
      <c r="B18" s="29">
        <f>B16-B17</f>
        <v>47254880.995255157</v>
      </c>
    </row>
    <row r="20" spans="1:2" ht="15">
      <c r="A20" s="12" t="s">
        <v>888</v>
      </c>
      <c r="B20" s="13"/>
    </row>
    <row r="21" spans="1:2">
      <c r="A21" s="14" t="s">
        <v>74</v>
      </c>
      <c r="B21" s="14" t="s">
        <v>889</v>
      </c>
    </row>
    <row r="22" spans="1:2">
      <c r="A22" s="28">
        <v>0</v>
      </c>
      <c r="B22" s="16">
        <f>(B15*(1+B13)*(1-A22))-(B15*(1+B13)*(1-A22)*B14)</f>
        <v>51364001.08179909</v>
      </c>
    </row>
    <row r="23" spans="1:2">
      <c r="A23" s="28">
        <v>0.05</v>
      </c>
      <c r="B23" s="16">
        <f>(B15*(1+B13)*(1-A23))-(B15*(1+B13)*(1-A23)*B14)</f>
        <v>48795801.027709126</v>
      </c>
    </row>
    <row r="24" spans="1:2">
      <c r="A24" s="28">
        <v>0.1</v>
      </c>
      <c r="B24" s="16">
        <f>(B15*(1+B13)*(1-A24))-(B15*(1+B13)*(1-A24)*B14)</f>
        <v>46227600.973619178</v>
      </c>
    </row>
    <row r="25" spans="1:2">
      <c r="A25" s="28">
        <v>0.15</v>
      </c>
      <c r="B25" s="16">
        <f>(B15*(1+B13)*(1-A25))-(B15*(1+B13)*(1-A25)*B14)</f>
        <v>43659400.919529229</v>
      </c>
    </row>
    <row r="26" spans="1:2">
      <c r="A26" s="28">
        <v>0.2</v>
      </c>
      <c r="B26" s="16">
        <f>(B15*(1+B13)*(1-A26))-(B15*(1+B13)*(1-A26)*B14)</f>
        <v>41091200.865439266</v>
      </c>
    </row>
    <row r="27" spans="1:2">
      <c r="A27" s="28">
        <v>0.25</v>
      </c>
      <c r="B27" s="16">
        <f>(B15*(1+B13)*(1-A27))-(B15*(1+B13)*(1-A27)*B14)</f>
        <v>38523000.811349317</v>
      </c>
    </row>
    <row r="28" spans="1:2">
      <c r="A28" s="28">
        <v>0.3</v>
      </c>
      <c r="B28" s="16">
        <f>(B15*(1+B13)*(1-A28))-(B15*(1+B13)*(1-A28)*B14)</f>
        <v>35954800.757259361</v>
      </c>
    </row>
  </sheetData>
  <conditionalFormatting sqref="B22:B28">
    <cfRule type="colorScale" priority="2">
      <colorScale>
        <cfvo type="min"/>
        <cfvo type="max"/>
        <color rgb="FFF8696B"/>
        <color rgb="FF63BE7B"/>
      </colorScale>
    </cfRule>
  </conditionalFormatting>
  <dataValidations count="1">
    <dataValidation type="list" sqref="B5">
      <formula1>"Best,Likely,Worst"</formula1>
      <formula2>0</formula2>
    </dataValidation>
  </dataValidations>
  <pageMargins left="0.75" right="0.75" top="1" bottom="1" header="0.511811023622047" footer="0.511811023622047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Dashboard</vt:lpstr>
      <vt:lpstr>Raw_Sales_Data</vt:lpstr>
      <vt:lpstr>Formulas_Reference</vt:lpstr>
      <vt:lpstr>Pivot_Analysis</vt:lpstr>
      <vt:lpstr>What_If_Analysis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 a</cp:lastModifiedBy>
  <cp:revision>1</cp:revision>
  <dcterms:created xsi:type="dcterms:W3CDTF">2026-07-05T16:53:36Z</dcterms:created>
  <dcterms:modified xsi:type="dcterms:W3CDTF">2026-07-07T11:53:23Z</dcterms:modified>
  <dc:language>en-US</dc:language>
</cp:coreProperties>
</file>